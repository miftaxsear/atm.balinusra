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MasterATM\"/>
    </mc:Choice>
  </mc:AlternateContent>
  <xr:revisionPtr revIDLastSave="0" documentId="13_ncr:1_{636B7A82-2D1C-4B0F-9CA2-A70A0F2880D4}" xr6:coauthVersionLast="47" xr6:coauthVersionMax="47" xr10:uidLastSave="{00000000-0000-0000-0000-000000000000}"/>
  <bookViews>
    <workbookView xWindow="-110" yWindow="-110" windowWidth="19420" windowHeight="10300" xr2:uid="{CC9B1483-DDFF-4A05-86DE-9402796AF1A3}"/>
  </bookViews>
  <sheets>
    <sheet name="Sheet1" sheetId="1" r:id="rId1"/>
  </sheets>
  <externalReferences>
    <externalReference r:id="rId2"/>
    <externalReference r:id="rId3"/>
  </externalReference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47" i="1" l="1"/>
  <c r="AJ447" i="1"/>
  <c r="AK447" i="1"/>
  <c r="A446" i="1"/>
  <c r="A445" i="1"/>
  <c r="AJ445" i="1"/>
  <c r="AK445" i="1"/>
  <c r="A444" i="1"/>
  <c r="AJ444" i="1"/>
  <c r="AK444" i="1"/>
  <c r="A443" i="1"/>
  <c r="AJ443" i="1"/>
  <c r="AK443" i="1"/>
  <c r="A442" i="1"/>
  <c r="AJ442" i="1"/>
  <c r="AK442" i="1"/>
  <c r="A441" i="1"/>
  <c r="AJ441" i="1"/>
  <c r="AK441" i="1"/>
  <c r="A440" i="1"/>
  <c r="A439" i="1"/>
  <c r="AJ439" i="1"/>
  <c r="AK439" i="1"/>
  <c r="A438" i="1"/>
  <c r="A437" i="1"/>
  <c r="A436" i="1"/>
  <c r="A435" i="1"/>
  <c r="AJ435" i="1"/>
  <c r="AK435" i="1"/>
  <c r="A434" i="1"/>
  <c r="AJ434" i="1"/>
  <c r="AK434" i="1"/>
  <c r="A433" i="1"/>
  <c r="AJ433" i="1"/>
  <c r="AK433" i="1"/>
  <c r="A432" i="1"/>
  <c r="A431" i="1"/>
  <c r="A430" i="1"/>
  <c r="A429" i="1"/>
  <c r="A428" i="1"/>
  <c r="A427" i="1"/>
  <c r="A426" i="1"/>
  <c r="A425" i="1"/>
  <c r="A424" i="1"/>
  <c r="A423" i="1"/>
  <c r="AJ423" i="1"/>
  <c r="AK423" i="1"/>
  <c r="A422" i="1"/>
  <c r="AJ422" i="1"/>
  <c r="AK422" i="1"/>
  <c r="A421" i="1"/>
  <c r="AJ421" i="1"/>
  <c r="AK421" i="1"/>
  <c r="A420" i="1"/>
  <c r="AJ420" i="1"/>
  <c r="AK420" i="1"/>
  <c r="A419" i="1"/>
  <c r="AJ419" i="1"/>
  <c r="AK419" i="1"/>
  <c r="A418" i="1"/>
  <c r="AJ418" i="1"/>
  <c r="AK418" i="1"/>
  <c r="A417" i="1"/>
  <c r="A416" i="1"/>
  <c r="AJ416" i="1"/>
  <c r="AK416" i="1"/>
  <c r="A415" i="1"/>
  <c r="AJ415" i="1"/>
  <c r="AK415" i="1"/>
  <c r="A414" i="1"/>
  <c r="A413" i="1"/>
  <c r="A412" i="1"/>
  <c r="A411" i="1"/>
  <c r="AJ411" i="1"/>
  <c r="AK411" i="1"/>
  <c r="A410" i="1"/>
  <c r="A409" i="1"/>
  <c r="A408" i="1"/>
  <c r="A407" i="1"/>
  <c r="AJ407" i="1"/>
  <c r="AK407" i="1"/>
  <c r="A406" i="1"/>
  <c r="AJ406" i="1"/>
  <c r="AK406" i="1"/>
  <c r="A405" i="1"/>
  <c r="AJ405" i="1"/>
  <c r="AK405" i="1"/>
  <c r="A404" i="1"/>
  <c r="A403" i="1"/>
  <c r="AJ403" i="1"/>
  <c r="AK403" i="1"/>
  <c r="A402" i="1"/>
  <c r="AJ402" i="1"/>
  <c r="AK402" i="1"/>
  <c r="A401" i="1"/>
  <c r="AJ401" i="1"/>
  <c r="AK401" i="1"/>
  <c r="A400" i="1"/>
  <c r="AJ400" i="1"/>
  <c r="AK400" i="1"/>
  <c r="A399" i="1"/>
  <c r="AJ399" i="1"/>
  <c r="AK399" i="1"/>
  <c r="A398" i="1"/>
  <c r="A397" i="1"/>
  <c r="A396" i="1"/>
  <c r="A395" i="1"/>
  <c r="A394" i="1"/>
  <c r="A393" i="1"/>
  <c r="A392" i="1"/>
  <c r="AJ392" i="1"/>
  <c r="AK392" i="1"/>
  <c r="A391" i="1"/>
  <c r="AJ391" i="1"/>
  <c r="AK391" i="1"/>
  <c r="A390" i="1"/>
  <c r="AJ390" i="1"/>
  <c r="AK390" i="1"/>
  <c r="A389" i="1"/>
  <c r="A388" i="1"/>
  <c r="A387" i="1"/>
  <c r="A386" i="1"/>
  <c r="A385" i="1"/>
  <c r="A384" i="1"/>
  <c r="A383" i="1"/>
  <c r="A382" i="1"/>
  <c r="AJ382" i="1"/>
  <c r="AK382" i="1"/>
  <c r="A381" i="1"/>
  <c r="AJ381" i="1"/>
  <c r="AK381" i="1"/>
  <c r="A380" i="1"/>
  <c r="AJ380" i="1"/>
  <c r="AK380" i="1"/>
  <c r="A379" i="1"/>
  <c r="AJ379" i="1"/>
  <c r="AK379" i="1"/>
  <c r="A378" i="1"/>
  <c r="AJ378" i="1"/>
  <c r="AK378" i="1"/>
  <c r="A377" i="1"/>
  <c r="AJ377" i="1"/>
  <c r="AK377" i="1"/>
  <c r="A376" i="1"/>
  <c r="AJ376" i="1"/>
  <c r="AK376" i="1"/>
  <c r="A375" i="1"/>
  <c r="AJ375" i="1"/>
  <c r="AK375" i="1"/>
  <c r="A374" i="1"/>
  <c r="AJ374" i="1"/>
  <c r="AK374" i="1"/>
  <c r="A373" i="1"/>
  <c r="AJ373" i="1"/>
  <c r="AK373" i="1"/>
  <c r="A372" i="1"/>
  <c r="AJ372" i="1"/>
  <c r="AK372" i="1"/>
  <c r="A371" i="1"/>
  <c r="AJ371" i="1"/>
  <c r="AK371" i="1"/>
  <c r="A370" i="1"/>
  <c r="A369" i="1"/>
  <c r="AJ369" i="1"/>
  <c r="AK369" i="1"/>
  <c r="A368" i="1"/>
  <c r="AJ368" i="1"/>
  <c r="AK368" i="1"/>
  <c r="A367" i="1"/>
  <c r="AJ367" i="1"/>
  <c r="AK367" i="1"/>
  <c r="A366" i="1"/>
  <c r="AJ366" i="1"/>
  <c r="AK366" i="1"/>
  <c r="A365" i="1"/>
  <c r="A364" i="1"/>
  <c r="A363" i="1"/>
  <c r="A362" i="1"/>
  <c r="A361" i="1"/>
  <c r="A360" i="1"/>
  <c r="A359" i="1"/>
  <c r="AJ359" i="1"/>
  <c r="AK359" i="1"/>
  <c r="A358" i="1"/>
  <c r="AJ358" i="1"/>
  <c r="AK358" i="1"/>
  <c r="A357" i="1"/>
  <c r="AJ357" i="1"/>
  <c r="AK357" i="1"/>
  <c r="A356" i="1"/>
  <c r="AJ356" i="1"/>
  <c r="AK356" i="1"/>
  <c r="A355" i="1"/>
  <c r="AJ355" i="1"/>
  <c r="AK355" i="1"/>
  <c r="A354" i="1"/>
  <c r="AJ354" i="1"/>
  <c r="AK354" i="1"/>
  <c r="A353" i="1"/>
  <c r="A352" i="1"/>
  <c r="AJ352" i="1"/>
  <c r="AK352" i="1"/>
  <c r="A351" i="1"/>
  <c r="A350" i="1"/>
  <c r="A349" i="1"/>
  <c r="AJ349" i="1"/>
  <c r="AK349" i="1"/>
  <c r="A348" i="1"/>
  <c r="AJ348" i="1"/>
  <c r="AK348" i="1"/>
  <c r="A347" i="1"/>
  <c r="AJ347" i="1"/>
  <c r="AK347" i="1"/>
  <c r="A346" i="1"/>
  <c r="A345" i="1"/>
  <c r="AJ345" i="1"/>
  <c r="AK345" i="1"/>
  <c r="A344" i="1"/>
  <c r="AJ344" i="1"/>
  <c r="AK344" i="1"/>
  <c r="A343" i="1"/>
  <c r="A342" i="1"/>
  <c r="A341" i="1"/>
  <c r="AJ341" i="1"/>
  <c r="AK341" i="1"/>
  <c r="A340" i="1"/>
  <c r="AJ340" i="1"/>
  <c r="AK340" i="1"/>
  <c r="A339" i="1"/>
  <c r="A338" i="1"/>
  <c r="A337" i="1"/>
  <c r="A336" i="1"/>
  <c r="A335" i="1"/>
  <c r="A334" i="1"/>
  <c r="A333" i="1"/>
  <c r="A332" i="1"/>
  <c r="AJ332" i="1"/>
  <c r="AK332" i="1"/>
  <c r="A331" i="1"/>
  <c r="AJ331" i="1"/>
  <c r="AK331" i="1"/>
  <c r="A330" i="1"/>
  <c r="AJ330" i="1"/>
  <c r="AK330" i="1"/>
  <c r="A329" i="1"/>
  <c r="AJ329" i="1"/>
  <c r="AK329" i="1"/>
  <c r="A328" i="1"/>
  <c r="AJ328" i="1"/>
  <c r="AK328" i="1"/>
  <c r="A327" i="1"/>
  <c r="AJ327" i="1"/>
  <c r="AK327" i="1"/>
  <c r="A326" i="1"/>
  <c r="AJ326" i="1"/>
  <c r="AK326" i="1"/>
  <c r="A325" i="1"/>
  <c r="A324" i="1"/>
  <c r="A323" i="1"/>
  <c r="AJ323" i="1"/>
  <c r="AK323" i="1"/>
  <c r="A322" i="1"/>
  <c r="A321" i="1"/>
  <c r="A320" i="1"/>
  <c r="A319" i="1"/>
  <c r="A318" i="1"/>
  <c r="A317" i="1"/>
  <c r="A316" i="1"/>
  <c r="A315" i="1"/>
  <c r="A314" i="1"/>
  <c r="A313" i="1"/>
  <c r="AJ313" i="1"/>
  <c r="AK313" i="1"/>
  <c r="A312" i="1"/>
  <c r="AJ312" i="1"/>
  <c r="AK312" i="1"/>
  <c r="A311" i="1"/>
  <c r="AJ311" i="1"/>
  <c r="AK311" i="1"/>
  <c r="A310" i="1"/>
  <c r="AJ310" i="1"/>
  <c r="AK310" i="1"/>
  <c r="A309" i="1"/>
  <c r="AJ309" i="1"/>
  <c r="AK309" i="1"/>
  <c r="A308" i="1"/>
  <c r="AJ308" i="1"/>
  <c r="AK308" i="1"/>
  <c r="A307" i="1"/>
  <c r="AJ307" i="1"/>
  <c r="AK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J294" i="1"/>
  <c r="AK294" i="1"/>
  <c r="A293" i="1"/>
  <c r="AJ293" i="1"/>
  <c r="AK293" i="1"/>
  <c r="A292" i="1"/>
  <c r="AJ292" i="1"/>
  <c r="AK292" i="1"/>
  <c r="A291" i="1"/>
  <c r="A290" i="1"/>
  <c r="AJ290" i="1"/>
  <c r="AK290" i="1"/>
  <c r="A289" i="1"/>
  <c r="AJ289" i="1"/>
  <c r="AK289" i="1"/>
  <c r="A288" i="1"/>
  <c r="AJ288" i="1"/>
  <c r="AK288" i="1"/>
  <c r="A287" i="1"/>
  <c r="AJ287" i="1"/>
  <c r="AK287" i="1"/>
  <c r="A286" i="1"/>
  <c r="AJ286" i="1"/>
  <c r="AK286" i="1"/>
  <c r="A285" i="1"/>
  <c r="AJ285" i="1"/>
  <c r="AK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J238" i="1"/>
  <c r="AK238" i="1"/>
  <c r="A237" i="1"/>
  <c r="AJ237" i="1"/>
  <c r="AK237" i="1"/>
  <c r="A236" i="1"/>
  <c r="AJ236" i="1"/>
  <c r="AK236" i="1"/>
  <c r="A235" i="1"/>
  <c r="A234" i="1"/>
  <c r="A233" i="1"/>
  <c r="AJ233" i="1"/>
  <c r="AK233" i="1"/>
  <c r="A232" i="1"/>
  <c r="AJ232" i="1"/>
  <c r="AK232" i="1"/>
  <c r="A231" i="1"/>
  <c r="AJ231" i="1"/>
  <c r="AK231" i="1"/>
  <c r="A230" i="1"/>
  <c r="AJ230" i="1"/>
  <c r="AK230" i="1"/>
  <c r="A229" i="1"/>
  <c r="AJ229" i="1"/>
  <c r="AK229" i="1"/>
  <c r="A228" i="1"/>
  <c r="AJ228" i="1"/>
  <c r="AK228" i="1"/>
  <c r="A227" i="1"/>
  <c r="AJ227" i="1"/>
  <c r="AK227" i="1"/>
  <c r="A226" i="1"/>
  <c r="AJ226" i="1"/>
  <c r="AK226" i="1"/>
  <c r="A225" i="1"/>
  <c r="AJ225" i="1"/>
  <c r="AK225" i="1"/>
  <c r="A224" i="1"/>
  <c r="AJ224" i="1"/>
  <c r="AK224" i="1"/>
  <c r="A223" i="1"/>
  <c r="AJ223" i="1"/>
  <c r="AK223" i="1"/>
  <c r="A222" i="1"/>
  <c r="AJ222" i="1"/>
  <c r="AK222" i="1"/>
  <c r="A221" i="1"/>
  <c r="AJ221" i="1"/>
  <c r="AK221" i="1"/>
  <c r="A220" i="1"/>
  <c r="AJ220" i="1"/>
  <c r="AK220" i="1"/>
  <c r="A219" i="1"/>
  <c r="AJ219" i="1"/>
  <c r="AK219" i="1"/>
  <c r="A218" i="1"/>
  <c r="AJ218" i="1"/>
  <c r="AK218" i="1"/>
  <c r="A217" i="1"/>
  <c r="AJ217" i="1"/>
  <c r="AK217" i="1"/>
  <c r="A216" i="1"/>
  <c r="AJ216" i="1"/>
  <c r="AK216" i="1"/>
  <c r="A215" i="1"/>
  <c r="AJ215" i="1"/>
  <c r="AK215" i="1"/>
  <c r="A214" i="1"/>
  <c r="AJ214" i="1"/>
  <c r="AK214" i="1"/>
  <c r="A213" i="1"/>
  <c r="AJ213" i="1"/>
  <c r="AK213" i="1"/>
  <c r="A212" i="1"/>
  <c r="AJ212" i="1"/>
  <c r="AK212" i="1"/>
  <c r="A211" i="1"/>
  <c r="AJ211" i="1"/>
  <c r="AK211" i="1"/>
  <c r="A210" i="1"/>
  <c r="AJ210" i="1"/>
  <c r="AK210" i="1"/>
  <c r="A209" i="1"/>
  <c r="AJ209" i="1"/>
  <c r="AK209" i="1"/>
  <c r="A208" i="1"/>
  <c r="AJ208" i="1"/>
  <c r="AK208" i="1"/>
  <c r="A207" i="1"/>
  <c r="AJ207" i="1"/>
  <c r="AK207" i="1"/>
  <c r="A206" i="1"/>
  <c r="AJ206" i="1"/>
  <c r="AK206" i="1"/>
  <c r="A205" i="1"/>
  <c r="AJ205" i="1"/>
  <c r="AK205" i="1"/>
  <c r="A204" i="1"/>
  <c r="AJ204" i="1"/>
  <c r="AK204" i="1"/>
  <c r="A203" i="1"/>
  <c r="AJ203" i="1"/>
  <c r="AK203" i="1"/>
  <c r="A202" i="1"/>
  <c r="AJ202" i="1"/>
  <c r="AK202" i="1"/>
  <c r="A201" i="1"/>
  <c r="AJ201" i="1"/>
  <c r="AK201" i="1"/>
  <c r="A200" i="1"/>
  <c r="A199" i="1"/>
  <c r="A198" i="1"/>
  <c r="AJ198" i="1"/>
  <c r="AK198" i="1"/>
  <c r="A197" i="1"/>
  <c r="AJ197" i="1"/>
  <c r="AK197" i="1"/>
  <c r="A196" i="1"/>
  <c r="AJ196" i="1"/>
  <c r="AK196" i="1"/>
  <c r="A195" i="1"/>
  <c r="AJ195" i="1"/>
  <c r="AK195" i="1"/>
  <c r="A194" i="1"/>
  <c r="AJ194" i="1"/>
  <c r="AK194" i="1"/>
  <c r="A193" i="1"/>
  <c r="AJ193" i="1"/>
  <c r="AK193" i="1"/>
  <c r="A192" i="1"/>
  <c r="AJ192" i="1"/>
  <c r="AK192" i="1"/>
  <c r="A191" i="1"/>
  <c r="AJ191" i="1"/>
  <c r="AK191" i="1"/>
  <c r="A190" i="1"/>
  <c r="AJ190" i="1"/>
  <c r="AK190" i="1"/>
  <c r="A189" i="1"/>
  <c r="AJ189" i="1"/>
  <c r="AK189" i="1"/>
  <c r="A188" i="1"/>
  <c r="AJ188" i="1"/>
  <c r="AK188" i="1"/>
  <c r="A187" i="1"/>
  <c r="AJ187" i="1"/>
  <c r="AK187" i="1"/>
  <c r="A186" i="1"/>
  <c r="AJ186" i="1"/>
  <c r="AK186" i="1"/>
  <c r="A185" i="1"/>
  <c r="AJ185" i="1"/>
  <c r="AK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J102" i="1"/>
  <c r="AK102" i="1"/>
  <c r="A101" i="1"/>
  <c r="AJ101" i="1"/>
  <c r="AK101" i="1"/>
  <c r="A100" i="1"/>
  <c r="AJ100" i="1"/>
  <c r="AK100" i="1"/>
  <c r="A99" i="1"/>
  <c r="AJ99" i="1"/>
  <c r="AK99" i="1"/>
  <c r="A98" i="1"/>
  <c r="AJ98" i="1"/>
  <c r="AK98" i="1"/>
  <c r="A97" i="1"/>
  <c r="AJ97" i="1"/>
  <c r="AK97" i="1"/>
  <c r="A96" i="1"/>
  <c r="AJ96" i="1"/>
  <c r="AK96" i="1"/>
  <c r="A95" i="1"/>
  <c r="AJ95" i="1"/>
  <c r="AK95" i="1"/>
  <c r="A94" i="1"/>
  <c r="AJ94" i="1"/>
  <c r="AK94" i="1"/>
  <c r="A93" i="1"/>
  <c r="AJ93" i="1"/>
  <c r="AK93" i="1"/>
  <c r="A92" i="1"/>
  <c r="AJ92" i="1"/>
  <c r="AK92" i="1"/>
  <c r="A91" i="1"/>
  <c r="AJ91" i="1"/>
  <c r="AK91" i="1"/>
  <c r="A90" i="1"/>
  <c r="AJ90" i="1"/>
  <c r="AK90" i="1"/>
  <c r="A89" i="1"/>
  <c r="AJ89" i="1"/>
  <c r="AK89" i="1"/>
  <c r="A88" i="1"/>
  <c r="A87" i="1"/>
  <c r="AJ87" i="1"/>
  <c r="AK87" i="1"/>
  <c r="A86" i="1"/>
  <c r="AJ86" i="1"/>
  <c r="AK86" i="1"/>
  <c r="A85" i="1"/>
  <c r="AJ85" i="1"/>
  <c r="AK85" i="1"/>
  <c r="A84" i="1"/>
  <c r="AJ84" i="1"/>
  <c r="AK84" i="1"/>
  <c r="A83" i="1"/>
  <c r="A82" i="1"/>
  <c r="AJ82" i="1"/>
  <c r="AK82" i="1"/>
  <c r="A81" i="1"/>
  <c r="AJ81" i="1"/>
  <c r="AK81" i="1"/>
  <c r="A80" i="1"/>
  <c r="AJ80" i="1"/>
  <c r="AK80" i="1"/>
  <c r="A79" i="1"/>
  <c r="AJ79" i="1"/>
  <c r="AK79" i="1"/>
  <c r="A78" i="1"/>
  <c r="AJ78" i="1"/>
  <c r="AK78" i="1"/>
  <c r="A77" i="1"/>
  <c r="AJ77" i="1"/>
  <c r="AK77" i="1"/>
  <c r="A76" i="1"/>
  <c r="AJ76" i="1"/>
  <c r="AK76" i="1"/>
  <c r="A75" i="1"/>
  <c r="AJ75" i="1"/>
  <c r="AK75" i="1"/>
  <c r="A74" i="1"/>
  <c r="AJ74" i="1"/>
  <c r="AK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J42" i="1"/>
  <c r="AK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<sst xmlns="http://schemas.openxmlformats.org/spreadsheetml/2006/main" count="10823" uniqueCount="2309">
  <si>
    <t>ID</t>
  </si>
  <si>
    <t>WS_ID</t>
  </si>
  <si>
    <t>WS_NAME</t>
  </si>
  <si>
    <t>SERIAL_NO</t>
  </si>
  <si>
    <t>ADDRESS</t>
  </si>
  <si>
    <t>CITY</t>
  </si>
  <si>
    <t>PROVINCE</t>
  </si>
  <si>
    <t>ISLAND</t>
  </si>
  <si>
    <t>LOCATION</t>
  </si>
  <si>
    <t>VIP</t>
  </si>
  <si>
    <t>MTYPE</t>
  </si>
  <si>
    <t>MODEL</t>
  </si>
  <si>
    <t>SW_INSTALLED</t>
  </si>
  <si>
    <t>VENDOR</t>
  </si>
  <si>
    <t>BANK_CODE</t>
  </si>
  <si>
    <t>BANK_NAME</t>
  </si>
  <si>
    <t>MA_COMPANY</t>
  </si>
  <si>
    <t>OPS_HOUR</t>
  </si>
  <si>
    <t>OPS_HOUR_RANGE</t>
  </si>
  <si>
    <t>SVC_HOUR_RANGE</t>
  </si>
  <si>
    <t>OPS_DAY</t>
  </si>
  <si>
    <t>MA_STATUS</t>
  </si>
  <si>
    <t>SE_CODE</t>
  </si>
  <si>
    <t>SE_NAME</t>
  </si>
  <si>
    <t>REGION</t>
  </si>
  <si>
    <t>GROUP_AREA</t>
  </si>
  <si>
    <t>SVC_AREA</t>
  </si>
  <si>
    <t>ZONE</t>
  </si>
  <si>
    <t>SLA_PM</t>
  </si>
  <si>
    <t>ACTIVE</t>
  </si>
  <si>
    <t>PRODUCTION_YEAR</t>
  </si>
  <si>
    <t>HANDOVER_DATE</t>
  </si>
  <si>
    <t>INSTALLATION_DATE</t>
  </si>
  <si>
    <t>WARRANTY_EXP_DATE</t>
  </si>
  <si>
    <t>PJB_NO</t>
  </si>
  <si>
    <t>OPR</t>
  </si>
  <si>
    <t>OPH</t>
  </si>
  <si>
    <t>CONTRACT_START</t>
  </si>
  <si>
    <t>CONTRACT_EXP</t>
  </si>
  <si>
    <t>GPS_LAT</t>
  </si>
  <si>
    <t>GPS_LONG</t>
  </si>
  <si>
    <t>GPS_ADDRESS</t>
  </si>
  <si>
    <t>RESP_TIME</t>
  </si>
  <si>
    <t>FIX_TIME</t>
  </si>
  <si>
    <t>RESO_TIME</t>
  </si>
  <si>
    <t>UPTIME_TARGET</t>
  </si>
  <si>
    <t>SERVICE_LOG</t>
  </si>
  <si>
    <t>ALAMAT_LOG</t>
  </si>
  <si>
    <t>LAT_LOG</t>
  </si>
  <si>
    <t>LONG_LOG</t>
  </si>
  <si>
    <t>SERVICE_POINT</t>
  </si>
  <si>
    <t>ALAMAT_SP</t>
  </si>
  <si>
    <t>LAT_SP</t>
  </si>
  <si>
    <t>LONG_SP</t>
  </si>
  <si>
    <t>KANTOR_CABANG</t>
  </si>
  <si>
    <t>ALAMAT_KC</t>
  </si>
  <si>
    <t>LAT_KC</t>
  </si>
  <si>
    <t>LONG_KC</t>
  </si>
  <si>
    <t>BATCH</t>
  </si>
  <si>
    <t>ACCOUNT_SUPPORT</t>
  </si>
  <si>
    <t>NO_KONTRAK</t>
  </si>
  <si>
    <t>MASA_GARANSI</t>
  </si>
  <si>
    <t>REMARK</t>
  </si>
  <si>
    <t>ZONA_BARU</t>
  </si>
  <si>
    <t>JENIS_TRANSPORTASI</t>
  </si>
  <si>
    <t>JARAK_RUTE_TERDEKAT</t>
  </si>
  <si>
    <t>PERKIRAAN_WAKTU_TEMPUH</t>
  </si>
  <si>
    <t>JARAK_LURUS_LOG</t>
  </si>
  <si>
    <t>JARAK_LURUS_SP</t>
  </si>
  <si>
    <t>JARAK_LURUS_KC</t>
  </si>
  <si>
    <t>164RBCA</t>
  </si>
  <si>
    <t>BCA SPBU MITRA KUPANG</t>
  </si>
  <si>
    <t>YK19200025</t>
  </si>
  <si>
    <t>Jl. Frans Seda, Fatululi, Kec. Oebobo, Kota Kupang, Nusa Tenggara Tim., Indonesia</t>
  </si>
  <si>
    <t>Kota Kupang</t>
  </si>
  <si>
    <t>Nusa Tenggara Timur</t>
  </si>
  <si>
    <t>Timor</t>
  </si>
  <si>
    <t>SPBU</t>
  </si>
  <si>
    <t>ATM</t>
  </si>
  <si>
    <t>MX-5600S</t>
  </si>
  <si>
    <t>-</t>
  </si>
  <si>
    <t>DATINDO</t>
  </si>
  <si>
    <t>BCA</t>
  </si>
  <si>
    <t>Bank Central Asia</t>
  </si>
  <si>
    <t>AVKP-Advantage Kupang</t>
  </si>
  <si>
    <t>00:00-23:59</t>
  </si>
  <si>
    <t>IN MAINTENANCE</t>
  </si>
  <si>
    <t>YRG</t>
  </si>
  <si>
    <t>Yunarius Raynold Gege</t>
  </si>
  <si>
    <t>Indonesia B</t>
  </si>
  <si>
    <t>Bali Nusra</t>
  </si>
  <si>
    <t>Kupang</t>
  </si>
  <si>
    <t>RJM5+FF2, Jl. Frans Seda, Fatululi, Kec. Oebobo, Kota Kupang, Nusa Tenggara Tim., Indonesia</t>
  </si>
  <si>
    <t>- 30Km     =1 Jam
- 60Km     = 2 Jam
- 120Km  = 4 Jam 
- &gt;120Km = 24 Jam</t>
  </si>
  <si>
    <t>- 30Km     =3 Jam
- 60Km     = 3 Jam
- 120Km  = 6 Jam 
- &gt;120Km = 6 Jam</t>
  </si>
  <si>
    <t>Logistik Bali</t>
  </si>
  <si>
    <t xml:space="preserve">Jl. Batas Dukuh Sari, sebelah Gg. Garuda No. B21 Kel. Sesetan   Kec. Denpasar Selatan Denpasar - Bali Kode Pos : 80226 </t>
  </si>
  <si>
    <t>Jln. Kiu Leu, Blok K, No. 73 Belakang Akademi Kesehatan Lingkungan Kupang, Liliba, Kec. Oebobo, Kota Kupang, NTT - 85112</t>
  </si>
  <si>
    <t>Kantor Cabang Kupang</t>
  </si>
  <si>
    <t>Perum graha regency, jl.ainiba rt/rw 17/05. Perumnas, kel. Nefonaek
Kec. Kota lama, kota kupang-NTT</t>
  </si>
  <si>
    <t>YK19</t>
  </si>
  <si>
    <t>Nike</t>
  </si>
  <si>
    <t>002B/DIP-BCA/PKS/ATM/III/2021</t>
  </si>
  <si>
    <t>Darat</t>
  </si>
  <si>
    <t>037WBCA</t>
  </si>
  <si>
    <t>BCA TOKO SINAR BANGUNAN KUPANG</t>
  </si>
  <si>
    <t>YK19200003</t>
  </si>
  <si>
    <t>Jl. Bund. PU No.12, Tuak Daun Merah, Kec. Oebobo, Kota Kupang, Nusa Tenggara Tim. 85228, Indonesia</t>
  </si>
  <si>
    <t>Pertokoan</t>
  </si>
  <si>
    <t>238XBCA</t>
  </si>
  <si>
    <t>BCA HOTEL CENDANA</t>
  </si>
  <si>
    <t>YN23200001</t>
  </si>
  <si>
    <t>Jl. El Tari No.23, Oebobo, Kec. Oebobo, Kota Kupang, Nusa Tenggara Tim. 85111, Indonesia</t>
  </si>
  <si>
    <t>Hotel</t>
  </si>
  <si>
    <t>LAR</t>
  </si>
  <si>
    <t>Leonardo A Ruly</t>
  </si>
  <si>
    <t>492WBCA</t>
  </si>
  <si>
    <t>BCA HOTEL AMARIS KUPANG</t>
  </si>
  <si>
    <t>YO27200814</t>
  </si>
  <si>
    <t>RJRM+R2Q, Tuak Daun Merah, Oebobo, Kupang City, East Nusa Tenggara, Indonesia</t>
  </si>
  <si>
    <t>Kab. Kupang</t>
  </si>
  <si>
    <t>07:00-22:00</t>
  </si>
  <si>
    <t>WARRANTY</t>
  </si>
  <si>
    <t>624TBCA</t>
  </si>
  <si>
    <t>BCA SPBU Tuak Daun Merah Kupang</t>
  </si>
  <si>
    <t>YO27200414</t>
  </si>
  <si>
    <t>Jl Bundaran PU RT 21/ 007 Tuak Daun Merah Oebobo Kupang NTT</t>
  </si>
  <si>
    <t>RJJH+J9P, Jl. Bund. PU, Tuak Daun Merah, Kec. Oebobo, Kota Kupang, Nusa Tenggara Tim. 85228, Indonesia</t>
  </si>
  <si>
    <t>285LBCA</t>
  </si>
  <si>
    <t>BCA Bandara Eltari Kupang</t>
  </si>
  <si>
    <t>YO27200666</t>
  </si>
  <si>
    <t>RMJ8+CW9, Penfui, Maulafa, Kupang City, East Nusa Tenggara, Indonesia</t>
  </si>
  <si>
    <t>Bandara</t>
  </si>
  <si>
    <t>683FBCA</t>
  </si>
  <si>
    <t>BCA Alfa Kolhua</t>
  </si>
  <si>
    <t>YO27200367</t>
  </si>
  <si>
    <t>Jl FetorFunay No 8 Kolhua Maulafa Koya Kupang</t>
  </si>
  <si>
    <t>Convenience Store</t>
  </si>
  <si>
    <t>Jl. Fetor Funay No.8, Kolhua, Kec. Maulafa, Kota Kupang, Nusa Tenggara Tim. 85142, Indonesia</t>
  </si>
  <si>
    <t>00HCBCA</t>
  </si>
  <si>
    <t>BCA ALFA PASIR PANJANG</t>
  </si>
  <si>
    <t>YO27200240</t>
  </si>
  <si>
    <t>PASIR PANJANG, KEC.KOTA LAMA, KOTA KUPANG</t>
  </si>
  <si>
    <t>RJW2+R8Q, Pasir Panjang, Lama City, Kupang City, East Nusa Tenggara, Indonesia</t>
  </si>
  <si>
    <t>6878BCA</t>
  </si>
  <si>
    <t>BCA ROYAL</t>
  </si>
  <si>
    <t>YR21400050</t>
  </si>
  <si>
    <t>Jl. Timor Raya No.km.6, Oesapa Bar., Kec. Klp. Lima, Kota Kupang, Nusa Tenggara Tim., Indonesia</t>
  </si>
  <si>
    <t>Branch</t>
  </si>
  <si>
    <t>ZD3NBCA</t>
  </si>
  <si>
    <t>BCA MYROXY SUPERSTORE ATAMBUA</t>
  </si>
  <si>
    <t>YR25400236</t>
  </si>
  <si>
    <t> JL. DR. G. A. SIWABESSY, KEL. BEIRAFU, KEC. ATAMBUA BARAT_x000D_
 85711</t>
  </si>
  <si>
    <t>Kab. Belu</t>
  </si>
  <si>
    <t>CRM</t>
  </si>
  <si>
    <t>MX-8600S</t>
  </si>
  <si>
    <t>BCA 0314-Kupang</t>
  </si>
  <si>
    <t>VVWM+R56, Beirafu, Atambua Barat, Belu Regency, East Nusa Tenggara, Indonesia</t>
  </si>
  <si>
    <t>Z2FBBCA</t>
  </si>
  <si>
    <t>BCA IDM OESAO</t>
  </si>
  <si>
    <t>YR25400048</t>
  </si>
  <si>
    <t>JL TIMOR RAYA OESAO, KABUPATEN KUPANG</t>
  </si>
  <si>
    <t>06:00-23:00</t>
  </si>
  <si>
    <t>VRM6+CMH, Oesao, Kupang Timur, Kupang Regency, East Nusa Tenggara, Indonesia</t>
  </si>
  <si>
    <t>Z0M6BCA</t>
  </si>
  <si>
    <t>BCA SPBU VALENTINE NAIBONAT</t>
  </si>
  <si>
    <t>YR25400709</t>
  </si>
  <si>
    <t>JL TIMOR RAYA KEC KUPANG TIMUR NAIBONAT</t>
  </si>
  <si>
    <t>WR2Q+GGV, Naibonat, Kupang Timur, Kupang Regency, East Nusa Tenggara, Indonesia</t>
  </si>
  <si>
    <t>ZQH4BCA</t>
  </si>
  <si>
    <t>BCA MODERN ELEKTRONIK</t>
  </si>
  <si>
    <t>YR25400547</t>
  </si>
  <si>
    <t>Jl. A. Yani No.15, Oeba, Kec. Kota Lama, Kota Kupang, Nusa Tenggara Tim., Indonesia</t>
  </si>
  <si>
    <t>Z0P8BCA</t>
  </si>
  <si>
    <t>BCA PT MSM</t>
  </si>
  <si>
    <t>YR25401814</t>
  </si>
  <si>
    <t>JL. WAINGPAU MELOLO KM 45 WANGA 4</t>
  </si>
  <si>
    <t>Kab. Sumba Timur</t>
  </si>
  <si>
    <t>Perkantoran</t>
  </si>
  <si>
    <t>08:00-20:00</t>
  </si>
  <si>
    <t>7H39+MGR, Wanga, Umalulu, East Sumba Regency, East Nusa Tenggara, Indonesia</t>
  </si>
  <si>
    <t>ZTR4BCA</t>
  </si>
  <si>
    <t>BCA WAINGAPU</t>
  </si>
  <si>
    <t>YR25400378</t>
  </si>
  <si>
    <t>JL A YANI RT 15 RW 006 KEL MENTAWAI KEC KOTA WAINGAPU</t>
  </si>
  <si>
    <t>9726+FXX, Jl. Ahmad Yani, Kamalaputi, Kec. Kota Waingapu, Kabupaten Sumba Timur, Nusa Tenggara Tim., Indonesia</t>
  </si>
  <si>
    <t>587CBCA</t>
  </si>
  <si>
    <t>BCA SPBU MITRA 01</t>
  </si>
  <si>
    <t>YR21400385</t>
  </si>
  <si>
    <t>Jl.Sumatera, Fatubesi, Oeba, kota kupang</t>
  </si>
  <si>
    <t>RHRQ+RH6, Fatubesi, Lama City, Kupang City, East Nusa Tenggara, Indonesia</t>
  </si>
  <si>
    <t>ZTZ9BCA</t>
  </si>
  <si>
    <t>BCA IDM VETERAN KUPANG</t>
  </si>
  <si>
    <t>YR25401189</t>
  </si>
  <si>
    <t>JL VETERAN, KELAPA LIMA, KUPANG</t>
  </si>
  <si>
    <t>07:00-23:00</t>
  </si>
  <si>
    <t>Jl. Veteran No.11c, Klp. Lima, Kec. Klp. Lima, Kota Kupang, Nusa Tenggara Tim., Indonesia</t>
  </si>
  <si>
    <t>Z0J9BCA</t>
  </si>
  <si>
    <t>BCA ALFAMART TENUKIIK</t>
  </si>
  <si>
    <t>YR25401836</t>
  </si>
  <si>
    <t>WV4W+CG2, Jl. Marsda Adi Sucipto, Tenukiik, Kec. Kota Atambua, Kabupaten Belu, Nusa Tenggara Tim., Indonesia</t>
  </si>
  <si>
    <t>ZTQ4BCA</t>
  </si>
  <si>
    <t>BCA KC WAINGAPU</t>
  </si>
  <si>
    <t>YR25400377</t>
  </si>
  <si>
    <t>9726+8W4, Matawai, Kec. Kota Waingapu, Kabupaten Sumba Timur, Nusa Tenggara Tim., Indonesia</t>
  </si>
  <si>
    <t>ZKP9BCA</t>
  </si>
  <si>
    <t>BCA IDM H.R.KOROH</t>
  </si>
  <si>
    <t>YR25401665</t>
  </si>
  <si>
    <t>JL. H. R KOROH RW NO. 33, OEPURA, KEC MAULAFA, KOTA KUPANG, NUSA TENGARA TIMUR</t>
  </si>
  <si>
    <t>RJ45+M29, Jl. H.R Koroh, Oepura, Kec. Maulafa, Kota Kupang, Nusa Tenggara Tim., Indonesia</t>
  </si>
  <si>
    <t>Z10YBCA</t>
  </si>
  <si>
    <t>BCA KCU KUPANG</t>
  </si>
  <si>
    <t>YT21400320</t>
  </si>
  <si>
    <t>JL. TOMPELO, OETETE, KECAMATAN OEBOBO, KOTA KUPANG - NUSA TENGGARA TIMUR</t>
  </si>
  <si>
    <t>HS6L</t>
  </si>
  <si>
    <t>Jl. Tompello No.23a, Oetete, Kec. Oebobo, Kota Kupang, Nusa Tenggara Tim. 85112, Indonesia</t>
  </si>
  <si>
    <t>Z10ZBCA</t>
  </si>
  <si>
    <t>BCA KCU KUPANG CRM 2</t>
  </si>
  <si>
    <t>YT21400437</t>
  </si>
  <si>
    <t>Z3NUBCA</t>
  </si>
  <si>
    <t>BCA KCP SILIWANGI KUPANG</t>
  </si>
  <si>
    <t>YT21400430</t>
  </si>
  <si>
    <t>Jl. Siliwangi No.2b, Solor, Kec. Kota Lama, Kota Kupang, Nusa Tenggara Tim., Indonesia</t>
  </si>
  <si>
    <t>Z3NVBCA</t>
  </si>
  <si>
    <t>BCA SILIWANGI KUPANG CRM 2</t>
  </si>
  <si>
    <t>YT21400446</t>
  </si>
  <si>
    <t>00M6BCA</t>
  </si>
  <si>
    <t>BCA Tiara Mart</t>
  </si>
  <si>
    <t>YR20400180</t>
  </si>
  <si>
    <t>Jl Piet A. Tallo, Oesapa Selatan, Kelapa Lima</t>
  </si>
  <si>
    <t>Jl. Piet A. Tallo No.80, Oesapa Sel., Kec. Klp. Lima, Kota Kupang, Nusa Tenggara Tim., Indonesia</t>
  </si>
  <si>
    <t>4108BCA</t>
  </si>
  <si>
    <t>BCA Ramayana Kupang</t>
  </si>
  <si>
    <t>YR20400423</t>
  </si>
  <si>
    <t>RJG7+GCJ, Jl. W.J. Lalamentik, Oebufu, Kec. Oebobo, Kota Kupang, Nusa Tenggara Tim., Indonesia</t>
  </si>
  <si>
    <t>00R1BCA</t>
  </si>
  <si>
    <t>BCA IDM PEMUDA MATARAM</t>
  </si>
  <si>
    <t>YK19200352</t>
  </si>
  <si>
    <t>JL PEMUDA, GOMONG, SELAPARANG, MATARAM</t>
  </si>
  <si>
    <t>Kota Mataram</t>
  </si>
  <si>
    <t>Nusa Tenggara Barat</t>
  </si>
  <si>
    <t>Lombok</t>
  </si>
  <si>
    <t>AVCK-Advantage Cakranegara</t>
  </si>
  <si>
    <t>ALP</t>
  </si>
  <si>
    <t>Alparizi</t>
  </si>
  <si>
    <t>Mataram</t>
  </si>
  <si>
    <t>Jl. Pemuda No.3-1, Gomong, Kec. Selaparang, Kota Mataram, Nusa Tenggara Bar. 83125, Indonesia</t>
  </si>
  <si>
    <t>Bumi selaparang asri btn belencong gunungsari jl mirah delima v ab14a btn belencon gunungsari kel gunungsari kab lombok barat</t>
  </si>
  <si>
    <t>Z3TZBCA</t>
  </si>
  <si>
    <t>BCA KK SRIWIJAYA 2 CRM</t>
  </si>
  <si>
    <t>YK21200046</t>
  </si>
  <si>
    <t>KANTOR KAS SRWIJAYA  JL SRIWIJAYA NO 14 F</t>
  </si>
  <si>
    <t>LRH</t>
  </si>
  <si>
    <t>Lalu Riswan Hadi</t>
  </si>
  <si>
    <t>Jl. Sriwijaya No.390, Pagesangan Tim., Kec. Mataram, Kota Mataram, Nusa Tenggara Bar. 83115, Indonesia</t>
  </si>
  <si>
    <t>YK21</t>
  </si>
  <si>
    <t>Z16JBCA</t>
  </si>
  <si>
    <t>BCA KK SRIWIJAYA 1 CRM</t>
  </si>
  <si>
    <t>YK21200180</t>
  </si>
  <si>
    <t>Z4WFBCA</t>
  </si>
  <si>
    <t>BCA SWETA LOMBAR CRM 3</t>
  </si>
  <si>
    <t>YK21200138</t>
  </si>
  <si>
    <t xml:space="preserve"> JL SANDUBAYA 70-72 SWETA, BERTAIS, MATARAM</t>
  </si>
  <si>
    <t>IRN</t>
  </si>
  <si>
    <t>Adi Irawan</t>
  </si>
  <si>
    <t>Jl. Sandubaya No.68, Bertais, Kec. Sandubaya, Kota Mataram, Nusa Tenggara Bar. 83236, Indonesia</t>
  </si>
  <si>
    <t>JL SRIWIJAYA, GG LINGSAR NO 2, KOS NO 4, KEL. SAPTA MARGA, CAKRANEGARA, KOTA MATARAM, NUSA TENGGARA BARAT</t>
  </si>
  <si>
    <t>Z07ZBCA</t>
  </si>
  <si>
    <t>BCA SWETA LOMBAR CRM 1</t>
  </si>
  <si>
    <t>YK21200021</t>
  </si>
  <si>
    <t>Z08ABCA</t>
  </si>
  <si>
    <t xml:space="preserve">BCA SWETA LOMBAR CRM 2 </t>
  </si>
  <si>
    <t>YK21200129</t>
  </si>
  <si>
    <t>JL SANDUBAYA 70-72 SWETA , BERTAIS , MATARAM</t>
  </si>
  <si>
    <t>ZQ1RBCA</t>
  </si>
  <si>
    <t>BCA CRM SWETA LOMBAR 4</t>
  </si>
  <si>
    <t>YM68200041</t>
  </si>
  <si>
    <t>JL SANDUBAYA 70-72 SWETA, BERTAIS, MATARAM</t>
  </si>
  <si>
    <t>YM68</t>
  </si>
  <si>
    <t>513NBCA</t>
  </si>
  <si>
    <t>BCA ALFAMART BRAWIJAYA</t>
  </si>
  <si>
    <t>YN23200083</t>
  </si>
  <si>
    <t>JL BRAWIJAYA CAKRA SELATAN BARU CAKRANEGARA MATARAM</t>
  </si>
  <si>
    <t>Kab. Lombok Barat</t>
  </si>
  <si>
    <t>C44R+33M, Jl. Seganteng Indah, Cakranegara Sel. Baru, Kec. Cakranegara, Kota Mataram, Nusa Tenggara Bar. 83233, Indonesia</t>
  </si>
  <si>
    <t>YN23</t>
  </si>
  <si>
    <t>262RBCA</t>
  </si>
  <si>
    <t>BCA SPBU BENGKEL</t>
  </si>
  <si>
    <t>YN23200042</t>
  </si>
  <si>
    <t>Jl. TGH. Faesal, Bengkel, Kec. Labuapi, Kabupaten Lombok Barat, Nusa Tenggara Bar. 83361, Indonesia</t>
  </si>
  <si>
    <t>634JBCA</t>
  </si>
  <si>
    <t>BCA ATM ALFAMART PUYUNG LOMBOK</t>
  </si>
  <si>
    <t>YN23200050</t>
  </si>
  <si>
    <t xml:space="preserve">PUYUNG, KEC. JONGGAT, KAB. LOMBOK TENGAH </t>
  </si>
  <si>
    <t>Kab. Lombok Tengah</t>
  </si>
  <si>
    <t>868Q+F8G, Jl. Raden Puguh, Puyung, Kec. Jonggat, Kabupaten Lombok Tengah, Nusa Tenggara Bar. 83561, Indonesia</t>
  </si>
  <si>
    <t>630XBCA</t>
  </si>
  <si>
    <t>BCA ASTON INN HOTEL MATARAM</t>
  </si>
  <si>
    <t>YN23200065</t>
  </si>
  <si>
    <t>JL PANCA USAHA NO 1 CILINAYA CAKRANEGARA MATARAM</t>
  </si>
  <si>
    <t>Jl. Panca Usaha No.1, Cilinaya, Kec. Cakranegara, Kota Mataram, Nusa Tenggara Bar. 83239, Indonesia</t>
  </si>
  <si>
    <t>00CZBCA</t>
  </si>
  <si>
    <t>BCA ALFA RAYA BELEKA</t>
  </si>
  <si>
    <t>YO98200160</t>
  </si>
  <si>
    <t>JL RAYA BELEKA GERUNG LOMBOK BARAT</t>
  </si>
  <si>
    <t>84VJ+68J, Beleke, Gerung, West Lombok Regency, West Nusa Tenggara 83363, Indonesia</t>
  </si>
  <si>
    <t>609WBCA</t>
  </si>
  <si>
    <t>BCA INDOMARET RAYA SENGGIGI LOMBOK BARAT</t>
  </si>
  <si>
    <t>YO27200768</t>
  </si>
  <si>
    <t>F3W3+6V5, Batu Layar, West Lombok Regency, West Nusa Tenggara, Indonesia</t>
  </si>
  <si>
    <t>0072BCA</t>
  </si>
  <si>
    <t>BCA BANDARA INTERNATIONAL LOMBOK</t>
  </si>
  <si>
    <t>YO27200437</t>
  </si>
  <si>
    <t>JL. TANAH AWU, LOMBOK TENGAH PRAYA</t>
  </si>
  <si>
    <t>06:00-20:00</t>
  </si>
  <si>
    <t>83572, Tanak Awu, Kec. Pujut, Kabupaten Lombok Tengah, Nusa Tenggara Bar. 83572, Indonesia</t>
  </si>
  <si>
    <t>617BBCA</t>
  </si>
  <si>
    <t>BCA SPBU 54.835.08 BYPAS BIL</t>
  </si>
  <si>
    <t>YO27200754</t>
  </si>
  <si>
    <t>JL RAYA BANDARA INTERNASIONAL LOMBOK, LOMBOK TENGAH</t>
  </si>
  <si>
    <t>67H8+XM9, Jl. Bypass Bandara Int. Lombok, Tanak Awu, Kec. Pujut, Kabupaten Lombok Tengah, Nusa Tenggara Bar. 83573, Indonesia</t>
  </si>
  <si>
    <t>692ABCA</t>
  </si>
  <si>
    <t>BCA ALFAMART RAYA KOPANG</t>
  </si>
  <si>
    <t>YO27200466</t>
  </si>
  <si>
    <t>JL RAYA TIMUR MONTONG GAMANG, RT 2, MONTONG GAMANG II, MONTONG GAMANG, KOPANG, KOPANG REMBIGA, PRAYA, KABUPATEN LOMBOK TENGAH, NUSA TENGGARA BAR. 83553, INDONESIA</t>
  </si>
  <si>
    <t>9982+FRP, Kopang Rembiga, Kopang, Central Lombok Regency, West Nusa Tenggara 83553, Indonesia</t>
  </si>
  <si>
    <t>688JBCA</t>
  </si>
  <si>
    <t>BCA ALFAMART ADI SUCIPTO MATARAM</t>
  </si>
  <si>
    <t>YO27200274</t>
  </si>
  <si>
    <t>C45W+Q4J, Jl. Selaparang, Mayura, Kec. Cakranegara, Kota Mataram, Nusa Tenggara Bar. 83236, Indonesia</t>
  </si>
  <si>
    <t>634BBCA</t>
  </si>
  <si>
    <t>BCA ALFAMART JENDRAL SUDIRMAN</t>
  </si>
  <si>
    <t>YO27200375</t>
  </si>
  <si>
    <t>JL JENDRAL SUDIRMAN, KEL REMBIGA, KEC SELAPARANG, MATARAM, NTB</t>
  </si>
  <si>
    <t>Jl. Jend. Sudirman No.12, Rembiga, Kec. Selaparang, Kota Mataram, Nusa Tenggara Bar. 83124, Indonesia</t>
  </si>
  <si>
    <t>653KBCA</t>
  </si>
  <si>
    <t>BCA LOTTEM MATARAM</t>
  </si>
  <si>
    <t>YO27200266</t>
  </si>
  <si>
    <t>JL AA GEDE NUGRAH CAKRANEGARA MATARAM</t>
  </si>
  <si>
    <t>08:00-21:00</t>
  </si>
  <si>
    <t>Smart Club, Jl. A. A Gede Ngurah No.Ruko, Abian Tubuh Baru, Kec. Sandubaya, Kota Mataram, Nusa Tenggara Bar. 83232, Indonesia</t>
  </si>
  <si>
    <t>695KBCA</t>
  </si>
  <si>
    <t>BCA IDM TERONG TAWAH</t>
  </si>
  <si>
    <t>YO27200870</t>
  </si>
  <si>
    <t>JL DARUL HIKMAH BAJUR KEC LABUAPI KAB LOMBOK BARAT NTB</t>
  </si>
  <si>
    <t>94G7+V97, Jl. At-Taqwa, Bajur, Kec. Labuapi, Kabupaten Lombok Barat, Nusa Tenggara Bar. 83361, Indonesia</t>
  </si>
  <si>
    <t>5918BCA</t>
  </si>
  <si>
    <t>BCA RUMAH SAKIT BERSALIN TRESNA MTR</t>
  </si>
  <si>
    <t>YR21400160</t>
  </si>
  <si>
    <t>Jl. Bung Karno No.22-28, Mataram Tim., Kec. Mataram, Kota Mataram, Nusa Tenggara Bar. 83127, Indonesia</t>
  </si>
  <si>
    <t>Hospital</t>
  </si>
  <si>
    <t>676QBCA</t>
  </si>
  <si>
    <t>BCA GOLDEN PALACE HOTEL</t>
  </si>
  <si>
    <t>YR21400291</t>
  </si>
  <si>
    <t>JL SRIWIJAYA NO 38, MATARAM LOMBOK NTB</t>
  </si>
  <si>
    <t>Jl. Sriwijaya No.10, Sapta Marga, Kec. Mataram, Kota Mataram, Nusa Tenggara Bar. 83232, Indonesia</t>
  </si>
  <si>
    <t>695JBCA</t>
  </si>
  <si>
    <t>BCA ATM ALFA PANTAI SENGGIGI</t>
  </si>
  <si>
    <t>YR21400132</t>
  </si>
  <si>
    <t>JL. RAYA SENGGIGI, KEC. BATULAYAR, KAB. LOMBOK BARAT</t>
  </si>
  <si>
    <t>F3X2+F5X, Senggigi, Batu Layar, West Lombok Regency, West Nusa Tenggara 83355, Indonesia</t>
  </si>
  <si>
    <t>617CBCA</t>
  </si>
  <si>
    <t>BCA ATM RM TALIWANG</t>
  </si>
  <si>
    <t>YR21400270</t>
  </si>
  <si>
    <t>JL. RAYA PEMENANG, KEC. PEMENANG, KAB. LOMBOK UTARA</t>
  </si>
  <si>
    <t>Kab. Lombok Utara</t>
  </si>
  <si>
    <t>Nusa Tenggara</t>
  </si>
  <si>
    <t>Restaurant</t>
  </si>
  <si>
    <t>H4V3+V5R, West Pemenang, Pemenang, North Lombok Regency, West Nusa Tenggara 83352, Indonesia</t>
  </si>
  <si>
    <t>01RDBCA</t>
  </si>
  <si>
    <t>BCA PEPITO MARKET MANDALIKA</t>
  </si>
  <si>
    <t>YR21400196</t>
  </si>
  <si>
    <t>JALAN PARIWISATA PANTAI KUTA NO 45, KECAMATAN PUJUT, KABUPATEN LOMBOK TENGAH</t>
  </si>
  <si>
    <t>08:00-22:00</t>
  </si>
  <si>
    <t>Jl. Pariwisata Pantai Kuta No.45, Kuta, Kec. Pujut, Kabupaten Lombok Tengah, Nusa Tenggara Bar. 83573, Indonesia</t>
  </si>
  <si>
    <t>633JBCA</t>
  </si>
  <si>
    <t>BCA INDOMARET BY PASS BILL</t>
  </si>
  <si>
    <t>YR21400208</t>
  </si>
  <si>
    <t>JL. BY PASS BILL NO 4 BATUJAI LOMBOK TENGAH</t>
  </si>
  <si>
    <t>76M9+CW5, Batujai, Praya Barat, Central Lombok Regency, West Nusa Tenggara 83561, Indonesia</t>
  </si>
  <si>
    <t>ZLN2BCA</t>
  </si>
  <si>
    <t>BCA ALFA MANTANG</t>
  </si>
  <si>
    <t>YR25400092</t>
  </si>
  <si>
    <t>JL RAYA MANTANG MANTANG BATUKLIANG LOMBOK TENGAH</t>
  </si>
  <si>
    <t>98M6+WWM, Jl. Raya Mantang, Mantang, Kec. Batukliang, Kabupaten Lombok Tengah, Nusa Tenggara Bar. 83552, Indonesia</t>
  </si>
  <si>
    <t>ZLX2BCA</t>
  </si>
  <si>
    <t>BCA ALFA MANDALIKA MATARAM</t>
  </si>
  <si>
    <t>YR25400171</t>
  </si>
  <si>
    <t>JL TGH FAISAL, GERUNG BUTUN, MANDALIKA, SANDUBAYA, MATARAM</t>
  </si>
  <si>
    <t>Jl. TGH. Faesal No.14-10, Mandalika, Kec. Sandubaya, Kota Mataram, Nusa Tenggara Bar. 83233, Indonesia</t>
  </si>
  <si>
    <t>ZRE5BCA</t>
  </si>
  <si>
    <t>BCA IDM S PARMAN LOMBOK TGH</t>
  </si>
  <si>
    <t>YR25400668</t>
  </si>
  <si>
    <t>JL S PARMAN, PRAYA, LOMBOK TENGAH, LOMBOK</t>
  </si>
  <si>
    <t>77W9+JF5, Jl. S.Parman, Leneng, Kec. Praya, Kabupaten Lombok Tengah, Nusa Tenggara Bar. 83511, Indonesia</t>
  </si>
  <si>
    <t>ZRF5BCA</t>
  </si>
  <si>
    <t>BCA ALFAMART PANTAI KUTA LOMBOK TENGAH</t>
  </si>
  <si>
    <t>YR25400636</t>
  </si>
  <si>
    <t>JL. PANTAI KUTA, KUTA, PUJUT, LOMBOK TENGAH</t>
  </si>
  <si>
    <t>476G+6G7, Kuta, Pujut, Central Lombok Regency, West Nusa Tenggara 83573, Indonesia</t>
  </si>
  <si>
    <t>ZRJ5BCA</t>
  </si>
  <si>
    <t>BCA  INDOMARET BUNG HATTA MATARAM</t>
  </si>
  <si>
    <t>YR25400719</t>
  </si>
  <si>
    <t>JL. BUNG HATTA NOMOR 37, PENJANGGIK MATARAM</t>
  </si>
  <si>
    <t>Jl. Terusan Bung Hatta No.37, Pejanggik, Kec. Mataram, Kota Mataram, Nusa Tenggara Bar. 83239, Indonesia</t>
  </si>
  <si>
    <t>ZRK5BCA</t>
  </si>
  <si>
    <t>BCA IDM DR WAHIDIN MATARAM</t>
  </si>
  <si>
    <t>YR25400740</t>
  </si>
  <si>
    <t>JL DR WAHIDIN KEL REMBIGA MATARAM</t>
  </si>
  <si>
    <t>Jl. Halmahera No.6A, Rembiga, Kec. Selaparang, Kota Mataram, Nusa Tenggara Bar. 83124, Indonesia</t>
  </si>
  <si>
    <t>ZRL5BCA</t>
  </si>
  <si>
    <t>BCA IDM Industri Ampenan</t>
  </si>
  <si>
    <t>YR25400558</t>
  </si>
  <si>
    <t>Jl Industri No 1 Ampenan Selatan, Ampenan, Mataram</t>
  </si>
  <si>
    <t>C3FJ+552, South Ampenan, Ampenan, Mataram City, West Nusa Tenggara 83112, Indonesia</t>
  </si>
  <si>
    <t>ZRM5BCA</t>
  </si>
  <si>
    <t>BCA IDM LEMBAR LOMBOK BARAT</t>
  </si>
  <si>
    <t>YR25400586</t>
  </si>
  <si>
    <t>73FG+J5Q, Jl. Pelabuhan Lembar, Lembar, Kec. Lembar, Kabupaten Lombok Barat, Nusa Tenggara Bar. 83364, Indonesia</t>
  </si>
  <si>
    <t>ZRN5BCA</t>
  </si>
  <si>
    <t>BCA IDM KUTA LOMBOK TENGAH</t>
  </si>
  <si>
    <t>YR25400311</t>
  </si>
  <si>
    <t>JL PARIWISATA, KUTA, PUJUT, LOMBOK TENGAH</t>
  </si>
  <si>
    <t>475J+RG8, Jl. Pariwisata Pantai Kuta, Kuta, Kec. Pujut, Kabupaten Lombok Tengah, Nusa Tenggara Bar. 83573, Indonesia</t>
  </si>
  <si>
    <t>ZRP5BCA</t>
  </si>
  <si>
    <t>BCA COCO MART EXPRESS GILI TRAWANGAN</t>
  </si>
  <si>
    <t>YR25400728</t>
  </si>
  <si>
    <t>GILI TRAWANGAN, KEC PEMENANG, LOMBOK UTARA</t>
  </si>
  <si>
    <t>J2RR+XG6, Gili Indah, Pemenang, North Lombok Regency, West Nusa Tenggara 83352, Indonesia</t>
  </si>
  <si>
    <t>00FUBCA</t>
  </si>
  <si>
    <t>BCA KANTOR OJK NTB</t>
  </si>
  <si>
    <t>YO27200498</t>
  </si>
  <si>
    <t>Jl. Yos Sudarso No.2, Pejeruk, Kec. Ampenan, Kota Mataram, Nusa Tenggara Bar. 83112, Indonesia</t>
  </si>
  <si>
    <t>ZQU2BCA</t>
  </si>
  <si>
    <t>BCA CRM ALFAMART GERUNG II</t>
  </si>
  <si>
    <t>YR25400713</t>
  </si>
  <si>
    <t>GERUNG UTARA, KEC. GERUNG, KAB. LOMBOK BARAT</t>
  </si>
  <si>
    <t>847F+MJJ, North Gerung, Gerung, West Lombok Regency, West Nusa Tenggara 83363, Indonesia</t>
  </si>
  <si>
    <t>ZQV2BCA</t>
  </si>
  <si>
    <t>BCA ALFAMART GUNUNGSARI</t>
  </si>
  <si>
    <t>YR25400460</t>
  </si>
  <si>
    <t>JL. JURUSAN TANJUNG LOMBOK BARAT  KAB. LOMBOK BARAT  NUSA TENGGARA BARAT</t>
  </si>
  <si>
    <t>F444+JW2, Gunung Sari, Gunungsari, West Lombok Regency, West Nusa Tenggara 83351, Indonesia</t>
  </si>
  <si>
    <t>ZLY2BCA</t>
  </si>
  <si>
    <t>BCA ALFAMART BATU RINGGIT MATARAM</t>
  </si>
  <si>
    <t>YR25400223</t>
  </si>
  <si>
    <t>Jl. Panji Tilar Negara No.99, Kekalik Jaya, Kec. Sekarbela, Kota Mataram, Nusa Tenggara Bar. 83115, Indonesia</t>
  </si>
  <si>
    <t>Z7RJBCA</t>
  </si>
  <si>
    <t>BCA CAKRANEGARA CRM 9</t>
  </si>
  <si>
    <t>YT21400433</t>
  </si>
  <si>
    <t>Jl. Pejanggik No.67, Cilinaya, Kec. Cakranegara, Kota Mataram, Nusa Tenggara Bar. 83231, Indonesia</t>
  </si>
  <si>
    <t>Z7RHBCA</t>
  </si>
  <si>
    <t>BCA CAKRANEGARA CRM 8</t>
  </si>
  <si>
    <t>YT21400332</t>
  </si>
  <si>
    <t>Jl. Pejanggik No.20-22, Cakranegara Bar., Kec. Cakranegara, Kota Mataram, Nusa Tenggara Bar. 83239, Indonesia</t>
  </si>
  <si>
    <t>Z2FCBCA</t>
  </si>
  <si>
    <t>BCA PRAYA</t>
  </si>
  <si>
    <t>YT21400328</t>
  </si>
  <si>
    <t>JL. JENDRAL SUDIRMAN, PRAYA, LOMBOK TENGAH</t>
  </si>
  <si>
    <t>Jl. Jend. Sudirman No.23, Praya, Kec. Praya, Kabupaten Lombok Tengah, Nusa Tenggara Bar. 83511, Indonesia</t>
  </si>
  <si>
    <t>Z07VBCA</t>
  </si>
  <si>
    <t>BCA Cakranegara CRM 4</t>
  </si>
  <si>
    <t>YT21400434</t>
  </si>
  <si>
    <t>Z07UBCA</t>
  </si>
  <si>
    <t>BCA Cakranegara CRM 3</t>
  </si>
  <si>
    <t>YT21400045</t>
  </si>
  <si>
    <t>Jl. Pejanggik No.24a, Cakranegara Bar., Kec. Cakranegara, Kota Mataram, Nusa Tenggara Bar. 83239, Indonesia</t>
  </si>
  <si>
    <t>Z07TBCA</t>
  </si>
  <si>
    <t>BCA Cakranegara CRM 2</t>
  </si>
  <si>
    <t>YT21400436</t>
  </si>
  <si>
    <t>Jl. Pejanggik No.65a, Cilinaya, Kec. Mataram, Kota Mataram, Nusa Tenggara Bar. 83239, Indonesia</t>
  </si>
  <si>
    <t>Z07RBCA</t>
  </si>
  <si>
    <t>BCA Cakranegara CRM 1</t>
  </si>
  <si>
    <t>YT21400342</t>
  </si>
  <si>
    <t>No, Jl. Pejanggik No.24, Cilinaya, Kec. Cakranegara, Kota Mataram, Nusa Tenggara Bar. 83239, Indonesia</t>
  </si>
  <si>
    <t>Z4WBBCA</t>
  </si>
  <si>
    <t>BCA Ampenan CRM 3</t>
  </si>
  <si>
    <t>YT21400335</t>
  </si>
  <si>
    <t>Jl Saleh Sungkar no 37, Ampenan, Mataram</t>
  </si>
  <si>
    <t>Jl. Saleh Sungkar No.37, Bintaro, Kec. Ampenan, Kota Mataram, Nusa Tenggara Bar. 83114, Indonesia</t>
  </si>
  <si>
    <t>Z07QBCA</t>
  </si>
  <si>
    <t>BCA Ampenan CRM 2</t>
  </si>
  <si>
    <t>YT21400313</t>
  </si>
  <si>
    <t>Jl. Saleh Sungkar No.37, Bintaro, Kec. Ampenan, Kota Mataram, Nusa Tenggara Bar. 83511, Indonesia</t>
  </si>
  <si>
    <t>Z07PBCA</t>
  </si>
  <si>
    <t>BCA Ampenan CRM 1</t>
  </si>
  <si>
    <t>YT21400216</t>
  </si>
  <si>
    <t>Z1ZABCA</t>
  </si>
  <si>
    <t>BCA GBI MATRAMAN</t>
  </si>
  <si>
    <t>YT21400004</t>
  </si>
  <si>
    <t>JL IGK JELINTIK GOSA NO 23 GEBANG MATRAMAN NTB</t>
  </si>
  <si>
    <t>Jl IGK Jl. Jelantik Gosa No.23, Sapta Marga, Kec. Cakranegara, Kota Mataram, Nusa Tenggara Bar. 83231, Indonesia</t>
  </si>
  <si>
    <t>00DPBCA</t>
  </si>
  <si>
    <t>BCA SPBU Pagutan</t>
  </si>
  <si>
    <t>YR21400490</t>
  </si>
  <si>
    <t>Jl. Bung Karno No.78C, Pagesangan Timur., Kecamatan Mataram, Kota Mataram, Nusa Tenggara Barat</t>
  </si>
  <si>
    <t>JL. Banda Sraya, Pondok Indah, Pagutan, 94R7+5VM, Pagutan Tim., Kec. Mataram, Kota Mataram, Nusa Tenggara Bar. 83127, Indonesia</t>
  </si>
  <si>
    <t>01KCBCA</t>
  </si>
  <si>
    <t>BCA PARADISUS BY MELIA</t>
  </si>
  <si>
    <t>YH98200040</t>
  </si>
  <si>
    <t>Kawasan Pariwisata ITDC Lot. 1, Jl. Raya Nusa Dua Selatan, Benoa, Kec. Kuta Sel., Kabupaten Badung, Bali 80363, Indonesia</t>
  </si>
  <si>
    <t>Kota Denpasar</t>
  </si>
  <si>
    <t>Bali</t>
  </si>
  <si>
    <t>ACBL-Abacus Bali</t>
  </si>
  <si>
    <t>AHA</t>
  </si>
  <si>
    <t>Arif Rahman Hakim</t>
  </si>
  <si>
    <t>Denpasar</t>
  </si>
  <si>
    <t>jalan taman pancing gg nila no 1. Br. Gelogor Carik, Kel. Pemogan. Kec. Denpasar Selatan. Denpasar. Bali</t>
  </si>
  <si>
    <t>Kantor Cabang Denpasar</t>
  </si>
  <si>
    <t>jl. Batas dukuh sari perum.sentana graha B21 sesetan denpasr</t>
  </si>
  <si>
    <t>YH98</t>
  </si>
  <si>
    <t>002A/DIP-BCA/PKS/ATM/III/2021</t>
  </si>
  <si>
    <t>686MBCA</t>
  </si>
  <si>
    <t>BCA ATM  CIRCLE K TRIDAYA CANGGU</t>
  </si>
  <si>
    <t>YH98200061</t>
  </si>
  <si>
    <t>Jl. Raya Canggu No.18A, Tibubeneng, Kec. Kuta Utara, Kabupaten Badung, Bali 80361, Indonesia</t>
  </si>
  <si>
    <t>Kab. Badung</t>
  </si>
  <si>
    <t>EAS</t>
  </si>
  <si>
    <t>Eko Adi Sugiyantoro</t>
  </si>
  <si>
    <t>139PBCA</t>
  </si>
  <si>
    <t>BCA CIRCLE K 0109 MELASTI</t>
  </si>
  <si>
    <t>YH98200023</t>
  </si>
  <si>
    <t>Jl. Melasti No.23, Legian, Kuta, Kabupaten Badung, Bali 80361, Indonesia</t>
  </si>
  <si>
    <t>PTD</t>
  </si>
  <si>
    <t>I Putu Dendy Pratama</t>
  </si>
  <si>
    <t>139TBCA</t>
  </si>
  <si>
    <t>BCA CIRCLE K CK0136  BANJAR SEMER</t>
  </si>
  <si>
    <t>YH98200031</t>
  </si>
  <si>
    <t>JL. BR SEMER NO. 27 KEROBOKAN KUTA UTARA BADUNG 80361</t>
  </si>
  <si>
    <t>SHR</t>
  </si>
  <si>
    <t>Suhel Risdianto</t>
  </si>
  <si>
    <t>Jl. Raya Semer No.34, Kerobokan Kelod, Kec. Kuta Utara, Kabupaten Badung, Bali 80361, Indonesia</t>
  </si>
  <si>
    <t>Jl. Wayan Gentuh III No.31, Dalung, Kec. Kuta Utara, Kabupaten Badung, Bali 80361</t>
  </si>
  <si>
    <t>00H8BCA</t>
  </si>
  <si>
    <t>BCA CK PECATU UTARA</t>
  </si>
  <si>
    <t>YH98200041</t>
  </si>
  <si>
    <t>JL DAHLIA RAYA,PECATU,KEC.KUTA SEL. KABUPATEN BADUNG,BALI</t>
  </si>
  <si>
    <t>Kab. Gianyar</t>
  </si>
  <si>
    <t>Jl. Raya Uluwatu Pecatu No.186, Ungasan, Kec. Kuta Sel., Kabupaten Badung, Bali 80361, Indonesia</t>
  </si>
  <si>
    <t>139UBCA</t>
  </si>
  <si>
    <t>BCA CIRCLE K 0137 NUSA DUA</t>
  </si>
  <si>
    <t>YH98200089</t>
  </si>
  <si>
    <t>JL. BY PASS NGURAH RAI NUSA DUA BADUNG 80361</t>
  </si>
  <si>
    <t>Jl. Nusa Dua Blok EIII No.29, Benoa, Kec. Kuta Sel., Kabupaten Badung, Bali 80363, Indonesia</t>
  </si>
  <si>
    <t>Jl cempaka putih gg 2 sanur denpasar selatan</t>
  </si>
  <si>
    <t>143JBCA</t>
  </si>
  <si>
    <t>BCA CIRCLE K CK0226 WR SUPRATMAN</t>
  </si>
  <si>
    <t>YH98200056</t>
  </si>
  <si>
    <t>JL WR SUPRATMAN NO 28 DENPASAR
KOTA DENPASAR, BALI	 - 80233</t>
  </si>
  <si>
    <t>ANBL-Andalan Bali</t>
  </si>
  <si>
    <t>FAF</t>
  </si>
  <si>
    <t>Farozan Ali Fahmi</t>
  </si>
  <si>
    <t>Jl. WR Supratman No.28, Sumerta Kauh, Kec. Denpasar Tim., Kota Denpasar, Bali 80236, Indonesia</t>
  </si>
  <si>
    <t>Gg Puyuh No 26 Jl. Sidakarya Sesetan Denpasar Selatan</t>
  </si>
  <si>
    <t>032OBCA</t>
  </si>
  <si>
    <t>BCA TUNA LONG LINE INDONESIA</t>
  </si>
  <si>
    <t>YH98200042</t>
  </si>
  <si>
    <t>Jl. Ikan Tuna III No.11, Pedungan, Denpasar Selatan, Kota Denpasar, Bali 80222, Indonesia</t>
  </si>
  <si>
    <t>Gg. Harum, Sanur Kauh, Denpasar Selatan, Kota Denpasar, Bali</t>
  </si>
  <si>
    <t>651MBCA</t>
  </si>
  <si>
    <t>BCA CIRCLE K TOHPATI 1</t>
  </si>
  <si>
    <t>YH98200036</t>
  </si>
  <si>
    <t>JL. WR SUPRATMAN NO.132, KESIMAN KERTALANGU, KEC. DENPASAR TIM., KOTA DENPASAR, BALI 80237</t>
  </si>
  <si>
    <t>Mall</t>
  </si>
  <si>
    <t>Jl. WR Supratman No.132x, Dangin Puri Kangin, Kec. Denpasar Tim., Kota Denpasar, Bali 80237, Indonesia</t>
  </si>
  <si>
    <t>353DBCA</t>
  </si>
  <si>
    <t>BCA BI DENPASAR</t>
  </si>
  <si>
    <t>YH98200047</t>
  </si>
  <si>
    <t>JL BRIGJEN TANTULAR NO 2 DENPASAR BALI 60223</t>
  </si>
  <si>
    <t>Office Private</t>
  </si>
  <si>
    <t>08:00-17:00</t>
  </si>
  <si>
    <t>RRW</t>
  </si>
  <si>
    <t>Revaldi Resha Wardhana</t>
  </si>
  <si>
    <t>Jl. Letda Tantular No.8, Dangin Puri Klod, Kec. Denpasar Tim., Kota Denpasar, Bali 80232, Indonesia</t>
  </si>
  <si>
    <t>494JBCA</t>
  </si>
  <si>
    <t>BCA GARUDA WISNU KENCANA KENCANA SOUVENIR</t>
  </si>
  <si>
    <t>YH98200054</t>
  </si>
  <si>
    <t>JL. RAYA ULUWATU,UNGGASAN,KUTA SELATAN KAB BADUNG</t>
  </si>
  <si>
    <t>GWK Amphitheater, Ungasan, Kec. Kuta Sel., Kabupaten Badung, Bali, Indonesia</t>
  </si>
  <si>
    <t>194YBCA</t>
  </si>
  <si>
    <t>BCA PELABUHAN PADANG BAI</t>
  </si>
  <si>
    <t>YN23200082</t>
  </si>
  <si>
    <t>JALAN PELABUHAN PADANG BAI KARANGASEM 80871</t>
  </si>
  <si>
    <t>Kab. Karangasem</t>
  </si>
  <si>
    <t>Shopping Center</t>
  </si>
  <si>
    <t>Jl. Pelabuhan Padang Bai No.45, Padangbai, Kec. Manggis, Kabupaten Karangasem, Bali 80871, Indonesia</t>
  </si>
  <si>
    <t>darat</t>
  </si>
  <si>
    <t>614YBCA</t>
  </si>
  <si>
    <t>BCA CIRCLE K KAMBOJA BAL0270</t>
  </si>
  <si>
    <t>YH98200022</t>
  </si>
  <si>
    <t>Jl. Kamboja No.22 A, Dangin Puri Kangin, Kec. Denpasar Utara, Kota Denpasar, Bali 80236, Indonesia</t>
  </si>
  <si>
    <t>665MBCA</t>
  </si>
  <si>
    <t xml:space="preserve">BCA TOKO AYU PULAU GALANG 1 </t>
  </si>
  <si>
    <t>YK19200053</t>
  </si>
  <si>
    <t xml:space="preserve">JL. PULAU GALANG NO.33, PEMOGAN, KEC. DENPASAR SEL., KOTA </t>
  </si>
  <si>
    <t>Jl. Pulau Galang No.33, Pemogan, Denpasar Selatan, Kota Denpasar, Bali 80119, Indonesia</t>
  </si>
  <si>
    <t>0169BCA</t>
  </si>
  <si>
    <t>BCA CLUB MED HOTEL  KAWASAN PARIWISATA NUSA DUA BTDC LOT 6</t>
  </si>
  <si>
    <t>YK19200392</t>
  </si>
  <si>
    <t>JL RAYA NUSA DUA SELATAN, BENOA, BADUNG, BALI  80363</t>
  </si>
  <si>
    <t>665J+R57, Benoa, South Kuta, Badung Regency, Bali 80361, Indonesia</t>
  </si>
  <si>
    <t>00F5BCA</t>
  </si>
  <si>
    <t>BCA HOTEL THE MANSION UBUD</t>
  </si>
  <si>
    <t>YN23200090</t>
  </si>
  <si>
    <t>JL PENESTANAN SAYAN KEC UBUD KAB GIANYAR BALI</t>
  </si>
  <si>
    <t>F6WW+83C, Sayan, Ubud, Gianyar Regency, Bali 80571, Indonesia</t>
  </si>
  <si>
    <t>619EBCA</t>
  </si>
  <si>
    <t>BCA MINIMARKET KEMBAR ARTHA</t>
  </si>
  <si>
    <t>YN23200005</t>
  </si>
  <si>
    <t>JL. GN. SOPUTAN NO.35, PADANGSAMBIAN KLOD, KEC. DENPASAR BAR., KOTA DENPASAR, BALI 80117</t>
  </si>
  <si>
    <t>Jl. Gn. Soputan No.115, Padangsambian Klod, Kec. Denpasar Bar., Kota Denpasar, Bali 80117, Indonesia</t>
  </si>
  <si>
    <t>664BBCA</t>
  </si>
  <si>
    <t>YN23200067</t>
  </si>
  <si>
    <t>Jl. Gn. Soputan No.66, Padangsambian Klod, Kec. Denpasar Bar., Kota Denpasar, Bali 80117, Indonesia</t>
  </si>
  <si>
    <t>032LBCA</t>
  </si>
  <si>
    <t>BCA PIA LEGONG</t>
  </si>
  <si>
    <t>YO27200125</t>
  </si>
  <si>
    <t>JLN. BY PASS NGURAH RAI KUTA, BADUNG BALI</t>
  </si>
  <si>
    <t>Jl. Bypass Ngurah Rai No.99, Tuban, Kec. Kuta, Kabupaten Badung, Bali 80361, Indonesia</t>
  </si>
  <si>
    <t>334RBCA</t>
  </si>
  <si>
    <t>BCA PEPITO EXPRESS PECATU</t>
  </si>
  <si>
    <t>YO27200449</t>
  </si>
  <si>
    <t>Jl. Raya Uluwatu No.101, Ungasan, Kec. Kuta Sel., Kabupaten Badung, Bali 80361, Indonesia</t>
  </si>
  <si>
    <t>305PBCA</t>
  </si>
  <si>
    <t>BCA CIRCLE K 0244 GUNUNG SANGHYANG</t>
  </si>
  <si>
    <t>YO27200597</t>
  </si>
  <si>
    <t>JL GUNUNG SANGHYANG KEROBOKAN KUTA UTARA BADUNG</t>
  </si>
  <si>
    <t>Jl. Gunung Sanghyang No.12E, Kerobokan, Kec. Kuta Utara, Kabupaten Badung, Bali 80361, Indonesia</t>
  </si>
  <si>
    <t>305QBCA</t>
  </si>
  <si>
    <t>BCA Circle K 0405 Munggu Mengwi</t>
  </si>
  <si>
    <t>YO27200594</t>
  </si>
  <si>
    <t>Jl Raya Munggu Banjar Pempatan Desa Munggu Kec Mengwi Kab Badung</t>
  </si>
  <si>
    <t>Jl. Raya Munggu, Kuta Utara, 94GF+C5G, Jl. By Pass Tanah Lot, Munggu, Kec. Mengwi, Kabupaten Badung, Bali 80351, Indonesia</t>
  </si>
  <si>
    <t>320TBCA</t>
  </si>
  <si>
    <t>BCA AYANA RESORT &amp; SPA BALI</t>
  </si>
  <si>
    <t>YO27200637</t>
  </si>
  <si>
    <t>647Q+GP, JIMBARAN, KEC. KUTA SEL., KABUPATEN BADUNG, BALI 80361, INDONESIA</t>
  </si>
  <si>
    <t>MNN</t>
  </si>
  <si>
    <t>Muhammad Ngainun Najib</t>
  </si>
  <si>
    <t>647Q+GP, Jimbaran, Kec. Kuta Sel., Kabupaten Badung, Bali 80361, Indonesia</t>
  </si>
  <si>
    <t>355TBCA</t>
  </si>
  <si>
    <t>BCA Alfamart Q073 Canggu</t>
  </si>
  <si>
    <t>YO27200435</t>
  </si>
  <si>
    <t>Jl Raya Canggu Kerobokan Kuta Utara Badung</t>
  </si>
  <si>
    <t>Jl. Raya Canggu No.27, Kerobokan, Kec. Kuta Utara, Kabupaten Badung, Bali 80361, Indonesia</t>
  </si>
  <si>
    <t>355UBCA</t>
  </si>
  <si>
    <t>BCA ALFAMART Q215 TEUKU UMAR BARAT</t>
  </si>
  <si>
    <t>YO27200451</t>
  </si>
  <si>
    <t>JL TEUKU UMAR BARAT, LINGK PENGABENGAN KANGIN, KEL KEROBOKAN, KUTA UTARA, BADUNG</t>
  </si>
  <si>
    <t>Jl. Merta Ayu No.9, Kerobokan Kelod, Kec. Kuta Utara, Kabupaten Badung, Bali 80361, Indonesia</t>
  </si>
  <si>
    <t>355VBCA</t>
  </si>
  <si>
    <t>BCA ALFAMART Q231 MAMBAL</t>
  </si>
  <si>
    <t>YO27200472</t>
  </si>
  <si>
    <t>JL RAYA MAMBAL BANJAR AGUNG KEC ABIANSEMAL BADUNG</t>
  </si>
  <si>
    <t>Jl. Raya Mambal Abiansemal, Mambal, Abiansemal, Kabupaten Badung, Bali 80352, Mambal, Kec. Abiansemal, Kabupaten Badung, Bali 80352, Indonesia</t>
  </si>
  <si>
    <t>355XBCA</t>
  </si>
  <si>
    <t>BCA ALFAMART Q290 DARMASABA</t>
  </si>
  <si>
    <t>YO27200550</t>
  </si>
  <si>
    <t>JL DARMASABA, LINGK PENINJOAN DARMASABA, KEC ABIANSEMAL, BADUNG</t>
  </si>
  <si>
    <t>C676+9P9, Darmasaba, Abiansemal, Badung Regency, Bali 80352, Indonesia</t>
  </si>
  <si>
    <t>356ABCA</t>
  </si>
  <si>
    <t>BCA Alfamart Q318 Tibung Sari</t>
  </si>
  <si>
    <t>YO27200542</t>
  </si>
  <si>
    <t>Jl Tibung Sari Lingk Kwanji Dalung Badung</t>
  </si>
  <si>
    <t>Jl. Tibung Sari No.69, Padangsambian Kaja, Kec. Denpasar Bar., Kota Denpasar, Bali 80117, Indonesia</t>
  </si>
  <si>
    <t>365KBCA</t>
  </si>
  <si>
    <t>BCA INDOMARET DEWI SARTIKA BADUNG BALI</t>
  </si>
  <si>
    <t>YO27200691</t>
  </si>
  <si>
    <t>JL DEWI SARTIKA KUTA - BADUNG BALI</t>
  </si>
  <si>
    <t>Jl. Kartika Plaza No.19, Tuban, Kec. Kuta, Kabupaten Badung, Bali 80361, Indonesia</t>
  </si>
  <si>
    <t>365LBCA</t>
  </si>
  <si>
    <t>BCA INDOMARET MERTANADI  BADUNG BALI</t>
  </si>
  <si>
    <t>YO27200739</t>
  </si>
  <si>
    <t>JL MERTANADI, KEROBOKAN KLOD KUTA UTR BADUNG</t>
  </si>
  <si>
    <t>Jl. Raya Legian No.66, Kuta, Kec. Kuta, Kabupaten Badung, Bali 80361, Indonesia</t>
  </si>
  <si>
    <t>00VCBCA</t>
  </si>
  <si>
    <t>BCA BANDARA NGURAH RAI ATM CE</t>
  </si>
  <si>
    <t>YO27200565</t>
  </si>
  <si>
    <t>JALAN RAYA GUSTI NGURAH RAI, TUBAN, KUTA, BADUNG REGENCY, BALI  80362</t>
  </si>
  <si>
    <t>7547+9J, Tuban, Kec. Kuta, Kabupaten Badung, Bali, Indonesia</t>
  </si>
  <si>
    <t>519CBCA</t>
  </si>
  <si>
    <t>BCA INDOMARET PANDU BADUNG KUTA BALI</t>
  </si>
  <si>
    <t>YO27200752</t>
  </si>
  <si>
    <t>JL PANDU, KUTA UTARA BADUNG BALI</t>
  </si>
  <si>
    <t>Jl. Pandu No.19, Dalung, Kec. Kuta Utara, Kabupaten Badung, Bali 80361, Indonesia</t>
  </si>
  <si>
    <t>686VBCA</t>
  </si>
  <si>
    <t>BCA RS MURNI TEGUH</t>
  </si>
  <si>
    <t>YO27200563</t>
  </si>
  <si>
    <t>JL. RAYA KUTA NO.45A, TUBAN, KEC. KUTA, KABUPATEN BADUNG, BALI 80361, INDONESIA</t>
  </si>
  <si>
    <t>Jl. Raya Kuta No.45a, Tuban, Kec. Kuta, Kabupaten Badung, Bali 80361, Indonesia</t>
  </si>
  <si>
    <t>031VBCA</t>
  </si>
  <si>
    <t>BCA SEMINYAK SQUARE</t>
  </si>
  <si>
    <t>YO27200570</t>
  </si>
  <si>
    <t>8584+GMM, Seminyak, Kuta, Badung Regency, Bali, Indonesia</t>
  </si>
  <si>
    <t>BBY</t>
  </si>
  <si>
    <t>Bambang Yuniarko</t>
  </si>
  <si>
    <t>01H0BCA</t>
  </si>
  <si>
    <t>BCA MINIMART SEMER</t>
  </si>
  <si>
    <t>YO27200578</t>
  </si>
  <si>
    <t>85Q7+6RX, Kerobokan Kelod, Kuta Utara, Badung Regency, Bali 80361, Indonesia</t>
  </si>
  <si>
    <t>315EBCA</t>
  </si>
  <si>
    <t>BCA ALFAMART ULUWATU V</t>
  </si>
  <si>
    <t>YO27200635</t>
  </si>
  <si>
    <t>JL RAYA ULUWATU LINGK KELAN ABIAN KEL KELAN KEC KUTA BADUNG</t>
  </si>
  <si>
    <t>65XH+25H Link.Kelan Abian, Jl. Raya Uluwatu, Tuban, Kec. Kuta, Kabupaten Badung, Bali 80361, Indonesia</t>
  </si>
  <si>
    <t>334UBCA</t>
  </si>
  <si>
    <t>BCA Pepito Petitenget</t>
  </si>
  <si>
    <t>YO27200639</t>
  </si>
  <si>
    <t>Jl Petitenget Kel Kerobokan Kab Badung</t>
  </si>
  <si>
    <t>Jl. Petitenget No.18, Kerobokan Kelod, Kec. Kuta Utara, Kabupaten Badung, Bali 80361, Indonesia</t>
  </si>
  <si>
    <t>01B2BCA</t>
  </si>
  <si>
    <t>BCA ALFA MULAWARMAN</t>
  </si>
  <si>
    <t>YO27200703</t>
  </si>
  <si>
    <t>JL MULAWARMAN NO.503, ABIANBASE  80515</t>
  </si>
  <si>
    <t>Jl. Mulawarman No.503, Abianbase, Kec. Gianyar, Kabupaten Gianyar, Bali 80515, Indonesia</t>
  </si>
  <si>
    <t>016UBCA</t>
  </si>
  <si>
    <t xml:space="preserve">BCA IDM TUKAD BADUNG DENPASAR </t>
  </si>
  <si>
    <t>YO27200769</t>
  </si>
  <si>
    <t xml:space="preserve"> JL. TUKAD BADUNG NO.20, PANJER, DENPASAR SELATAN, KOTA DENPASAR,  80225</t>
  </si>
  <si>
    <t>Jl. Tukad Badung 20 No.22, Renon, Denpasar Selatan, Kota Denpasar, Bali 80234, Indonesia</t>
  </si>
  <si>
    <t>374TBCA</t>
  </si>
  <si>
    <t>BCA INDOMARET IR SOEKARNO ABANAN BALI</t>
  </si>
  <si>
    <t>YO27200043</t>
  </si>
  <si>
    <t>JL IR SOEKARNO NO 77X DAUH PEKEN TABANAN BALI</t>
  </si>
  <si>
    <t>Kab. Tabanan</t>
  </si>
  <si>
    <t>Jl. Dr. Ir. Soekarno No.77, Dauh Peken, Kec. Tabanan, Kabupaten Tabanan, Bali 82113, Indonesia</t>
  </si>
  <si>
    <t>651JBCA</t>
  </si>
  <si>
    <t>BCA CIRCLE K 129 BAL 0236 GATOT SUBROTO 1</t>
  </si>
  <si>
    <t>YO27200533</t>
  </si>
  <si>
    <t>JL GATOT SUBROTO BARAT DENPASAR</t>
  </si>
  <si>
    <t>Jl. Gatot Subroto Barat No.888, Pemecutan Kaja, Kec. Denpasar Utara, Kota Denpasar, Bali 80116, Indonesia</t>
  </si>
  <si>
    <t>006SBCA</t>
  </si>
  <si>
    <t>BCA Depo Bangunan Denpasar</t>
  </si>
  <si>
    <t>YO27200535</t>
  </si>
  <si>
    <t>Jl. Teuku Umar Barat 388 (Marlboro), Denpasar</t>
  </si>
  <si>
    <t>Jl. Teuku Umar Barat No.888, Padangsambian Klod, Kec. Denpasar Bar., Kota Denpasar, Bali 80119, Indonesia</t>
  </si>
  <si>
    <t>371XBCA</t>
  </si>
  <si>
    <t>BCA ALFAMART Q243 GUNUNG AGUNG</t>
  </si>
  <si>
    <t>YO27200613</t>
  </si>
  <si>
    <t>JL GUNUNG AGUNG NO 146 PADANG SAMBIAN DPS</t>
  </si>
  <si>
    <t>Jl. Gn. Agung No.179, Tegal Kertha, Kec. Denpasar Bar., Kota Denpasar, Bali 80111, Indonesia</t>
  </si>
  <si>
    <t>688DBCA</t>
  </si>
  <si>
    <t>BCA CK DAPUR EXPRESS RENON</t>
  </si>
  <si>
    <t>YO27200516</t>
  </si>
  <si>
    <t>JL. TUKAD YEH AYA NO 128 RENON DENPASAR SELATAN</t>
  </si>
  <si>
    <t>Jl. Tukad Yeh Aya No.128, Renon, Denpasar Selatan, Kota Denpasar, Bali 80239, Indonesia</t>
  </si>
  <si>
    <t>532DBCA</t>
  </si>
  <si>
    <t>BCA ALFAMART SURADIPA</t>
  </si>
  <si>
    <t>YO27200440</t>
  </si>
  <si>
    <t>JL SURADIPA, LINGK PEGUYANGAN DENPASAR</t>
  </si>
  <si>
    <t>96Q6+9HQ, Jl. Suradipa, Peguyangan Kaja, Kec. Denpasar Utara, Kota Denpasar, Bali 80239, Indonesia</t>
  </si>
  <si>
    <t>5753BCA</t>
  </si>
  <si>
    <t>BCA Super Ekonomi Malboro</t>
  </si>
  <si>
    <t>YO27200436</t>
  </si>
  <si>
    <t>Lt. 2, Se Supermarket, Jl. Teuku Umar Barat, Pemecutan Klod, Kec. Denpasar Bar., Kota Denpasar, Bali 80119, Indonesia</t>
  </si>
  <si>
    <t>611ZBCA</t>
  </si>
  <si>
    <t>BCA ALFAMART KEROBOKAN III</t>
  </si>
  <si>
    <t>YO27200545</t>
  </si>
  <si>
    <t>Jl. Raya Kerobokan No.8a, Kerobokan Kelod, Kec. Kuta Utara, Kabupaten Badung, Bali 80361, Indonesia</t>
  </si>
  <si>
    <t>6521BCA</t>
  </si>
  <si>
    <t>BCA MITRA 10 DENPASAR</t>
  </si>
  <si>
    <t>YO27200606</t>
  </si>
  <si>
    <t>JL. GATOT SUBROTO BARAT, DENPASAR</t>
  </si>
  <si>
    <t>Jl. Gatot Subroto Barat No.405, Padangsambian Kaja, Kec. Denpasar Bar., Kota Denpasar, Bali 80118, Indonesia</t>
  </si>
  <si>
    <t>144ZBCA</t>
  </si>
  <si>
    <t>BCA YAMAHA NGURAH RAI</t>
  </si>
  <si>
    <t>YO27200463</t>
  </si>
  <si>
    <t xml:space="preserve">JL BY PASS NGURAH RAI NO 38 JIMBARAN </t>
  </si>
  <si>
    <t>Jl. Bypass Ngurah Rai No.38, Kedonganan, Kec. Kuta Sel., Kabupaten Badung, Bali 80361, Indonesia</t>
  </si>
  <si>
    <t>164EBCA</t>
  </si>
  <si>
    <t>BCA Papaya Fresh Gallery</t>
  </si>
  <si>
    <t>YO27200453</t>
  </si>
  <si>
    <t>Jl Merthanadi Kuta Bali Kab Badung</t>
  </si>
  <si>
    <t>75RM+998, Kuta, Badung Regency, Bali 80361, Indonesia</t>
  </si>
  <si>
    <t>699BBCA</t>
  </si>
  <si>
    <t>BCA IDM ANGANTAKA</t>
  </si>
  <si>
    <t>YO27200692</t>
  </si>
  <si>
    <t>JL RY ANGANTAKA NO 23 ANGANTAKA ABIANSEMAL BADUNG BALI</t>
  </si>
  <si>
    <t>C6FQ+X2H, Jl. Raya Angantaka, Sedang, Kec. Abiansemal, Kabupaten Badung, Bali 80352, Indonesia</t>
  </si>
  <si>
    <t>383PBCA</t>
  </si>
  <si>
    <t>BCA Coco Mart Goa Gong</t>
  </si>
  <si>
    <t>YO27200717</t>
  </si>
  <si>
    <t>Jl Pura Goa Gong, Pecatu, Kuta Slt Badung</t>
  </si>
  <si>
    <t>55WF+WXV, Jimbaran, South Kuta, Badung Regency, Bali 80361, Indonesia</t>
  </si>
  <si>
    <t>383QBCA</t>
  </si>
  <si>
    <t>BCA Coco Mart Mumbul</t>
  </si>
  <si>
    <t>YO27200749</t>
  </si>
  <si>
    <t>Jl By Pass Ngurah Rai, Kuta Selatan Badung</t>
  </si>
  <si>
    <t>Jl. Puri Mumbul Permai No.11, Jimbaran, Kec. Kuta Sel., Kabupaten Badung, Bali 80361, Indonesia</t>
  </si>
  <si>
    <t>383TBCA</t>
  </si>
  <si>
    <t>BCA Coco Mart Taman Giri</t>
  </si>
  <si>
    <t>YO27200658</t>
  </si>
  <si>
    <t>Jl Perumahan Taman Giri Kuta Slt Badung</t>
  </si>
  <si>
    <t>Jl. Taman Giri No.44, Benoa, Kec. Kuta Sel., Kabupaten Badung, Bali 80361, Indonesia</t>
  </si>
  <si>
    <t>657FBCA</t>
  </si>
  <si>
    <t>BCA Circle K Uluwatu Square 1</t>
  </si>
  <si>
    <t>YO27200727</t>
  </si>
  <si>
    <t>Jl. Raya Uluwatu No.18x, Jimbaran, Kec. Kuta Sel., Kabupaten Badung, Bali 80361, Indonesia</t>
  </si>
  <si>
    <t>694FBCA</t>
  </si>
  <si>
    <t>BCA BVLGARI RESORT BALI  BANJAR DINAS KANGIN</t>
  </si>
  <si>
    <t>YO27200695</t>
  </si>
  <si>
    <t>JL GOA LEMPEH ULUWATU, BY PASS NGURAH RAI MUMBUL</t>
  </si>
  <si>
    <t>544C+R2V, Pecatu, South Kuta, Badung Regency, Bali, Indonesia</t>
  </si>
  <si>
    <t>5762BCA</t>
  </si>
  <si>
    <t>BCA Circle K Uluwatu</t>
  </si>
  <si>
    <t>YO27200795</t>
  </si>
  <si>
    <t>Circle K, Jimbaran, Bali, 55W5+GWW, Jimbaran, Kec. Kuta Sel., Kabupaten Badung, Bali 80361, Indonesia</t>
  </si>
  <si>
    <t>355ZBCA</t>
  </si>
  <si>
    <t>BCA ALFAMART Q312 PEJENG</t>
  </si>
  <si>
    <t>YO27200502</t>
  </si>
  <si>
    <t>JL RY PEJENG KAJA TAMPAKSIRING GIANYAR</t>
  </si>
  <si>
    <t>Kepitu, No.09, Tegallalang, Kec. Tegallalang, Kabupaten Gianyar, Bali 80561, Indonesia</t>
  </si>
  <si>
    <t>639DBCA</t>
  </si>
  <si>
    <t>BCA RS Ari Canti Mas Ubud 1</t>
  </si>
  <si>
    <t>YO27200747</t>
  </si>
  <si>
    <t>Jl Raya Mas D No 88X, Mas Ubud Gianyar</t>
  </si>
  <si>
    <t>Jl. Raya Mas No.60x, MAS, Kecamatan Ubud, Kabupaten Gianyar, Bali 80571, Indonesia</t>
  </si>
  <si>
    <t>164BBCA</t>
  </si>
  <si>
    <t>BCA ALFAMART GOA GAJAH GIANYAR</t>
  </si>
  <si>
    <t>YO27200815</t>
  </si>
  <si>
    <t>JL MELATI BANJAR MANUKARYA KAB GIANYAR</t>
  </si>
  <si>
    <t>F7GR+FGF, Bedulu, Blahbatuh, Gianyar Regency, Bali 80581, Indonesia</t>
  </si>
  <si>
    <t>2980BCA</t>
  </si>
  <si>
    <t>BCA LOTTEMART DENPASAR 2</t>
  </si>
  <si>
    <t>YO27200737</t>
  </si>
  <si>
    <t>JL. BAY PASS NGURAH RAI NO. 222 DENPASAR BALI</t>
  </si>
  <si>
    <t>Jl. Bypass Ngurah Rai No.390, Sesetan, Denpasar Selatan, Kota Denpasar, Bali 80223, Indonesia</t>
  </si>
  <si>
    <t>365NBCA</t>
  </si>
  <si>
    <t>BCA Indomaret Tukad Pakerisan Denpasar Bali</t>
  </si>
  <si>
    <t>YO27200607</t>
  </si>
  <si>
    <t>Jl Tukad Pakerisan PanjerDenpasar Sel- Bali</t>
  </si>
  <si>
    <t>Jl. Tukad Pancoran No.6X, Dauh Puri Klod, Kec. Denpasar Bar., Kota Denpasar, Bali 80225, Indonesia</t>
  </si>
  <si>
    <t>334VBCA</t>
  </si>
  <si>
    <t>BCA MINIMART SANUR</t>
  </si>
  <si>
    <t>YO27200604</t>
  </si>
  <si>
    <t>JL BYPASS NGURAH RAI KEL SANUR DENPASAR</t>
  </si>
  <si>
    <t>Jl. Bypass Ngurah Rai No.100x, Sanur, Denpasar Selatan, Kota Denpasar, Bali 80228, Indonesia</t>
  </si>
  <si>
    <t>00UVBCA</t>
  </si>
  <si>
    <t>BCA COCO MART TEBONGKANG</t>
  </si>
  <si>
    <t>YO27200649</t>
  </si>
  <si>
    <t xml:space="preserve"> JL. RAYA SINGAKERTA NO.7, SINGAKERTA, KECAMATAN UBUD, KABUPATEN GIANYAR, BALI  80571</t>
  </si>
  <si>
    <t>Jl. Raya Tebongkang No.99, Singakerta, Kecamatan Ubud, Kabupaten Gianyar, Bali 80571, Indonesia</t>
  </si>
  <si>
    <t>391NBCA</t>
  </si>
  <si>
    <t>BCA Circle K98 Pakerisan BAL0218</t>
  </si>
  <si>
    <t>YO27200617</t>
  </si>
  <si>
    <t>Jl Tukad Pakerisan Kel Panjer - Denpasar</t>
  </si>
  <si>
    <t>Jl. Tukad Pakerisan No.77c, Panjer, Kec. Denpasar Bar., Kota Denpasar, Bali 80225, Indonesia</t>
  </si>
  <si>
    <t>689DBCA</t>
  </si>
  <si>
    <t>BCA IDM PALAPA</t>
  </si>
  <si>
    <t>YO27200484</t>
  </si>
  <si>
    <t>JL PALAPA GG 11, SESETAN, DENPASAR SELATAN</t>
  </si>
  <si>
    <t>Jl. Palapa No.55, Sesetan, Denpasar Selatan, Kota Denpasar, Bali 80223, Indonesia</t>
  </si>
  <si>
    <t>00Y3BCA</t>
  </si>
  <si>
    <t>BCA CIRCLE K PESANGGARAN</t>
  </si>
  <si>
    <t>YO27200589</t>
  </si>
  <si>
    <t>Jl. Diponegoro No.62, Pedungan, Denpasar Selatan, Kota Denpasar, Bali 80222, Indonesia</t>
  </si>
  <si>
    <t>5867BCA</t>
  </si>
  <si>
    <t>BCA PERTOKOAN DELTA MAS</t>
  </si>
  <si>
    <t>YO27200427</t>
  </si>
  <si>
    <t>Jl. Diponegoro No.124, Dauh Puri, Kec. Denpasar Bar., Kota Denpasar, Bali 80232, Indonesia</t>
  </si>
  <si>
    <t>Jl. Raya Mas No.87, Mas, Kecamatan Ubud, Kabupaten Gianyar, Bali 80571, Indonesia</t>
  </si>
  <si>
    <t>688KBCA</t>
  </si>
  <si>
    <t>BCA INDOMARET IMAM BONJOL</t>
  </si>
  <si>
    <t>YO27200405</t>
  </si>
  <si>
    <t>JL. IMAM BONJOL NO.94, PEMECUTAN KLOD, KEC. DENPASAR BAR., KOTA DENPASAR, BALI 80112</t>
  </si>
  <si>
    <t>Jl. Imam Bonjol No.86A, Pemecutan Klod, Kec. Denpasar Bar., Kota Denpasar, Bali 80112, Indonesia</t>
  </si>
  <si>
    <t>5874BCA</t>
  </si>
  <si>
    <t>BCA CIRCLE K SANUR</t>
  </si>
  <si>
    <t>YO27200547</t>
  </si>
  <si>
    <t>8775+RXC, Sanur, Denpasar Selatan, Denpasar City, Bali 80228, Indonesia</t>
  </si>
  <si>
    <t>607BBCA</t>
  </si>
  <si>
    <t>BCA INDOMARET HAYAM WURUK DENPASAR</t>
  </si>
  <si>
    <t>YO27200458</t>
  </si>
  <si>
    <t>JL HAYAM WURUK NO 54, DENPASAR BALI</t>
  </si>
  <si>
    <t>Jl. Hayam Wuruk No.52, Sumerta Kauh, Kec. Denpasar Tim., Kota Denpasar, Bali 80236, Indonesia</t>
  </si>
  <si>
    <t>00KLBCA</t>
  </si>
  <si>
    <t>BCA SARI LIMO ANTASURA</t>
  </si>
  <si>
    <t>YO27200496</t>
  </si>
  <si>
    <t>JL. ANTASURA NO.22X, PEGUYANGAN KANGIN, KEC. DENPASAR UTARA, KOTA DENPASAR, BALI  80115</t>
  </si>
  <si>
    <t>Jl. Antasura No.20a, Peguyangan Kangin, Kec. Denpasar Utara, Kota Denpasar, Bali 80237, Indonesia</t>
  </si>
  <si>
    <t>651HBCA</t>
  </si>
  <si>
    <t>BCA Circle K Imam Bonjol Denpasar 1</t>
  </si>
  <si>
    <t>YO27200587</t>
  </si>
  <si>
    <t>Jl Imam Bonjol - Pemecutan Klod - Denpasar</t>
  </si>
  <si>
    <t>Jl. Imam Bonjol No.411, Pemecutan Klod, Kec. Denpasar Bar., Kota Denpasar, Bali 80119, Indonesia</t>
  </si>
  <si>
    <t>651QBCA</t>
  </si>
  <si>
    <t>BCA Circle K 73 Bal0207 Teuku Umar 1</t>
  </si>
  <si>
    <t>YO27200478</t>
  </si>
  <si>
    <t>Jl Teuku Umar No 246 B Denpasar</t>
  </si>
  <si>
    <t>Jl. Teuku Umar No.246 B, Dauh Puri Kauh, Kec. Denpasar Bar., Kota Denpasar, Bali 80113, Indonesia</t>
  </si>
  <si>
    <t>695YBCA</t>
  </si>
  <si>
    <t>BCA IDM I BAGUS MANTRA 119</t>
  </si>
  <si>
    <t>YO27200651</t>
  </si>
  <si>
    <t>JL PROF DR IDA BAGUS MANTRA, NEGARI, KEC BANJARANGKAN, KAB KLUNGKUNG</t>
  </si>
  <si>
    <t>C9JH+VMG, Negari, Banjarangkan, Klungkung Regency, Bali, Indonesia</t>
  </si>
  <si>
    <t>405FBCA</t>
  </si>
  <si>
    <t>BCA KOPERASI MITRA KARYA</t>
  </si>
  <si>
    <t>YO27200431</t>
  </si>
  <si>
    <t>Jl. Sidakarya No.157, Sidakarya, Denpasar Selatan, Kota Denpasar, Bali 80224, Indonesia</t>
  </si>
  <si>
    <t>536XBCA</t>
  </si>
  <si>
    <t>BCA CIRCLE K BAL0416 BATU BELIG II BADUNG</t>
  </si>
  <si>
    <t>YO27200748</t>
  </si>
  <si>
    <t>JL BATU BELIG, KEROBOKAN, KUTA UTARA, BADUNG</t>
  </si>
  <si>
    <t>Jl. Batu Belig No.20, Kerobokan Kelod, Kec. Kuta Utara, Kabupaten Badung, Bali 80361, Indonesia</t>
  </si>
  <si>
    <t>00B7BCA</t>
  </si>
  <si>
    <t>BCA INDOMARET PENATAHAN</t>
  </si>
  <si>
    <t>YO27200442</t>
  </si>
  <si>
    <t>Jl. Pura Batukaru No.55, Penatahan, Kec. Penebel, Kabupaten Tabanan, Bali 82152, Indonesia</t>
  </si>
  <si>
    <t>01KTBCA</t>
  </si>
  <si>
    <t>BCA ALFA PATIH NAMBI</t>
  </si>
  <si>
    <t>YO27200520</t>
  </si>
  <si>
    <t>Jl. Patih Nambi Utara No.18, Ubung Kaja, Kec. Denpasar Utara, Kota Denpasar, Bali 80116, Indonesia</t>
  </si>
  <si>
    <t>334ZBCA</t>
  </si>
  <si>
    <t>BCA MINIMART BY PASS JIMBARAN</t>
  </si>
  <si>
    <t>YO27200459</t>
  </si>
  <si>
    <t>JL. BYPASS NGURAH RAI NO.99XX, KELAN, KEC. KUTA, TUBAN, BALI 80361, INDONESIA</t>
  </si>
  <si>
    <t>Jl. Bypass Ngurah Rai No.99XX, Kelan, Kec. Kuta, Tuban, Bali 80361, Indonesia</t>
  </si>
  <si>
    <t>651LBCA</t>
  </si>
  <si>
    <t>BCA CIRCLE K 109 BAL 0244 TEUKU UMAR 1</t>
  </si>
  <si>
    <t>YO27200447</t>
  </si>
  <si>
    <t>JL TEUKU UMAR KEL DAUH PURI DENPASAR</t>
  </si>
  <si>
    <t>Jl. Teuku Umar No.204, Dauh Puri Kauh, Kec. Denpasar Bar., Kota Denpasar, Bali 80113, Indonesia</t>
  </si>
  <si>
    <t>226LBCA</t>
  </si>
  <si>
    <t>BCA BOSHE CLUB</t>
  </si>
  <si>
    <t>YO27200531</t>
  </si>
  <si>
    <t>JL BY PASS NGURAH RAI KUTA KABUPATEN BADUNG,</t>
  </si>
  <si>
    <t>No., Boshe Vvip Club (Kuta), Jl. Bypass Ngurah Rai No.88, Kuta, Kec. Kuta, Kabupaten Badung, Bali 80361, Indonesia</t>
  </si>
  <si>
    <t>692QBCA</t>
  </si>
  <si>
    <t>BCA ARYS MIKRO SINGAPADU</t>
  </si>
  <si>
    <t>YO27200817</t>
  </si>
  <si>
    <t>JL RAYA SINGAPADU NO 22 BATUBULAN SUKAWATI, GIANYAR, BALI</t>
  </si>
  <si>
    <t>Jl. Raya Singapadu No.22, Batubulan, Kec. Sukawati, Kabupaten Gianyar, Bali 80582, Indonesia</t>
  </si>
  <si>
    <t>ZZ4ABCA</t>
  </si>
  <si>
    <t>BCA IDM TEGAL PERMAI</t>
  </si>
  <si>
    <t>YM68200939</t>
  </si>
  <si>
    <t>JL TEGAL PERMAI PERUM DALUNG PERMAI KUTA UTARA KAB BADUNG</t>
  </si>
  <si>
    <t>Jl. Tegal Permai No.5X, Kerobokan Kaja, Kec. Kuta Utara, Kabupaten Badung, Bali 80361, Indonesia</t>
  </si>
  <si>
    <t>032QBCA</t>
  </si>
  <si>
    <t>BCA MUAYA CAFE 19</t>
  </si>
  <si>
    <t>YO27200824</t>
  </si>
  <si>
    <t>JL. PANTAI MUAYA JIMBARAN, BADUNG, BALI</t>
  </si>
  <si>
    <t>Jl. Pantai Muaya Jimbaran, 6597+FVM, Jimbaran, Kec. Kuta Sel., Kabupaten Badung, Bali 80361, Indonesia</t>
  </si>
  <si>
    <t>00TRBCA</t>
  </si>
  <si>
    <t>BCA ALFA HANGTUAH BARAT</t>
  </si>
  <si>
    <t>YO27200722</t>
  </si>
  <si>
    <t>Jl. Hang Tuah No.1b, Sanur Kaja, Denpasar Selatan, Kota Denpasar, Bali 80227, Indonesia</t>
  </si>
  <si>
    <t>01DDBCA</t>
  </si>
  <si>
    <t>BCA CK TUKAD JINAH</t>
  </si>
  <si>
    <t>YO27200682</t>
  </si>
  <si>
    <t>JL TUKAD JINAH NO 1 RENON DENPASAR BALI  80234</t>
  </si>
  <si>
    <t>Jl. Tukad Mas No.1, Dangin Puri Klod, Kec. Denpasar Tim., Kota Denpasar, Bali 80234, Indonesia</t>
  </si>
  <si>
    <t>273MBCA</t>
  </si>
  <si>
    <t>BCA Minimarket Pantai Kuta ( JLP III )</t>
  </si>
  <si>
    <t>YO27200619</t>
  </si>
  <si>
    <t>Jl. Pantai Kuta (samping Minimart Kuta Beach) Kel. Kuta, Kec. Kuta - Bali, KUTA, Legian, Kuta, Badung Regency, Bali 80361, Indonesia</t>
  </si>
  <si>
    <t>00VHBCA</t>
  </si>
  <si>
    <t>BCA IDM PADANGSAMBIAN KELOD</t>
  </si>
  <si>
    <t>YO27200830</t>
  </si>
  <si>
    <t>JL. GN. ATHENA NO.5, PADANGSAMBIAN KLOD, KEC. DENPASAR BAR., KOTA DENPASAR, BALI 80361</t>
  </si>
  <si>
    <t>Jl. Gn. Athena No.5, Padangsambian Klod, Kec. Denpasar Bar., Kota Denpasar, Bali 80361, Indonesia</t>
  </si>
  <si>
    <t>00KPBCA</t>
  </si>
  <si>
    <t>BCA IDM GEOPARK KINTAMANI</t>
  </si>
  <si>
    <t>YO27200791</t>
  </si>
  <si>
    <t>PENELOKAN MAIN RD, SOUTH BATUR, KINTAMANI, BANGLI REGENCY, BALI  80652</t>
  </si>
  <si>
    <t>Kab. Bangli</t>
  </si>
  <si>
    <t>07:00-21:00</t>
  </si>
  <si>
    <t>Jl. Raya Penelokan No.1, Batur Sel., Kec. Kintamani, Kabupaten Bangli, Bali 80652, Indonesia</t>
  </si>
  <si>
    <t>624FBCA</t>
  </si>
  <si>
    <t>BCA MINIMART KEDIRI III ( KD3 ) BADUNG</t>
  </si>
  <si>
    <t>YO27200488</t>
  </si>
  <si>
    <t>JL KEDIRI, TUBAN, KUTA, BADUNG, BALI</t>
  </si>
  <si>
    <t>Jl. Kediri No.88x, Tuban, Kec. Kuta, Denpasar, Bali 80361, Indonesia</t>
  </si>
  <si>
    <t>498TBCA</t>
  </si>
  <si>
    <t>BCA Secret Garden Village</t>
  </si>
  <si>
    <t>YO27200423</t>
  </si>
  <si>
    <t>Jl Raya Bedugul, Mekarsari, Tabanan, Bali</t>
  </si>
  <si>
    <t>Jalan Raya Denpasar, J5GV+W6W, Bedugul, Baturiti, Tabanan, Mekarsari, Kec. Baturiti, Kabupaten Tabanan, Bali 82191, Indonesia</t>
  </si>
  <si>
    <t>00N4BCA</t>
  </si>
  <si>
    <t>BCA SPBU DEWI SRI</t>
  </si>
  <si>
    <t>YO27200413</t>
  </si>
  <si>
    <t>75XG+445, Jl. Campuhan I - Dewi Sri, Legian, Kec. Kuta, Kabupaten Badung, Bali 80361, Indonesia</t>
  </si>
  <si>
    <t>4079BCA</t>
  </si>
  <si>
    <t>BCA GOSHA</t>
  </si>
  <si>
    <t>YO27200665</t>
  </si>
  <si>
    <t>JL. DHYANA PURE, SEMINYAK - BADUNG, BALI</t>
  </si>
  <si>
    <t>Jl. Dhyana Pura No.24d, Seminyak, Kec. Kuta, Kabupaten Badung, Bali 80361, Indonesia</t>
  </si>
  <si>
    <t>516MBCA</t>
  </si>
  <si>
    <t>BCA CITRALAND WATERPAK DENPASAR</t>
  </si>
  <si>
    <t>YO27200622</t>
  </si>
  <si>
    <t>Jl. Cargo Permai No.110, Ubung Kaja, Kec. Denpasar Utara, Kota Denpasar, Bali 80116, Indonesia</t>
  </si>
  <si>
    <t>602ZBCA</t>
  </si>
  <si>
    <t>BCA TOKO AYU DENPASAR BALI 1</t>
  </si>
  <si>
    <t>YO27200577</t>
  </si>
  <si>
    <t>JL GUNUNG SOPUTAN NO 26 X, PEMECUTAN DENPASAR BALI</t>
  </si>
  <si>
    <t>Pertokoan Sedana Teras, Jl. Gn. Soputan, Pemecutan Klod, Kec. Denpasar Bar., Kota Denpasar, Bali 80119, Indonesia</t>
  </si>
  <si>
    <t>00H9BCA</t>
  </si>
  <si>
    <t>BCA CK KAPAL BADUNG</t>
  </si>
  <si>
    <t>YO27200847</t>
  </si>
  <si>
    <t>KAPAL, MENGWI, BADUNG REGENCY, BALI  80351</t>
  </si>
  <si>
    <t>Jl. Raya Kapal No.25, Kapal, Kec. Mengwi, Kabupaten Badung, Bali 80351, Indonesia</t>
  </si>
  <si>
    <t>00E3BCA</t>
  </si>
  <si>
    <t>BCA CK WANGAYA</t>
  </si>
  <si>
    <t>YO27200408</t>
  </si>
  <si>
    <t>JL KARTINI DAUH PURI KAJA DENPASAR UTARA, DENPASAR BALI</t>
  </si>
  <si>
    <t>9627+FC3, Jl. Kartini, Dauh Puri Kaja, Kec. Denpasar Utara, Kota Denpasar, Bali, Indonesia</t>
  </si>
  <si>
    <t>4081BCA</t>
  </si>
  <si>
    <t>BCA MUTIARA MINI MARKET KUTA</t>
  </si>
  <si>
    <t>YO27200409</t>
  </si>
  <si>
    <t>JL. ULUWATU, JIMBARAN, DENPASAR - BALI</t>
  </si>
  <si>
    <t>65PG+J2Q, Jl. Raya Uluwatu, Tuban, Kec. Kuta, Kabupaten Badung, Bali 80361, Indonesia</t>
  </si>
  <si>
    <t>656CBCA</t>
  </si>
  <si>
    <t>BCA CIRCLE K KUNTI TEXTILE BAL0483</t>
  </si>
  <si>
    <t>YO27200439</t>
  </si>
  <si>
    <t>JL KUNTI II NO 67 SEMINYAK KUTA KABBADUNG</t>
  </si>
  <si>
    <t>Jl. Kunti II No.99X, Seminyak, Kec. Kuta, Kabupaten Badung, Bali 80361, Indonesia</t>
  </si>
  <si>
    <t>273JBCA</t>
  </si>
  <si>
    <t>BCA Minimarket Udayana Jimbaran</t>
  </si>
  <si>
    <t>YO27200828</t>
  </si>
  <si>
    <t>Jl Raya Kampus Univ Udayana Jimbaran Badung</t>
  </si>
  <si>
    <t>658H+X93, Jimbaran, South Kuta, Badung Regency, Bali 80361, Indonesia</t>
  </si>
  <si>
    <t>273KBCA</t>
  </si>
  <si>
    <t>BCA PEPITO EXPRESS ULUWATU</t>
  </si>
  <si>
    <t>YO27200753</t>
  </si>
  <si>
    <t>JL RAYA ULUWATU JIMBARAN KUTA SELATAN BADUNG</t>
  </si>
  <si>
    <t>55V5+6GP, Ungasan, South Kuta, Badung Regency, Bali 80361, Indonesia</t>
  </si>
  <si>
    <t>00KJBCA</t>
  </si>
  <si>
    <t>BCA ALFA MERDEKA BANGLI</t>
  </si>
  <si>
    <t>YO27200844</t>
  </si>
  <si>
    <t>JL. RAYA MERDEKA KAWAN KEC BANGLI 80614</t>
  </si>
  <si>
    <t>G9P3+CWR, Jl. Merdeka, Kawan, Kec. Bangli, Kabupaten Bangli, Bali 80614, Indonesia</t>
  </si>
  <si>
    <t>619ABCA</t>
  </si>
  <si>
    <t>BCA Taman Rama Jimbaran</t>
  </si>
  <si>
    <t>YO27200620</t>
  </si>
  <si>
    <t>Jl Blongkeker No 4, Jimbaran, Kuta Selatan</t>
  </si>
  <si>
    <t>Perumahan Puri Gading, Jl. Puri Gading No.Raya, Jimbaran, Kec. Kuta Sel., Kabupaten Badung, Bali 80361, Indonesia</t>
  </si>
  <si>
    <t>226KBCA</t>
  </si>
  <si>
    <t>BCA Dapur Lebih Gianyar</t>
  </si>
  <si>
    <t>YO27200829</t>
  </si>
  <si>
    <t>Jl Prof Dr Ida Bagus Mantra Gianyar</t>
  </si>
  <si>
    <t>Jalan Baypass, Jl. Prof. Dr. Ida Bagus Mantra, Medahan, Kec. Blahbatuh, Kabupaten Gianyar, Bali, Indonesia</t>
  </si>
  <si>
    <t>00X4BCA</t>
  </si>
  <si>
    <t>BCA CK TEGALLALANG  JL PAKUDUI TEGALLALANG GIANYAR BALI</t>
  </si>
  <si>
    <t>YO27200443</t>
  </si>
  <si>
    <t>JL BY PASS I B MANTRA, LEBIH, GIANYAR</t>
  </si>
  <si>
    <t>H77H+MPH, Jl. Pakudui Jl. Raya Tegallalang, Tegallalang, Kec. Tegallalang, Kabupaten Gianyar, Bali 80561, Indonesia</t>
  </si>
  <si>
    <t>01H2BCA</t>
  </si>
  <si>
    <t>BCA COCO MART BLAHBATUH</t>
  </si>
  <si>
    <t>YO27200602</t>
  </si>
  <si>
    <t>Jl. Wisma Gajah Mada No.59, Blahbatuh, Kec. Blahbatuh, Kabupaten Gianyar, Bali 80581, Indonesia</t>
  </si>
  <si>
    <t>263LBCA</t>
  </si>
  <si>
    <t>BCA Circle K 113 Bal 0227 Waturenggong</t>
  </si>
  <si>
    <t>YO27200766</t>
  </si>
  <si>
    <t>86C9+VC6, Jl. Waturenggong, Dauh Puri Klod, Kec. Denpasar Bar., Kota Denpasar, Bali 80113, Indonesia</t>
  </si>
  <si>
    <t>602YBCA</t>
  </si>
  <si>
    <t>BCA Prima Medika Hospital Bali 1</t>
  </si>
  <si>
    <t>YO27200421</t>
  </si>
  <si>
    <t>Jl Pulau Serangan No 9X, Denpasar Bali</t>
  </si>
  <si>
    <t>takitaki, 86C7+JX7, Jl. Raya Sesetan, Dauh Puri Klod, Kec. Denpasar Bar., Kota Denpasar, Bali 80114, Indonesia</t>
  </si>
  <si>
    <t>6520BCA</t>
  </si>
  <si>
    <t>BCA ST REGIS</t>
  </si>
  <si>
    <t>YO27200555</t>
  </si>
  <si>
    <t>KOMPLEKS BTDC JL TEROMPONG LOT SW 2, NUSA DUA</t>
  </si>
  <si>
    <t>56QF+2M3, Jl. Raya Nusa Dua Selatan, Benoa, Kec. Kuta Sel., Kabupaten Badung, Bali, Indonesia</t>
  </si>
  <si>
    <t>01P2BCA</t>
  </si>
  <si>
    <t>BCA ALFA DUKUH SARI SESETAN</t>
  </si>
  <si>
    <t>YO27200825</t>
  </si>
  <si>
    <t>JL DUKUH SARI SESETAN DENPASAR</t>
  </si>
  <si>
    <t>Gg. Kaliasem No.1b, Sesetan, Denpasar Selatan, Kota Denpasar, Bali 80223, Indonesia</t>
  </si>
  <si>
    <t>00FTBCA</t>
  </si>
  <si>
    <t>BCA IDM LODTUNDUH</t>
  </si>
  <si>
    <t>YO27200450</t>
  </si>
  <si>
    <t>F726+PRF, Jl. A.A. Gede Rai, Lodtunduh, Kecamatan Ubud, Kabupaten Gianyar, Bali 80571, Indonesia</t>
  </si>
  <si>
    <t>00U3BCA</t>
  </si>
  <si>
    <t>BCA IDM NUSA KAMBANGAN</t>
  </si>
  <si>
    <t>YO27200419</t>
  </si>
  <si>
    <t>JL. NUSA KAMBANGAN NO. 149 DAUH PURI PURI KAUH, DENPASAR</t>
  </si>
  <si>
    <t>86H5+F52, Jl. Nusa Kambangan, Dauh Puri Kauh, Kec. Denpasar Bar., Kota Denpasar, Bali 80113, Indonesia</t>
  </si>
  <si>
    <t>2900BCA</t>
  </si>
  <si>
    <t>BCA RYOSI JAPANESE RESTAURANT</t>
  </si>
  <si>
    <t>YO27200473</t>
  </si>
  <si>
    <t>JL. HANOMAN, PADANG TEGAL - UBUD 80571</t>
  </si>
  <si>
    <t>Jl. Hanoman, Padang Tegal, F7J7+WCG, Ubud, Kecamatan Ubud, Kabupaten Gianyar, Bali 80571, Indonesia</t>
  </si>
  <si>
    <t>4078BCA</t>
  </si>
  <si>
    <t>BCA DELTA DEWATA</t>
  </si>
  <si>
    <t>YO27200468</t>
  </si>
  <si>
    <t>JL. RAYA ANDONG NO. 14, UBUD - BALI</t>
  </si>
  <si>
    <t>Jl. Raya Andong No.12, Peliatan, Kecamatan Ubud, Kabupaten Gianyar, Bali 80571, Indonesia</t>
  </si>
  <si>
    <t>694QBCA</t>
  </si>
  <si>
    <t>BCA IDM TANAH LOT TABANAN</t>
  </si>
  <si>
    <t>YO27200430</t>
  </si>
  <si>
    <t>JL TANAH LOT NO 6 BERABAN KEDIRI TABANAN BALI</t>
  </si>
  <si>
    <t>94R2+RMM, Jl. Tanah Lot, Beraban, Kec. Kediri, Kabupaten Tabanan, Bali 82121, Indonesia</t>
  </si>
  <si>
    <t>142ZBCA</t>
  </si>
  <si>
    <t>BCA CIRCLE K CK0190 PETITENGET</t>
  </si>
  <si>
    <t>YO27200810</t>
  </si>
  <si>
    <t>JL PETITENGET NO 105 KEL KEROBOKAN BADUNG</t>
  </si>
  <si>
    <t>Jl. Petitenget No.19, Kerobokan Kelod, Kec. Kuta Utara, Kabupaten Badung, Bali 80361, Indonesia</t>
  </si>
  <si>
    <t>175CBCA</t>
  </si>
  <si>
    <t>BCA PADANG PADANG IN</t>
  </si>
  <si>
    <t>YO27200404</t>
  </si>
  <si>
    <t xml:space="preserve">JL LABUAN SAIT NO 234 KUTA SELATAN </t>
  </si>
  <si>
    <t>54Q4+4GP, Jl. Labuansait, Pecatu, Kec. Kuta Sel., Kabupaten Badung, Bali 80361, Indonesia</t>
  </si>
  <si>
    <t>093UBCA</t>
  </si>
  <si>
    <t>BCA BALI PALM RESORT</t>
  </si>
  <si>
    <t>YO27200715</t>
  </si>
  <si>
    <t>JL RAYA CANDIDASA AMLAPURA BALI</t>
  </si>
  <si>
    <t>FHV7+64V, Jl. Raya Candidasa, Nyuh Tebel, Kec. Manggis, Kabupaten Karangasem, Bali, Indonesia</t>
  </si>
  <si>
    <t>205HBCA</t>
  </si>
  <si>
    <t>BCA KRISNA OLEH OLEH TUBAN</t>
  </si>
  <si>
    <t>YO27200416</t>
  </si>
  <si>
    <t>JL. DEWI SARTIKA, TUBAN, 755H+8H5, TUBAN, KEC. KUTA, KABUPATEN BADUNG, BALI 80361, INDONESIA</t>
  </si>
  <si>
    <t>JL. Dewi Sartika, Tuban, 755H+8H5, Tuban, Kec. Kuta, Kabupaten Badung, Bali 80361, Indonesia</t>
  </si>
  <si>
    <t>687LBCA</t>
  </si>
  <si>
    <t>BCA TETEN MART DESA ADAT</t>
  </si>
  <si>
    <t>YO27200434</t>
  </si>
  <si>
    <t>JL RAYA BATUAN, SUKAWATI KAB.GIANYAR, BALI</t>
  </si>
  <si>
    <t>C79G+7RW, Jl. Raya Batuan, Batuan, Kec. Sukawati, Kabupaten Gianyar, Bali 80582, Indonesia</t>
  </si>
  <si>
    <t>685BBCA</t>
  </si>
  <si>
    <t>BCA IDM RAYA SANGEH</t>
  </si>
  <si>
    <t>YO27201158</t>
  </si>
  <si>
    <t>JL RAYA SANGEH SANGEH KEC ABIANSEMAL KAB BADUNG</t>
  </si>
  <si>
    <t>Jl. Raya Sangeh No.32, Sangeh, Kec. Abiansemal, Kabupaten Badung, Bali 80352, Indonesia</t>
  </si>
  <si>
    <t>685EBCA</t>
  </si>
  <si>
    <t>BCA PEPITO PRIMALOKA KUTUH</t>
  </si>
  <si>
    <t>YO27201150</t>
  </si>
  <si>
    <t>JL RAYA DHARMAWANGSA, BANJAR KAJA JATI, KUTUH, KUTA SELATAN, KABUPATEN BADUNG, BALI</t>
  </si>
  <si>
    <t>55CF+7FW, Kutuh, South Kuta, Badung Regency, Bali 80361, Indonesia</t>
  </si>
  <si>
    <t>688BBCA</t>
  </si>
  <si>
    <t>BCA INDOMART ANDONG II GIANYAR</t>
  </si>
  <si>
    <t>YO27200420</t>
  </si>
  <si>
    <t>JL RAYA ANDONG, PELIATAN UBUD, KAB. GIANYAR</t>
  </si>
  <si>
    <t>Jl. Raya Andong No.88x, Petulu, Kecamatan Ubud, Kabupaten Gianyar, Bali 80571, Indonesia</t>
  </si>
  <si>
    <t>00ANBCA</t>
  </si>
  <si>
    <t>BCA SOLALUNA MART AMED</t>
  </si>
  <si>
    <t>YO27201168</t>
  </si>
  <si>
    <t>JL I KETUT NATIH KEC ABANG KAB KARANGASEM BALI</t>
  </si>
  <si>
    <t>MM72+M8C, Purwakerti, Abang, Karangasem Regency, Bali 80852, Indonesia</t>
  </si>
  <si>
    <t>683XBCA</t>
  </si>
  <si>
    <t>BCA KOPERASI 163 MART</t>
  </si>
  <si>
    <t>YO27200951</t>
  </si>
  <si>
    <t>JL SLAMET RIYADI, DAUH PURI, DENPASAR BARAT, DENPASAR</t>
  </si>
  <si>
    <t>86J9+XF8, Jl. Slamet Riyadi, Dauh Puri, Kec. Denpasar Bar., Kota Denpasar, Bali 80232, Indonesia</t>
  </si>
  <si>
    <t>00E2BCA</t>
  </si>
  <si>
    <t>BCA T-SHOCKED DOG CANGGU</t>
  </si>
  <si>
    <t>YR21400226</t>
  </si>
  <si>
    <t>JL PANTAI BATU BOLONG NO 11 CANGGU KUTA UTARA BADUNG BALI</t>
  </si>
  <si>
    <t>Jl. Pantai Batu Bolong No.12a, Canggu, Kec. Kuta Utara, Kabupaten Badung, Bali 80351, Indonesia</t>
  </si>
  <si>
    <t>556EBCA</t>
  </si>
  <si>
    <t>BCA CIRCLE K BATU BOLONG BAL0481 BADUNG</t>
  </si>
  <si>
    <t>YR21400242</t>
  </si>
  <si>
    <t>JL PANTAIBATUBOLONG SEGARAMADU, KUTA, BADUNG</t>
  </si>
  <si>
    <t>Jl. Pantai Batu Bolong No.35a, Canggu, Kec. Kuta Utara, Kabupaten Badung, Bali 80351, Indonesia</t>
  </si>
  <si>
    <t>688ABCA</t>
  </si>
  <si>
    <t>BCA TOKO FROZEN DALUNG CK</t>
  </si>
  <si>
    <t>YR21400264</t>
  </si>
  <si>
    <t>JL RY DALUNG PERMAI, PERTOKOAN PERMAI, DALUNG, KUTA UTARA, BADUNG</t>
  </si>
  <si>
    <t>komplek ruko dalung permai blok c14 Kwanji, Dalung, Kec. Kuta Utara, Kabupaten Badung, Bali 80361, Indonesia</t>
  </si>
  <si>
    <t>689HBCA</t>
  </si>
  <si>
    <t>BCA LUIGIS HOT PIZZA BALI</t>
  </si>
  <si>
    <t>YR21400276</t>
  </si>
  <si>
    <t>JL BATU MEJAN, CANGGU, KUTA UTARA, CANGGU</t>
  </si>
  <si>
    <t>84XM+9J5, Canggu, Kuta Utara, Badung Regency, Bali 80361, Indonesia</t>
  </si>
  <si>
    <t>663NBCA</t>
  </si>
  <si>
    <t>BCA CIRCLE K 304 NAKULA TIMUR 1</t>
  </si>
  <si>
    <t>YR21400217</t>
  </si>
  <si>
    <t>JL NAKULA, LINGKUNGAN LEGIAN KUTA, BADUNG</t>
  </si>
  <si>
    <t>852G+GW2, Jl. Sunset Road, Legian, Kec. Kuta, Kabupaten Badung, Bali 80361, Indonesia</t>
  </si>
  <si>
    <t>00V9BCA</t>
  </si>
  <si>
    <t>BCA ARYS MIKRO CELUK</t>
  </si>
  <si>
    <t>YR21400224</t>
  </si>
  <si>
    <t xml:space="preserve">BATUBULAN, SUKAWATI, GIANYAR  80582 </t>
  </si>
  <si>
    <t>97X7+FM7, Batubulan, Sukawati, Gianyar Regency, Bali, Indonesia</t>
  </si>
  <si>
    <t>561JBCA</t>
  </si>
  <si>
    <t>BCA SAMASTA JIMBARAN 1</t>
  </si>
  <si>
    <t>YR21400144</t>
  </si>
  <si>
    <t>JL WANAGIRI, JIMBARAN, KUTA SELATAN</t>
  </si>
  <si>
    <t>Jl. Wanagiri No.9, Jimbaran, Kec. Kuta Sel., Kabupaten Badung, Bali 80361, Indonesia</t>
  </si>
  <si>
    <t>6519BCA</t>
  </si>
  <si>
    <t>BCA GUNTUR SPORT</t>
  </si>
  <si>
    <t>YR21400213</t>
  </si>
  <si>
    <t>Jl. Mahendradatta No.44, Pemecutan Kaja, Kec. Denpasar Utara, Kota Denpasar, Bali 80118, Indonesia</t>
  </si>
  <si>
    <t>00ULBCA</t>
  </si>
  <si>
    <t>BCA ALFA MAHENDRADATA UTARA</t>
  </si>
  <si>
    <t>YR21400028</t>
  </si>
  <si>
    <t>JL. MAHENDRADATTA UTARA, PADANGSAMBIAN, KEC. DENPASAR BAR., KOTA DENPASAR, BALI  80119</t>
  </si>
  <si>
    <t>Jl. Mahendradatta No.129, Padangsambian, Kec. Denpasar Bar., Kota Denpasar, Bali 80118, Indonesia</t>
  </si>
  <si>
    <t>00UMBCA</t>
  </si>
  <si>
    <t>BCA IDM MAHENDRADATA UTARA</t>
  </si>
  <si>
    <t>YR21400234</t>
  </si>
  <si>
    <t>PADANGSAMBIAN, DENPASAR BARAT, DENPASAR CITY, BALI  80118</t>
  </si>
  <si>
    <t>85VR+3HJ, Jl. Mahendradatta Utara, Padangsambian, Kec. Denpasar Bar., Kota Denpasar, Bali 80118, Indonesia</t>
  </si>
  <si>
    <t>444BBCA</t>
  </si>
  <si>
    <t>BCA ALFAMART KEBO IWA II</t>
  </si>
  <si>
    <t>YR21400150</t>
  </si>
  <si>
    <t>JL KEBO IWA, PADANGSAMBIAN KAJA, DENPASAR</t>
  </si>
  <si>
    <t>Jl. Gunung Sanghyang No.6, Padangsambian, Kec. Denpasar Bar., Kota Denpasar, Bali 80118, Indonesia</t>
  </si>
  <si>
    <t>6736BCA</t>
  </si>
  <si>
    <t>BCA HARD ROCK HOTEL, DENPASAR</t>
  </si>
  <si>
    <t>YR21400275</t>
  </si>
  <si>
    <t>JL. PANTAI KUTA, DENPASAR, BALI</t>
  </si>
  <si>
    <t>Jl. Pantai Kuta No.1, Kuta, Kec. Kuta, Kabupaten Badung, Bali 80361, Indonesia</t>
  </si>
  <si>
    <t>697WBCA</t>
  </si>
  <si>
    <t>BCA SPBU BULUH INDAH</t>
  </si>
  <si>
    <t>YR21400274</t>
  </si>
  <si>
    <t>JL. BULUH INDAH NO 84 PEMECUTAN KAJA KEC DENPASAR UTARA</t>
  </si>
  <si>
    <t>Jl. Buluh Indah No.84, Pemecutan Kaja, Kec. Denpasar Utara, Kota Denpasar, Bali 80111, Indonesia</t>
  </si>
  <si>
    <t>051FBCA</t>
  </si>
  <si>
    <t>BCA THE ONE LEGIAN</t>
  </si>
  <si>
    <t>YR21400178</t>
  </si>
  <si>
    <t>JL. RAYA LEGIAN NO. 117 KUTA BADUNG</t>
  </si>
  <si>
    <t>75PF+9CP, Gg. Mangga, Kuta, Kec. Kuta, Kabupaten Badung, Bali 80361, Indonesia</t>
  </si>
  <si>
    <t>00T4BCA</t>
  </si>
  <si>
    <t>BCA CK RENON 2 BAL 0294</t>
  </si>
  <si>
    <t>YR21400301</t>
  </si>
  <si>
    <t>JL RAYA PUPUTAN DENPASAR TIMUR DENPASAR BALI</t>
  </si>
  <si>
    <t>Jl. Raya Puputan No.140a, Renon, Denpasar Selatan, Kota Denpasar, Bali 80234, Indonesia</t>
  </si>
  <si>
    <t>6651BCA</t>
  </si>
  <si>
    <t>BCA HOTEL TAMAN SUCI</t>
  </si>
  <si>
    <t>YR21400175</t>
  </si>
  <si>
    <t>Jl. Imam Bonjol No.18, Pemecutan Klod, Kec. Denpasar Bar., Kota Denpasar, Bali 80112, Indonesia</t>
  </si>
  <si>
    <t>6738BCA</t>
  </si>
  <si>
    <t>BCA RSUP SANGLAH</t>
  </si>
  <si>
    <t>YR21400105</t>
  </si>
  <si>
    <t>86F6+PX4, Dauh Puri Klod, Denpasar Barat, Denpasar City, Bali 80114, Indonesia</t>
  </si>
  <si>
    <t>689MBCA</t>
  </si>
  <si>
    <t>BCA GRAND LUCKY SANUR</t>
  </si>
  <si>
    <t>YR21400265</t>
  </si>
  <si>
    <t>JL BY PASS .NGURAH RAI NO 240 SANUR ,DENPASAR</t>
  </si>
  <si>
    <t>8795+WF8, Jl. Bypass Ngurah Rai, Sanur, Denpasar Selatan, Kota Denpasar, Bali 80227, Indonesia</t>
  </si>
  <si>
    <t>687ZBCA</t>
  </si>
  <si>
    <t xml:space="preserve">BCA TOKO BALI DEWATA PENATIH </t>
  </si>
  <si>
    <t>YR21400204</t>
  </si>
  <si>
    <t>JL PADMA NO 38 PENATIH DENPASAR TIMUR , BALI</t>
  </si>
  <si>
    <t>Jl. Padma No.110, Penatih, Kec. Denpasar Tim., Kota Denpasar, Bali 80237, Indonesia</t>
  </si>
  <si>
    <t>660DBCA</t>
  </si>
  <si>
    <t xml:space="preserve">BCA BALI ZOO1 </t>
  </si>
  <si>
    <t>YR21400295</t>
  </si>
  <si>
    <t>Jl. Raya Singapadu No.333, Singapadu, Kec. Sukawati, Kabupaten Gianyar, Bali 80582, Indonesia</t>
  </si>
  <si>
    <t>Education</t>
  </si>
  <si>
    <t>407DBCA</t>
  </si>
  <si>
    <t>BCA FOUR SEASON UBUD</t>
  </si>
  <si>
    <t>YR21400261</t>
  </si>
  <si>
    <t>JL RAYA SEYAN - KEDEWATAN BANJAR KUTUH UBUD , GIANYAR</t>
  </si>
  <si>
    <t>F6XR+3WF, Jl. Blumbang, Sayan, Kecamatan Ubud, Kabupaten Gianyar, Bali 80571, Indonesia</t>
  </si>
  <si>
    <t>554HBCA</t>
  </si>
  <si>
    <t>BCA BALE UDANG UBUD  1</t>
  </si>
  <si>
    <t>YR21400093</t>
  </si>
  <si>
    <t>Jalan Raya Goa Gajah, Peliatan, Ubud, Peliatan, Kecamatan Ubud, Kabupaten Gianyar, Bali 80582, Indonesia</t>
  </si>
  <si>
    <t>00V8BCA</t>
  </si>
  <si>
    <t>BCA COCO MART NUANSA UTAMA</t>
  </si>
  <si>
    <t>YR21400219</t>
  </si>
  <si>
    <t>JL NUANSA UTAMA, BENOA, KUTA SELATAN, BADUNG  80361</t>
  </si>
  <si>
    <t>Jl. Nuansa Utama Sel. III No.19, Benoa, Kec. Kuta Sel., Kabupaten Badung, Bali 80361, Indonesia</t>
  </si>
  <si>
    <t>694KBCA</t>
  </si>
  <si>
    <t>BCA ATM  HOTEL CONRAD BALI</t>
  </si>
  <si>
    <t>YR20400034</t>
  </si>
  <si>
    <t>JL PRATAMA NO 168, TANJUNG, BENOA, KEC KUTA BADUNG</t>
  </si>
  <si>
    <t>Jalan Pratama, 669F+JQ2, Tanjung Benoa, Kuta Selatan, Benoa, Kec. Kuta Sel., Kabupaten Badung, Bali 80361, Indonesia</t>
  </si>
  <si>
    <t>646WBCA</t>
  </si>
  <si>
    <t>BCA Circle K  Padonan Canggu 1</t>
  </si>
  <si>
    <t>YR20400041</t>
  </si>
  <si>
    <t>Jl. Raya Padonan No.6, Canggu, Kec. Kuta Utara, Kabupaten Badung, Bali 80361, Indonesia</t>
  </si>
  <si>
    <t>418PBCA</t>
  </si>
  <si>
    <t>BCA CIRCLE K 238 SILIGITA BAL0412</t>
  </si>
  <si>
    <t>YR20400026</t>
  </si>
  <si>
    <t>JL SILIGITA KEL KAMPIAL TANJUNG BENOA-BADUNG</t>
  </si>
  <si>
    <t>Jl. Siligita No.99xx, Benoa, Kec. Kuta Sel., Kabupaten Badung, Bali 80361, Indonesia</t>
  </si>
  <si>
    <t>00TYBCA</t>
  </si>
  <si>
    <t>BCA COCO MART SANGGULAN</t>
  </si>
  <si>
    <t>YR20400024</t>
  </si>
  <si>
    <t>JL TUKAD YEH EMPAS, BANJAR ANYAR, KEC.KEDIRI,KABUPATEN TABANAN, BALI</t>
  </si>
  <si>
    <t>Jl. Tukad Pancoran No.25, Banjar Anyar, Kec. Kediri, Kabupaten Tabanan, Bali 82121, Indonesia</t>
  </si>
  <si>
    <t>016MBCA</t>
  </si>
  <si>
    <t>BCA ECCOS PLAZA</t>
  </si>
  <si>
    <t>YR20400001</t>
  </si>
  <si>
    <t xml:space="preserve"> JL SUNSET ROAD NO.77B, KUTA, KEC.KUTA, KAB.BADUNG, BALI  80361</t>
  </si>
  <si>
    <t>MALL</t>
  </si>
  <si>
    <t>Jl. Sunset Road No.77B, Kuta, Kec. Kuta, Kabupaten Badung, Bali 80361, Indonesia</t>
  </si>
  <si>
    <t>625HBCA</t>
  </si>
  <si>
    <t>BCA MINIMART TAB 3 KEDIRI, TABANAN, DENPASAR</t>
  </si>
  <si>
    <t>YR20400011</t>
  </si>
  <si>
    <t>JL DR IR SOEKARNO NO 768 KEDIRI, TABANAN DENPASAR</t>
  </si>
  <si>
    <t>Jl. Dr. Ir. Soekarno No.88, Banjar Anyar, Kec. Kediri, Kabupaten Tabanan, Bali 82121, Indonesia</t>
  </si>
  <si>
    <t>135ABCA</t>
  </si>
  <si>
    <t>BCA CIRCLE K 0252 LETDA MADE PUTRA</t>
  </si>
  <si>
    <t>YR20400017</t>
  </si>
  <si>
    <t>JL LETDA MADE PUTRA 14 DANGIN PURI DENPASAR</t>
  </si>
  <si>
    <t>Jl. Letda Made Putra No.11, Dangin Puri, Kec. Denpasar Tim., Kota Denpasar, Bali 80232, Indonesia</t>
  </si>
  <si>
    <t>694MBCA</t>
  </si>
  <si>
    <t>BCA CIRCLE KEDEWATAN</t>
  </si>
  <si>
    <t>YR20400035</t>
  </si>
  <si>
    <t>JL KEDEWATAN, KECAMATAN UBUD, KABUPATEN GIANYAR, BALI 80571</t>
  </si>
  <si>
    <t>G69W+QR9, Kedewatan, Ubud, Gianyar Regency, Bali 80571, Indonesia</t>
  </si>
  <si>
    <t>00UUBCA</t>
  </si>
  <si>
    <t>BCA COCO MART BLAHKIUH</t>
  </si>
  <si>
    <t>YR20400030</t>
  </si>
  <si>
    <t xml:space="preserve">JL. CIUNG WANARA NO.11A, DAUH YEH CANI, KEC. ABIANSEMAL, KABUPATEN BADUNG, BALI  80352 </t>
  </si>
  <si>
    <t>F6J5+7VW, Jl. Ciung Wanara, Blahkiuh, Kec. Abiansemal, Kabupaten Badung, Bali 80352, Indonesia</t>
  </si>
  <si>
    <t>681WBCA</t>
  </si>
  <si>
    <t>BCA IDM INTAN MART</t>
  </si>
  <si>
    <t>YR20400083</t>
  </si>
  <si>
    <t>JL GATOT SUBROTO TIMUR DENPASAR, BALI</t>
  </si>
  <si>
    <t>Jl. Gatot Subroto Tim. No.110b, Penatih, Kec. Denpasar Tim., Kota Denpasar, Bali 80237, Indonesia</t>
  </si>
  <si>
    <t>695FBCA</t>
  </si>
  <si>
    <t>BCA RS PURI BUNDA</t>
  </si>
  <si>
    <t>YR20400037</t>
  </si>
  <si>
    <t>Jl. Gatot Subroto IV/XII No.2, Dauh Puri Kaja, Kec. Denpasar Utara, Kota Denpasar, Bali 80233, Indonesia</t>
  </si>
  <si>
    <t>544DBCA</t>
  </si>
  <si>
    <t>BCA PLAZA RENON 1</t>
  </si>
  <si>
    <t>YR20400010</t>
  </si>
  <si>
    <t>JL RAYA PUPUTAN RENON, DENPASAR</t>
  </si>
  <si>
    <t>Plaza Renon, Jl. Raya Puputan No.210, Panjer, Denpasar Selatan, Kota Denpasar, Bali 80239, Indonesia</t>
  </si>
  <si>
    <t>1017BCA</t>
  </si>
  <si>
    <t>BCA UNITED INDO BALI, KUTA</t>
  </si>
  <si>
    <t>YR20400015</t>
  </si>
  <si>
    <t>Jl. Imam Bonjol No.537, Pemecutan Klod, Kec. Denpasar Bar., Kota Denpasar, Bali 80119, Indonesia</t>
  </si>
  <si>
    <t>ZRA6BCA</t>
  </si>
  <si>
    <t>BCA IDM GATOT SUBROTO BALI</t>
  </si>
  <si>
    <t>YR25400610</t>
  </si>
  <si>
    <t>JL GATOT SUBROTO NO 5, TABANAN BALI</t>
  </si>
  <si>
    <t>no 82121, Jl. Gatot Subroto No.2A, Banjar Anyar, Kec. Kediri, Kabupaten Tabanan, Bali 82121, Indonesia</t>
  </si>
  <si>
    <t>ZRB6BCA</t>
  </si>
  <si>
    <t>BCA IDM Tualakilang Tabanan</t>
  </si>
  <si>
    <t>YR25400633</t>
  </si>
  <si>
    <t>Jl Batukaru No 69X, Denbantas, Tabanan, Kuta Bali</t>
  </si>
  <si>
    <t>Jl. Batukaru No.76, Denbantas, Kec. Tabanan, Kabupaten Tabanan, Bali 82115, Indonesia</t>
  </si>
  <si>
    <t>ZRE6BCA</t>
  </si>
  <si>
    <t>BCA CK 0193 TANGKUBAN PERAHU</t>
  </si>
  <si>
    <t>YR25400354</t>
  </si>
  <si>
    <t>JL GUNUNG TANGKUBAN PERAHU NO 5A BADUNG</t>
  </si>
  <si>
    <t>85H9+47P, Kerobokan Kelod, Kuta Utara, Badung Regency, Bali 80361, Indonesia</t>
  </si>
  <si>
    <t>ZRF6BCA</t>
  </si>
  <si>
    <t>BCA CK RAYA BUDUK</t>
  </si>
  <si>
    <t>YR25400684</t>
  </si>
  <si>
    <t>Jl. Raya Buduk No.15, Dalung, Kec. Kuta Utara, Kabupaten Badung, Bali 80351, Indonesia</t>
  </si>
  <si>
    <t>ZRH6BCA</t>
  </si>
  <si>
    <t>BCA IDM BUDUK BADUNG DENPASAR</t>
  </si>
  <si>
    <t>YR25400804</t>
  </si>
  <si>
    <t>JL RAYA BUDUK, BADUNG, DENPASAR BALI</t>
  </si>
  <si>
    <t>95V7+FV3, Jl. Raya Buduk, Buduk, Kec. Mengwi, Kabupaten Badung, Bali 80351, Indonesia</t>
  </si>
  <si>
    <t>ZRL6BCA</t>
  </si>
  <si>
    <t>BCA IDM TQ45 MUNGGU BADUNG</t>
  </si>
  <si>
    <t>YR25400808</t>
  </si>
  <si>
    <t>JL CANGGU TANAH LOT MUNGGU MENGWI BADUNG BALI</t>
  </si>
  <si>
    <t>Jl. By Pass Tanah Lot No.88, Munggu, Kec. Mengwi, Kabupaten Badung, Bali 80351, Indonesia</t>
  </si>
  <si>
    <t>ZRU6BCA</t>
  </si>
  <si>
    <t>BCA ALFA GATSU BARAT I DPS</t>
  </si>
  <si>
    <t>YR25400463</t>
  </si>
  <si>
    <t>JL GATOT SUBROTO BARAT, DENPASAR</t>
  </si>
  <si>
    <t>Jl. Muding Mundeh No.1f, Kerobokan Kaja, Kec. Kuta Utara, Kabupaten Badung, Bali 80361, Indonesia</t>
  </si>
  <si>
    <t>ZDZ5BCA</t>
  </si>
  <si>
    <t>BCA CRM  ALFA TOKO NESH</t>
  </si>
  <si>
    <t>YR25400506</t>
  </si>
  <si>
    <t>JL BIMA NO 5, SAMPALAN TENGAH, DAWAN, KLUNGKUNG, BALI</t>
  </si>
  <si>
    <t>Kab. Klungkung</t>
  </si>
  <si>
    <t>06:00-22:00</t>
  </si>
  <si>
    <t>Jl. Bima No.5, Sampalan Tengah, Kec. Dawan, Kabupaten Klungkung, Bali 80761, Indonesia</t>
  </si>
  <si>
    <t>ZRB7BCA</t>
  </si>
  <si>
    <t>BCA ARYS MIKRO BUANA RAYA</t>
  </si>
  <si>
    <t>YR25400606</t>
  </si>
  <si>
    <t>JL BUANA RAYA NO 103-104, DENPASAR</t>
  </si>
  <si>
    <t>Jl. Buana Raya No.21X, Padangsambian, Kec. Denpasar Bar., Kota Denpasar, Bali 80119, Indonesia</t>
  </si>
  <si>
    <t>ZRF7BCA</t>
  </si>
  <si>
    <t>BCA CK 0233 GUNUNG AGUNG I</t>
  </si>
  <si>
    <t>YR25400512</t>
  </si>
  <si>
    <t>JL. GUNUNG AGUNG NO. 30 DENPASAR</t>
  </si>
  <si>
    <t>Jl. Gn. Agung No.23a, Pemecutan, Kec. Denpasar Bar., Kota Denpasar, Bali 80118, Indonesia</t>
  </si>
  <si>
    <t>ZUB7BCA</t>
  </si>
  <si>
    <t>BCA ALFA Q661LILIGUNDI</t>
  </si>
  <si>
    <t>YR25400443</t>
  </si>
  <si>
    <t>JL COKROAMINOTO LINGKLILIGUNDI DENPASAR UTARA</t>
  </si>
  <si>
    <t>Jl. Cokroaminoto No.939, Ubung Kaja, Kec. Denpasar Utara, Kota Denpasar, Bali 80116, Indonesia</t>
  </si>
  <si>
    <t>ZRJ7BCA</t>
  </si>
  <si>
    <t>BCA IDM BUANA RAYA DENPASAR</t>
  </si>
  <si>
    <t>YR25400561</t>
  </si>
  <si>
    <t>Indomaret TQ63, JL. Buana Raya, No. 103-104, Padangsambian, Kec. Denpasar Bar., Kota Denpasar, Bali 80119, Indonesia</t>
  </si>
  <si>
    <t>ZRD6BCA</t>
  </si>
  <si>
    <t>BCA ALFA PRATAMA CELUK</t>
  </si>
  <si>
    <t>YR25400574</t>
  </si>
  <si>
    <t>JL PRATAMA LING CELUK, BENOA, KUTA SELATAN, BADUNG</t>
  </si>
  <si>
    <t>Jl. Pratama Jl. Nusa Dua No.37A, Benoa, Kec. Kuta Sel., Kabupaten Badung, Bali 80361, Indonesia</t>
  </si>
  <si>
    <t>ZRM6BCA</t>
  </si>
  <si>
    <t>BCA KALIMAS ARCADE</t>
  </si>
  <si>
    <t>YR25400781</t>
  </si>
  <si>
    <t>JL ULUWATU II, JIMBARAN, BADUNG, KUTA</t>
  </si>
  <si>
    <t>6578+HXJ, Jl. Uluwatu II No.01, Jimbaran, Kec. Kuta Sel., Kabupaten Badung, Bali 80361, Indonesia</t>
  </si>
  <si>
    <t>ZRN6BCA</t>
  </si>
  <si>
    <t>BCA ALFA Q400 NAKULA SEMINYAK</t>
  </si>
  <si>
    <t>YR25400355</t>
  </si>
  <si>
    <t>JL NAKULA NO 18 SEMINYAK, KUTA, BADUNG</t>
  </si>
  <si>
    <t>Jl. Nakula No.88X, Legian, Kec. Kuta, Kabupaten Badung, Bali 80361, Indonesia</t>
  </si>
  <si>
    <t>ZUP8BCA</t>
  </si>
  <si>
    <t>BCA INDOMARET ULUWATU  II</t>
  </si>
  <si>
    <t>YR25400498</t>
  </si>
  <si>
    <t xml:space="preserve"> JL ULUWATU II KUTA SELATAN BADUNG DENPASAR</t>
  </si>
  <si>
    <t>Jl. Uluwatu II No.99, Jimbaran, Kec. Kuta Sel., Kabupaten Badung, Bali 80361, Indonesia</t>
  </si>
  <si>
    <t>00T3BCA</t>
  </si>
  <si>
    <t>BCA CK PERERENAN</t>
  </si>
  <si>
    <t>YR20400032</t>
  </si>
  <si>
    <t>JL PANTAI PERERENAN, PERERENAN MENGWI BADUNG</t>
  </si>
  <si>
    <t>Jl. Pantai Pererenan gg seruni No.1, banjar delodpadonan, Pererenan, Kec. Mengwi, Kabupaten Badung, Bali 80351, Indonesia</t>
  </si>
  <si>
    <t>ZRK6BCA</t>
  </si>
  <si>
    <t>BCA IDM TAMAN GRIYA BADUNG</t>
  </si>
  <si>
    <t>YR25400405</t>
  </si>
  <si>
    <t>JL NUANSA UTAMA, JIMBARAN KUTA BADUNG BALI</t>
  </si>
  <si>
    <t>Jl. Nuansa Utama No.11, Jimbaran, Kec. Kuta Sel., Kabupaten Badung, Bali 80361, Indonesia</t>
  </si>
  <si>
    <t>ZRX6BCA</t>
  </si>
  <si>
    <t>BCA ALFA SESETAN II</t>
  </si>
  <si>
    <t>YR25400601</t>
  </si>
  <si>
    <t>JL RAYA DIPONEGORO KEC DENPASAR SELATAN</t>
  </si>
  <si>
    <t>866C+MVP, Jl. Tukad Buaji, Sesetan, Denpasar Selatan, Kota Denpasar, Bali 80225, Indonesia</t>
  </si>
  <si>
    <t>ZRZ6BCA</t>
  </si>
  <si>
    <t>BCA ALFA TUKAD BUAJI</t>
  </si>
  <si>
    <t>YR25400785</t>
  </si>
  <si>
    <t>866C+PWJ, Jl. Tukad Buaji, Sesetan, Denpasar Selatan, Kota Denpasar, Bali 80225, Indonesia</t>
  </si>
  <si>
    <t>ZRA7BCA</t>
  </si>
  <si>
    <t>BCA ARYS MIKRO BATANTA</t>
  </si>
  <si>
    <t>YR25400680</t>
  </si>
  <si>
    <t>JL PULAU BATANTA NO 28, DENPASAR</t>
  </si>
  <si>
    <t>8682+Q27, Dauh Puri Kauh, Denpasar Barat, Denpasar City, Bali 80221, Indonesia</t>
  </si>
  <si>
    <t>ZRC7BCA</t>
  </si>
  <si>
    <t>BCA ARYS MIKRO PULAU GALANG</t>
  </si>
  <si>
    <t>YR25400575</t>
  </si>
  <si>
    <t>854V+MQJ, Jl. Pulau Galang, Pemecutan Klod, Kec. Denpasar Bar., Kota Denpasar, Bali 80119, Indonesia</t>
  </si>
  <si>
    <t>Gg. Pasekan No.5 a, Pemogan, Denpasar Selatan, Kota Denpasar, Bali 80113, Indonesia</t>
  </si>
  <si>
    <t>ZRQ6BCA</t>
  </si>
  <si>
    <t>BCA BAGOES BANGUNAN</t>
  </si>
  <si>
    <t>YR25400846</t>
  </si>
  <si>
    <t>JL. RAYA SEMOBAUNG GIANYAR  DENPASAR BALI</t>
  </si>
  <si>
    <t>Jl. Raya Semebaung No.18, Bedulu, Kec. Blahbatuh, Kabupaten Gianyar, Bali 80581, Indonesia</t>
  </si>
  <si>
    <t>ZRR6BCA</t>
  </si>
  <si>
    <t>BCA IDM CELUK 3 GIANYAR</t>
  </si>
  <si>
    <t>YR25400486</t>
  </si>
  <si>
    <t>JL RAYA CELUK SUKAWATI GIANYAR BALI</t>
  </si>
  <si>
    <t>Jalan Raya Celuk, 97W5+P6C, Batubulan, Sukawati, Singapadu, Kec. Sukawati, Kabupaten Gianyar, Bali 80582, Indonesia</t>
  </si>
  <si>
    <t>ZRT6BCA</t>
  </si>
  <si>
    <t>BCA IDM CANDIBARU GIANYAR</t>
  </si>
  <si>
    <t>YR25400571</t>
  </si>
  <si>
    <t>JL ASTINA SELATAN NO 09 GIANYAR BALI</t>
  </si>
  <si>
    <t>Jl. Astina Sel. No.9, Abianbase, Kec. Gianyar, Kabupaten Gianyar, Bali 80511, Indonesia</t>
  </si>
  <si>
    <t>ZRE7BCA</t>
  </si>
  <si>
    <t>BCA CELUK TRADE CENTER</t>
  </si>
  <si>
    <t>YR25400477</t>
  </si>
  <si>
    <t>JL. RAYA CELUK SUKAWATI, GIANYAR</t>
  </si>
  <si>
    <t>Gg. Cendana No.2, Batubulan, Kec. Sukawati, Kabupaten Gianyar, Bali 80582, Indonesia</t>
  </si>
  <si>
    <t>ZRW6BCA</t>
  </si>
  <si>
    <t>BCA ALFA Q207 AKASIA DENPASAR</t>
  </si>
  <si>
    <t>YR25400805</t>
  </si>
  <si>
    <t>JL AKASIA, SUMERTA KELUD, DENPASAR</t>
  </si>
  <si>
    <t>Jl. Akasia No.39, Sumerta Kelod, Kec. Denpasar Tim., Kota Denpasar, Bali 80235, Indonesia</t>
  </si>
  <si>
    <t>ZRY6BCA</t>
  </si>
  <si>
    <t>BCA Alfa Suropati</t>
  </si>
  <si>
    <t>YR25400540</t>
  </si>
  <si>
    <t>Banjar Kayu Mas, Dangin Puri, Kec. Denpasar Tim., Kota Denpasar, Bali, Indonesia</t>
  </si>
  <si>
    <t>ZRD7BCA</t>
  </si>
  <si>
    <t>BCA ARYS MIKRO TUKAD PAKERISAN</t>
  </si>
  <si>
    <t>YR25400648</t>
  </si>
  <si>
    <t>JL TUKAD PAKERISAN PANJER DENPASAR BALI</t>
  </si>
  <si>
    <t>Jl. Tukad Pakerisan No.118, Dauh Puri Klod, Kec. Denpasar Bar., Kota Denpasar, Bali 80225, Indonesia</t>
  </si>
  <si>
    <t>Z4CBBCA</t>
  </si>
  <si>
    <t>BCA ARYS MIKRO NANGKA UTARA</t>
  </si>
  <si>
    <t>YR25400639</t>
  </si>
  <si>
    <t>GG SANGGING, TONJA, KEC.DENPASAR UTARA, KOTA DENPASAR  80239</t>
  </si>
  <si>
    <t>96CF+MR8, Jl. Nangka Utara, Tonja, Kec. Denpasar Utara, Kota Denpasar, Bali 80237, Indonesia</t>
  </si>
  <si>
    <t>ZQP3BCA</t>
  </si>
  <si>
    <t>BCA WANA MART</t>
  </si>
  <si>
    <t>YR25400357</t>
  </si>
  <si>
    <t>JL. JALAN MELASTI.NO.99, LABUAN SAIT, PECATU, KEC. KUTA SEL., KABUPATEN BADUNG, BALI 80361</t>
  </si>
  <si>
    <t>Jalan Melasti.No.99, Labuan sait, Pecatu, Kec. Kuta Sel., Kabupaten Badung, Bali 80361, Indonesia</t>
  </si>
  <si>
    <t>ZQF4BCA</t>
  </si>
  <si>
    <t>BCA CRM CK 114 CANGGU</t>
  </si>
  <si>
    <t>YR25400875</t>
  </si>
  <si>
    <t>9536+V49, Kerobokan, Kuta Utara, Badung Regency, Bali, Indonesia</t>
  </si>
  <si>
    <t>ZQC4BCA</t>
  </si>
  <si>
    <t>BCA CRM TOKO KAWAN NAKULA</t>
  </si>
  <si>
    <t>YR25400698</t>
  </si>
  <si>
    <t>852F+JP2, Jl. Nakula, Legian, Kec. Kuta, Kabupaten Badung, Bali 80361, Indonesia</t>
  </si>
  <si>
    <t>ZQD4BCA</t>
  </si>
  <si>
    <t>BCA INDOMARET TOKO SHINTA</t>
  </si>
  <si>
    <t>YR25400316</t>
  </si>
  <si>
    <t>75QX+VXM, Pemogan, Denpasar Selatan, Denpasar City, Bali 80221, Indonesia</t>
  </si>
  <si>
    <t>ZQE4BCA</t>
  </si>
  <si>
    <t>BCA BINTANG UBUD</t>
  </si>
  <si>
    <t>YR25400706</t>
  </si>
  <si>
    <t xml:space="preserve">JL. RAYA SANGGINGAN NO 45, CAMPUHAN UBUD </t>
  </si>
  <si>
    <t>Jl. Raya Campuan No.18, Sayan, Kecamatan Ubud, Kabupaten Gianyar, Bali 80571, Indonesia</t>
  </si>
  <si>
    <t>ZQB4BCA</t>
  </si>
  <si>
    <t>BCA PADMA RESORT UBUD</t>
  </si>
  <si>
    <t>YR25400343</t>
  </si>
  <si>
    <t>JL RAYA UBUD, UBUD, GIANYAR 80571</t>
  </si>
  <si>
    <t>Banjar Ambengan, Jalan Glogor Carik, Puhu, Kec. Payangan, Kabupaten Gianyar, Bali 80572, Indonesia</t>
  </si>
  <si>
    <t>6873BCA</t>
  </si>
  <si>
    <t>BCA SPBU COCO 51.801.30 DENPASAR</t>
  </si>
  <si>
    <t>YR20400191</t>
  </si>
  <si>
    <t>JL. RAYA HAYAM WURUK. DENPASAR - BALI</t>
  </si>
  <si>
    <t>86MR+CQ8, Jl. Hayam Wuruk, Panjer, Denpasar Selatan, Kota Denpasar, Bali 80239, Indonesia</t>
  </si>
  <si>
    <t>00Y4BCA</t>
  </si>
  <si>
    <t>BCA CK MUNGGU PERERENAN</t>
  </si>
  <si>
    <t>YO27200407</t>
  </si>
  <si>
    <t>JL BY PASS TANAH LOT NO 88A MENGWI BADUNG BALI</t>
  </si>
  <si>
    <t>Jl. By Pass Tanah Lot No.88a, Pererenan, Kec. Mengwi, Kabupaten Badung, Bali 80351, Indonesia</t>
  </si>
  <si>
    <t>691XBCA</t>
  </si>
  <si>
    <t>BCA ARYS MIKRO BATUYANG</t>
  </si>
  <si>
    <t>YR20400008</t>
  </si>
  <si>
    <t xml:space="preserve">JL. BATUYANG NO.18 BATU BULAN SUKAWATI GIANYAR , BALI </t>
  </si>
  <si>
    <t>97C7+X5M, Jl. Batuyang, Batubulan, Kec. Sukawati, Kabupaten Gianyar, Bali 80582, Indonesia</t>
  </si>
  <si>
    <t>ZQA4BCA</t>
  </si>
  <si>
    <t>BCA Bali Padma Hotel</t>
  </si>
  <si>
    <t>YR25400643</t>
  </si>
  <si>
    <t>Jl. Padma Utara Legian No. 1 - Kuta</t>
  </si>
  <si>
    <t>Jl. Padma No.24, Legian, Kec. Kuta, Kabupaten Badung, Bali 80361, Indonesia</t>
  </si>
  <si>
    <t>00TZBCA</t>
  </si>
  <si>
    <t>BCA CRYSTAL MART LEMPUYANG</t>
  </si>
  <si>
    <t>YR21400432</t>
  </si>
  <si>
    <t>Jl. Gn. Lempuyang No.85, Tegal Harum, Kec. Denpasar Bar., Kota Denpasar, Bali 80119, Indonesia</t>
  </si>
  <si>
    <t>ZKL9BCA</t>
  </si>
  <si>
    <t>BCA KCP Kas Dalung</t>
  </si>
  <si>
    <t>YR25401638</t>
  </si>
  <si>
    <t>Jl. Raya Padang Luwih, Dalung, Kuta Utara,Badung, Bali</t>
  </si>
  <si>
    <t>Jl. Raya Padang Luwih No.138, Dalung, Kec. Kuta Utara, Kabupaten Badung, Bali 80361, Indonesia</t>
  </si>
  <si>
    <t>Z0Q4BCA</t>
  </si>
  <si>
    <t>BCA Gatot Subroto Barat</t>
  </si>
  <si>
    <t>YT21400007</t>
  </si>
  <si>
    <t>Jl. Gatot Subroto Barat No. 334, Denpasar, Bali</t>
  </si>
  <si>
    <t>Jl. Gatot Subroto Barat No.334 Blok B, Padangsambian Kaja, Kec. Denpasar Bar., Kota Denpasar, Bali 80117, Indonesia</t>
  </si>
  <si>
    <t>Z0Q3BCA</t>
  </si>
  <si>
    <t>YT21400141</t>
  </si>
  <si>
    <t>Jl. Gatot Subroto Barat No.461X, Padangsambian Kaja, Kec. Denpasar Bar., Kota Denpasar, Bali 80117, Indonesia</t>
  </si>
  <si>
    <t>Z08FBCA</t>
  </si>
  <si>
    <t>BCA Cokroaminoto CRM 5</t>
  </si>
  <si>
    <t>YT21400257</t>
  </si>
  <si>
    <t>Jl. Cokroaminoto No.51, Pemecutan Kaja, Kec. Denpasar Utara, Kota Denpasar, Bali 80231, Indonesia</t>
  </si>
  <si>
    <t>Z08EBCA</t>
  </si>
  <si>
    <t>BCA Cokroaminoto CRM 4</t>
  </si>
  <si>
    <t>YT21400106</t>
  </si>
  <si>
    <t>9645+XQM, Pemecutan Kaja, Denpasar Utara, Denpasar City, Bali, Indonesia</t>
  </si>
  <si>
    <t>Z833BCA</t>
  </si>
  <si>
    <t>BCA KCP GATOT SUBROTO GSD CRM2</t>
  </si>
  <si>
    <t>YT21400161</t>
  </si>
  <si>
    <t>JL GATOT SUBROTO TENGAH 80 UNIT 8-9 DENPASAR</t>
  </si>
  <si>
    <t>Jl. Gatot Subroto Tengah No.80, Dangin Puri Kaja, Kec. Denpasar Utara, Kota Denpasar, Bali 80234, Indonesia</t>
  </si>
  <si>
    <t>Z832BCA</t>
  </si>
  <si>
    <t>BCA KCP GATOT SUBROTO GSD CRM1</t>
  </si>
  <si>
    <t>YT21400280</t>
  </si>
  <si>
    <t>Z2H4BCA</t>
  </si>
  <si>
    <t>BCA GATOT SUBROTO TIMUR</t>
  </si>
  <si>
    <t>YT21400110</t>
  </si>
  <si>
    <t>JL. GATOT SUBROTO TIMUR 67, DENPASAR 80237</t>
  </si>
  <si>
    <t>No., Jl. Sekar Jepun No.77, Kesiman Kertalangu, Kec. Denpasar Tim., Kota Denpasar, Bali 80237, Indonesia</t>
  </si>
  <si>
    <t>Z2H3BCA</t>
  </si>
  <si>
    <t>BCA  GATOT SUBROTO TIMUR</t>
  </si>
  <si>
    <t>YT21400299</t>
  </si>
  <si>
    <t xml:space="preserve"> JL. GATOT SUBROTO TIMUR 67, DENPASAR  80237</t>
  </si>
  <si>
    <t>Jl. Gatot Subroto Tim. No.268, Kesiman Kertalangu, Kec. Denpasar Tim., Kota Denpasar, Bali 80237, Indonesia</t>
  </si>
  <si>
    <t>Z2H2BCA</t>
  </si>
  <si>
    <t>YT21400133</t>
  </si>
  <si>
    <t xml:space="preserve">JL. GATOT SUBROTO TIMUR 67, DENPASAR 80237 </t>
  </si>
  <si>
    <t>Sekar Jepun Utara, Kesiman Kertalangu, Kec. Denpasar Tim., Kota Denpasar, Bali, Indonesia</t>
  </si>
  <si>
    <t>Z858BCA</t>
  </si>
  <si>
    <t>BCA KCP RAYA KUTA CCR</t>
  </si>
  <si>
    <t>YT21400148</t>
  </si>
  <si>
    <t>JL. RAYA KUTA 118 KUTA- BADUNG BALI</t>
  </si>
  <si>
    <t>KCP Pasar 3, Kuta, Badung Regency, Bali 80361, Indonesia</t>
  </si>
  <si>
    <t>Z837BCA</t>
  </si>
  <si>
    <t>BCA KLUNGKUNG CRM 3</t>
  </si>
  <si>
    <t>YT21400205</t>
  </si>
  <si>
    <t>JL PUPUTAN NO 88 SEMARA PURA KLOD KLUNGKUNG</t>
  </si>
  <si>
    <t>Galiran Jl. Puputan No.88c, Semarapura Kelod, Kec. Klungkung, Kabupaten Klungkung, Bali 80715, Indonesia</t>
  </si>
  <si>
    <t>Z836BCA</t>
  </si>
  <si>
    <t>BCA KLUNGKUNG CRM 2</t>
  </si>
  <si>
    <t>YT21400182</t>
  </si>
  <si>
    <t>FC43+523, Jl. Puputan, Semarapura Kelod, Kec. Klungkung, Kabupaten Klungkung, Bali 80716, Indonesia</t>
  </si>
  <si>
    <t>Z844BCA</t>
  </si>
  <si>
    <t>BCA GIANYAR CRM 3</t>
  </si>
  <si>
    <t>YT21400305</t>
  </si>
  <si>
    <t>JL DHARMA GIRI 88 GIANYAR, BADUNG</t>
  </si>
  <si>
    <t>F859+FHV, Jl. Dharma Giri, Gianyar, Kec. Gianyar, Kabupaten Gianyar, Bali 80511, Indonesia</t>
  </si>
  <si>
    <t>Z4XLBCA</t>
  </si>
  <si>
    <t>BCA GIANYAR CRM 4</t>
  </si>
  <si>
    <t>YT21400217</t>
  </si>
  <si>
    <t>Jl. Dharma Giri No.88, Gianyar, Kec. Gianyar, Kabupaten Gianyar, Bali 80511, Indonesia</t>
  </si>
  <si>
    <t>Z843BCA</t>
  </si>
  <si>
    <t>BCA GIANYAR CRM 2</t>
  </si>
  <si>
    <t>YT21400337</t>
  </si>
  <si>
    <t>Jl. Dharma Giri No.9, Gianyar, Kec. Gianyar, Kabupaten Gianyar, Bali 80515, Indonesia</t>
  </si>
  <si>
    <t>Z5R7BCA</t>
  </si>
  <si>
    <t>BCA PECATU CRM 3</t>
  </si>
  <si>
    <t>YT21400046</t>
  </si>
  <si>
    <t>JL. ULUWATU NO 189, UNGARAN, BALI  80361  KAB. BADUNG  BALI</t>
  </si>
  <si>
    <t>Jl. Raya Uluwatu No.22, Ungasan, Kec. Kuta Sel., Kabupaten Badung, Bali 80361, Indonesia</t>
  </si>
  <si>
    <t>Z5R6BCA</t>
  </si>
  <si>
    <t>BCA PECATU</t>
  </si>
  <si>
    <t>YT21400131</t>
  </si>
  <si>
    <t>JL. ULUWATU NO 189, UNGARAN, BALI  80361</t>
  </si>
  <si>
    <t>Z5R5BCA</t>
  </si>
  <si>
    <t>YT21400255</t>
  </si>
  <si>
    <t xml:space="preserve"> JL. ULUWATU NO 189, UNGARAN, BALI  80361</t>
  </si>
  <si>
    <t>Z14WBCA</t>
  </si>
  <si>
    <t>BCA Mumbul CRM 4</t>
  </si>
  <si>
    <t>YT21400211</t>
  </si>
  <si>
    <t>Jl By Pass Ngurah Rai No074, Nusa Dua, Dps</t>
  </si>
  <si>
    <t>6665+FV9, Jl. Bypass Ngurah Rai, Benoa, Kec. Kuta Sel., Kabupaten Badung, Bali 80361, Indonesia</t>
  </si>
  <si>
    <t>Z14TBCA</t>
  </si>
  <si>
    <t>BCA Mumbul CRM 1</t>
  </si>
  <si>
    <t>YT21400114</t>
  </si>
  <si>
    <t>Z849BCA</t>
  </si>
  <si>
    <t>BCA Benoa CRM 5</t>
  </si>
  <si>
    <t>YT21400113</t>
  </si>
  <si>
    <t>Jl Suwung Batan Kendal no 2 Denpasar</t>
  </si>
  <si>
    <t>Ruko B Jl. Raya Sesetan No.10, Sesetan, Denpasar Selatan, Kota Denpasar, Bali 80223, Indonesia</t>
  </si>
  <si>
    <t>Z848BCA</t>
  </si>
  <si>
    <t>BCA Benoa CRM 4</t>
  </si>
  <si>
    <t>YT21400203</t>
  </si>
  <si>
    <t>Jl. Suwung Batan Kendal No.2, Sesetan, Denpasar Selatan, Kota Denpasar, Bali 80223, Indonesia</t>
  </si>
  <si>
    <t>Z847BCA</t>
  </si>
  <si>
    <t>BCA Benoa CRM 3</t>
  </si>
  <si>
    <t>YT21400165</t>
  </si>
  <si>
    <t>Jl. Suwung Batan Kendal No.9, Sesetan, Denpasar Selatan, Kota Denpasar, Bali 80223, Indonesia</t>
  </si>
  <si>
    <t>ZDX5BCA</t>
  </si>
  <si>
    <t>BCA Alfa Imam Bonjol Tabanan</t>
  </si>
  <si>
    <t>YT21400309</t>
  </si>
  <si>
    <t xml:space="preserve"> Jl Imam Bonjol Kediri, Tabanan Bali </t>
  </si>
  <si>
    <t>Jl. Imam Bonjol No.13, Kediri, Kec. Kediri, Kabupaten Tabanan, Bali 82121, Indonesia</t>
  </si>
  <si>
    <t>Z11KBCA</t>
  </si>
  <si>
    <t>BCA Kerobokan CRM 3</t>
  </si>
  <si>
    <t>YT21400207</t>
  </si>
  <si>
    <t>Jl Raya Kerobokan No 8, Kuta Utara, Badung</t>
  </si>
  <si>
    <t>Jl. Raya Kerobokan No.6, Kerobokan Kelod, Kec. Kuta Utara, Kabupaten Badung, Bali 80361, Indonesia</t>
  </si>
  <si>
    <t>Z867BCA</t>
  </si>
  <si>
    <t>BCA Tabanan CRM 3</t>
  </si>
  <si>
    <t>YT21400324</t>
  </si>
  <si>
    <t>Jl Gajah Mada No 108 Kel Dlod Peken Tabanan</t>
  </si>
  <si>
    <t>Jl. Gajah Mada No.103, Dauh Peken, Kec. Tabanan, Kabupaten Tabanan, Bali 82113, Indonesia</t>
  </si>
  <si>
    <t>Z866BCA</t>
  </si>
  <si>
    <t>BCA Tabanan CRM 2</t>
  </si>
  <si>
    <t>YT21400438</t>
  </si>
  <si>
    <t>Jalan rama Gg. I A No.11, Delod Peken, Kec. Tabanan, Kabupaten Tabanan, Bali 82113, Indonesia</t>
  </si>
  <si>
    <t>Z4WJBCA</t>
  </si>
  <si>
    <t>BCA Mahendradata CRM 5</t>
  </si>
  <si>
    <t>YT21400047</t>
  </si>
  <si>
    <t>Jl Mahendradata No 99 AX, Denpasar</t>
  </si>
  <si>
    <t>85CR+R7W, Jl. Mahendradatta, Padangsambian, Kec. Denpasar Bar., Kota Denpasar, Bali 80119, Indonesia</t>
  </si>
  <si>
    <t>Z09RBCA</t>
  </si>
  <si>
    <t>BCA Mahendradata CRM 4</t>
  </si>
  <si>
    <t>YT21400262</t>
  </si>
  <si>
    <t>85CR+V66, Jl. Mahendradatta, Padangsambian, Kec. Denpasar Bar., Kota Denpasar, Bali 80119, Indonesia</t>
  </si>
  <si>
    <t>Z09QBCA</t>
  </si>
  <si>
    <t>BCA Mahendradata CRM 3</t>
  </si>
  <si>
    <t>YT21400286</t>
  </si>
  <si>
    <t>Z09PBCA</t>
  </si>
  <si>
    <t>BCA Mahendradata CRM 2</t>
  </si>
  <si>
    <t>YT21400138</t>
  </si>
  <si>
    <t>Z09NBCA</t>
  </si>
  <si>
    <t>BCA Mahendradata CRM 1</t>
  </si>
  <si>
    <t>YT21400218</t>
  </si>
  <si>
    <t>Jl. Mahendradatta No.52, Padangsambian, Kec. Denpasar Bar., Kota Denpasar, Bali 80119, Indonesia</t>
  </si>
  <si>
    <t>Z4WDBCA</t>
  </si>
  <si>
    <t>BCA Renon CRM 4</t>
  </si>
  <si>
    <t>YT21400105</t>
  </si>
  <si>
    <t>Jl Raya Puputan no 10 Renon, Denpasar</t>
  </si>
  <si>
    <t>Jl. Raya Puputan No.188, Renon, Denpasar Selatan, Kota Denpasar, Bali 80239, Indonesia</t>
  </si>
  <si>
    <t>Z841BCA</t>
  </si>
  <si>
    <t>BCA MALUKU, DPS CRM 4</t>
  </si>
  <si>
    <t>YT21400149</t>
  </si>
  <si>
    <t>JL MALUKU 10 - DENPASAR - 80119</t>
  </si>
  <si>
    <t>Jalan Diponegoro No.100 Komplek Pertokoan Diponegoro Megah A12, Dauh Puri, Kec. Denpasar Bar., Kota Denpasar, Bali 80232, Indonesia</t>
  </si>
  <si>
    <t>Z840BCA</t>
  </si>
  <si>
    <t>BCA MALUKU, DPS CRM 3</t>
  </si>
  <si>
    <t>YT21400152</t>
  </si>
  <si>
    <t>Z08RBCA</t>
  </si>
  <si>
    <t>BCA DENPASAR CRM 9</t>
  </si>
  <si>
    <t>YT21400017</t>
  </si>
  <si>
    <t>Jl. Hasanuddin No.62, Pemecutan, Kec. Denpasar Bar., Kota Denpasar, Bali 80232, Indonesia</t>
  </si>
  <si>
    <t>Z08QBCA</t>
  </si>
  <si>
    <t>BCA DENPASAR CRM 8</t>
  </si>
  <si>
    <t>YT21400295</t>
  </si>
  <si>
    <t>Z08PBCA</t>
  </si>
  <si>
    <t>BCA DENPASAR CRM 7</t>
  </si>
  <si>
    <t>YT21400278</t>
  </si>
  <si>
    <t>Jl. Hasanuddin No.59, Pemecutan, Kec. Denpasar Bar., Kota Denpasar, Bali 80232, Indonesia</t>
  </si>
  <si>
    <t>Z08NBCA</t>
  </si>
  <si>
    <t>BCA DENPASAR CRM 6</t>
  </si>
  <si>
    <t>YT21400112</t>
  </si>
  <si>
    <t>Jl. Hasanuddin No.68, Pemecutan, Kec. Denpasar Bar., Kota Denpasar, Bali 80232, Indonesia</t>
  </si>
  <si>
    <t>Z09KBCA</t>
  </si>
  <si>
    <t>BCA Teuku Umar Denpasar CRM 4</t>
  </si>
  <si>
    <t>YT21400308</t>
  </si>
  <si>
    <t>Jl. Teuku Umar No.110, Dauh Puri Kauh, Kec. Denpasar Bar., Kota Denpasar, Bali 80113, Indonesia</t>
  </si>
  <si>
    <t>Z09ABCA</t>
  </si>
  <si>
    <t>BCA Grand Sudirman CRM 5</t>
  </si>
  <si>
    <t>YT21400254</t>
  </si>
  <si>
    <t>Jl PB Sudirman blok C5-C6, Denpasar</t>
  </si>
  <si>
    <t>Jl. P.B. Sudirman No.53, Dauh Puri Klod, Kec. Denpasar Bar., Kota Denpasar, Bali 80225, Indonesia</t>
  </si>
  <si>
    <t>Z08ZBCA</t>
  </si>
  <si>
    <t>BCA Grand Sudirman CRM 4</t>
  </si>
  <si>
    <t>YT21400147</t>
  </si>
  <si>
    <t>Z08XBCA</t>
  </si>
  <si>
    <t>BCA Grand Sudirman CRM 2</t>
  </si>
  <si>
    <t>YT21400140</t>
  </si>
  <si>
    <t>Jl. P.B. Sudirman No.53, Dauh Puri Klod, Kec. Denpasar Bar., Kota Denpasar, Bali 80113, Indonesia</t>
  </si>
  <si>
    <t>Z3BEBCA</t>
  </si>
  <si>
    <t>BCA EBC BEACHWALK CRM 1</t>
  </si>
  <si>
    <t>YT21400279</t>
  </si>
  <si>
    <t>75M9+CP2, Kuta, Badung Regency, Bali 80361, Indonesia</t>
  </si>
  <si>
    <t>09:00-22:00</t>
  </si>
  <si>
    <t>Z861BCA</t>
  </si>
  <si>
    <t>BCA Sunset Boulevard CRM 1</t>
  </si>
  <si>
    <t>YT21400201</t>
  </si>
  <si>
    <t>Jl Blvd Sunset Road Dewa Ruci, Kuta, Bali</t>
  </si>
  <si>
    <t>Ruko Sunset Permai II Jl. Sunset Road No.55, Kuta, Kec. Kuta, Kabupaten Badung, Bali 80361, Indonesia</t>
  </si>
  <si>
    <t>Z3NRBCA</t>
  </si>
  <si>
    <t>BCA PASAR KUTA CRM 3</t>
  </si>
  <si>
    <t>YT21400109</t>
  </si>
  <si>
    <t>Jl. Raya Kuta No.200, Kuta, Kec. Kuta, Kabupaten Badung, Bali 80361, Indonesia</t>
  </si>
  <si>
    <t>Z4ULBCA</t>
  </si>
  <si>
    <t>BCA MALL BALI GALERIA CRM 1</t>
  </si>
  <si>
    <t>YT21400271</t>
  </si>
  <si>
    <t>JL BY PASS NGURAH RAI KUTA KAB BADUNG</t>
  </si>
  <si>
    <t>Jl. Jenderal Sudirman No.247-249, Kuta, Kec. Kuta, Kabupaten Badung, Bali 80361, Indonesia</t>
  </si>
  <si>
    <t>Z09EBCA</t>
  </si>
  <si>
    <t>BCA Sesetan, Kuta CRM 4</t>
  </si>
  <si>
    <t>YT21400291</t>
  </si>
  <si>
    <t>Depan SMK Harapan, Sesetan, Denpasar Selatan, Kota Denpasar, Bali, Indonesia</t>
  </si>
  <si>
    <t>Z09DBCA</t>
  </si>
  <si>
    <t>BCA Sesetan, Kuta CRM 3</t>
  </si>
  <si>
    <t>YT21400303</t>
  </si>
  <si>
    <t>JL. Pangeran Diponegoro, 8688+F9P, Sesetan, Denpasar Selatan, Kota Denpasar, Bali 80114, Indonesia</t>
  </si>
  <si>
    <t>Z4VYBCA</t>
  </si>
  <si>
    <t>BCA Canggu CRM 1</t>
  </si>
  <si>
    <t>YT21400249</t>
  </si>
  <si>
    <t>942X+5Q4, Jl. Pantai Berawa, Tibubeneng, Kec. Kuta Utara, Kabupaten Badung, Bali 80361, Indonesia</t>
  </si>
  <si>
    <t>Z1N0BCA</t>
  </si>
  <si>
    <t>BCA IDM Kepaon Indah</t>
  </si>
  <si>
    <t>YT21400003</t>
  </si>
  <si>
    <t>Jl. Kepaon Indah No.07, Pemogan, Denpasar Selatan</t>
  </si>
  <si>
    <t>Jl. Kepaon Indah No.20, Pemogan, Denpasar Selatan, Kota Denpasar, Bali 80221, Indonesia</t>
  </si>
  <si>
    <t>00CHBCA</t>
  </si>
  <si>
    <t>BCA CK Munggu Tanah Lot</t>
  </si>
  <si>
    <t>YR20400060</t>
  </si>
  <si>
    <t>Munggu, Mengwi, Badung Regency, Bali</t>
  </si>
  <si>
    <t>94H9+W2G, Munggu, Mengwi, Badung Regency, Bali 80351, Indonesia</t>
  </si>
  <si>
    <t>Z24CBCA</t>
  </si>
  <si>
    <t>BCA Crystal Mart Cargo</t>
  </si>
  <si>
    <t>YT21400104</t>
  </si>
  <si>
    <t>Jl. Cargo Permai No.8a, Ubung, Kec. Denpasar Utara, Kota Denpasar, Bali 80111, Indonesia</t>
  </si>
  <si>
    <t>Z1Q7BCA</t>
  </si>
  <si>
    <t>BCA Dhana Mart Intaran</t>
  </si>
  <si>
    <t>YT21400009</t>
  </si>
  <si>
    <t>Jl. Intaran No. 22, Sanur Kauh, Denpasar Selatan, Kota Denpasar, Bali</t>
  </si>
  <si>
    <t>8782+F87 Pasar Intaran, Jl. Pajang Sari, Sanur Kauh, Denpasar Selatan, Kota Denpasar, Bali 80227, Indonesia</t>
  </si>
  <si>
    <t>00DMBCA</t>
  </si>
  <si>
    <t>BCA Alfa Segina Kertapura</t>
  </si>
  <si>
    <t>YR21400453</t>
  </si>
  <si>
    <t>Gg. Segina III B No.6, Pemecutan Klod, Kec. Denpasar Bar., Kota Denpasar, Bali</t>
  </si>
  <si>
    <t>Gg. Segina III B No.6, Pemecutan Klod, Kec. Denpasar Bar., Kota Denpasar, Bali 80119, Indonesia</t>
  </si>
  <si>
    <t>00JKBCA</t>
  </si>
  <si>
    <t>BCA ATM  Beachwalk</t>
  </si>
  <si>
    <t>YR20400250</t>
  </si>
  <si>
    <t>Jl Pantai Kuta, Kuta, Kab. Badung  80361</t>
  </si>
  <si>
    <t>75M9+8M7, Kuta, Badung Regency, Bali 80361, Indonesia</t>
  </si>
  <si>
    <t>00JNBCA</t>
  </si>
  <si>
    <t>BCA Gogo Sedap Malam</t>
  </si>
  <si>
    <t>YR20400167</t>
  </si>
  <si>
    <t>Jl. Sedap Malam No.187X, Sumerta Kelod, Kec. Denpasar Tim., Kota Denpasar, Bali 80237, Indonesia</t>
  </si>
  <si>
    <t>Z1T7BCA</t>
  </si>
  <si>
    <t>BCA Alfa Green Kori</t>
  </si>
  <si>
    <t>YT21400537</t>
  </si>
  <si>
    <t>Jl. Nuansa Hijau Utama I, Ubung Kaja, Kec. Denpasar Utara, Kota Denpasar, Bali</t>
  </si>
  <si>
    <t>95QX+PPG, Jl. Nuansa Hijau Utama, Ubung Kaja, Kec. Denpasar Utara, Kota Denpasar, Bali 80115, Indonesia</t>
  </si>
  <si>
    <t>Z263BCA</t>
  </si>
  <si>
    <t>BCA Level 21 Denpasar</t>
  </si>
  <si>
    <t>YT21400545</t>
  </si>
  <si>
    <t>Level21 Mall, Ground Floor #55, Dauh Puri Klod, Kec. Denpasar Bar., Kota Denpasar, Bali 80113, Indonesia</t>
  </si>
  <si>
    <t>00JPBCA</t>
  </si>
  <si>
    <t>BCA TOKO WISMA TANI GELGEL</t>
  </si>
  <si>
    <t>YR20400077</t>
  </si>
  <si>
    <t>JL. WATU RENGGONG, GELGEL, KEC. KLUNGKUNG, KABUPATEN KLUNGKUNG, BALI</t>
  </si>
  <si>
    <t>CCW4+7QR, Jl. Watu Renggong, Gelgel, Kec. Klungkung, Kabupaten Klungkung, Bali 80716, Indonesia</t>
  </si>
  <si>
    <t>00D9BCA</t>
  </si>
  <si>
    <t>BCA IDM SEBATU GIANYAR</t>
  </si>
  <si>
    <t>YR21400355</t>
  </si>
  <si>
    <t>JL. RAYA BILUKAN, SEBATU, KEC. TEGALLALANG, KABUPATEN GIANYAR, BALI</t>
  </si>
  <si>
    <t>J74V+F53, Jl. Raya Bilukan, Sebatu, Kec. Tegallalang, Kabupaten Gianyar, Bali 80561, Indonesia</t>
  </si>
  <si>
    <t>00RFBCA</t>
  </si>
  <si>
    <t>BCA BANDARA NGURAH RAI BALI</t>
  </si>
  <si>
    <t>YR20400360</t>
  </si>
  <si>
    <t>JL RY GUSTI NGURAH RAI TUBAN KUTA BADUNG BALI</t>
  </si>
  <si>
    <t>7546+4R9 I Gusti Ngurah Rai Domestic Airport - Bali (DPS), Tuban, Kec. Kuta, Kabupaten Badung, Bali, Indonesia</t>
  </si>
  <si>
    <t>00RRBCA</t>
  </si>
  <si>
    <t>BCA CINEMA XXI PARK 23 MALL</t>
  </si>
  <si>
    <t>YR20400304</t>
  </si>
  <si>
    <t>JL KEDIRI, TUBAN, KEC KUTA, KABUPATEN BADUNG, BALI</t>
  </si>
  <si>
    <t>Jl. Kediri No.25 LG#01, Tuban, Kuta, Badung Regency, Bali 80361, Indonesia</t>
  </si>
  <si>
    <t>00ZBBCA</t>
  </si>
  <si>
    <t>BCA ARYS MIKRO DUKUH TABANAN</t>
  </si>
  <si>
    <t>YR20400376</t>
  </si>
  <si>
    <t>JL TERATAI, DAUH PEKEN, KEC.TABANAN, KAB.TABANAN</t>
  </si>
  <si>
    <t>F448+MC9, Dauh Peken, Tabanan, Tabanan Regency, Bali 82113, Indonesia</t>
  </si>
  <si>
    <t>681ZBCA</t>
  </si>
  <si>
    <t>BCA THE RITZCARLTON HOTEL 1</t>
  </si>
  <si>
    <t>YR20400467</t>
  </si>
  <si>
    <t>JALAN RAYA NUSA DUA SELATAN, LOT III, SAWANGAN, NUSA DUA, BALI, INDONESIA, 80361. </t>
  </si>
  <si>
    <t>56C7+HCX, Benoa, Kec. Kuta Sel., Kabupaten Badung, Bali, Indonesia</t>
  </si>
  <si>
    <t>00H1BCA</t>
  </si>
  <si>
    <t>BCA THE APURVA KEMPINSKI 2</t>
  </si>
  <si>
    <t>YR20400409</t>
  </si>
  <si>
    <t>JL. RAYA NUSA DUA SELATAN LOT 4, BENOA, KEC. KUTA SEL., KABUPATEN BADUNG, BALI 80361</t>
  </si>
  <si>
    <t>56C7+JHQ, Jl. Raya Nusa Dua Selatan, Benoa, Kec. Kuta Sel., Kabupaten Badung, Bali, Indonesia</t>
  </si>
  <si>
    <t>00E5BCA</t>
  </si>
  <si>
    <t>BCA PURA ULUWATU 3</t>
  </si>
  <si>
    <t>YR20400518</t>
  </si>
  <si>
    <t>DESA PECATU, KECAMATAN KUTA SELATAN, KABUPATEN BADUNG, BALI.</t>
  </si>
  <si>
    <t>53CP+7GP, Jl. Raya Uluwatu Pecatu, Pecatu, Kec. Kuta Sel., Kabupaten Badung, Bali, Indonesia</t>
  </si>
  <si>
    <t>470EBCA</t>
  </si>
  <si>
    <t>BCA Minimart Kampial</t>
  </si>
  <si>
    <t>YR20400425</t>
  </si>
  <si>
    <t>Jl Darmawangsa, Kampial, Kuta Selatan, Badung</t>
  </si>
  <si>
    <t>Jl. Kuruksetra No.186, Benoa, Kec. Kuta Sel., Kabupaten Badung, Bali 80361, Indonesia</t>
  </si>
  <si>
    <t>00UDBCA</t>
  </si>
  <si>
    <t>BCA CK Puja Mandala</t>
  </si>
  <si>
    <t>YR20400496</t>
  </si>
  <si>
    <t>Jl. Kuruksetra No.88, Benoa, Kec. Kuta Selatan, Kabupaten Badung, Bali</t>
  </si>
  <si>
    <t>Jl. Kuruksetra No.35, Benoa, Kec. Kuta Sel., Kabupaten Badung, Bali 80361, Indonesia</t>
  </si>
  <si>
    <t>4102BCA</t>
  </si>
  <si>
    <t>BCA CV Mita Nusa Dua</t>
  </si>
  <si>
    <t>YR20400453</t>
  </si>
  <si>
    <t>Jl. By Pass I Gusti Ngurah Rai - Bali</t>
  </si>
  <si>
    <t>662F+M6M, Jl. Bypass Ngurah Rai, Benoa, Kec. Kuta Sel., Kabupaten Badung, Bali 80361, Indonesia</t>
  </si>
  <si>
    <t>066LBCA</t>
  </si>
  <si>
    <t>BCA CK CK102 BAL0139 TOYANI</t>
  </si>
  <si>
    <t>YR20400454</t>
  </si>
  <si>
    <t>JL. TOYANING NO. 10 KELURAHAN KEDONGAN BADUNG</t>
  </si>
  <si>
    <t>65QG+JMX, Jl. Toyaning, Kedonganan, Kec. Kuta, Kabupaten Badung, Bali 80361, Indonesia</t>
  </si>
  <si>
    <t>2045BCA</t>
  </si>
  <si>
    <t>BCA KLINIK TIARA HUSADA TUBAN</t>
  </si>
  <si>
    <t>YR20400416</t>
  </si>
  <si>
    <t>755H+HF8, JL. RAYA TUBAN, TUBAN, KEC. KUTA, KABUPATEN BADUNG, BALI 80361, INDONESIA</t>
  </si>
  <si>
    <t>Health care</t>
  </si>
  <si>
    <t>755H+HF8, Jl. Raya Tuban, Tuban, Kec. Kuta, Kabupaten Badung, Bali 80361, Indonesia</t>
  </si>
  <si>
    <t>3353BCA</t>
  </si>
  <si>
    <t>BCA PEPITO SUPERMARKET</t>
  </si>
  <si>
    <t>YR20400422</t>
  </si>
  <si>
    <t>JL. KEDIRI NO.67, KUTA, KEC. KUTA, KABUPATEN BADUNG, BALI 80361, INDONESIA</t>
  </si>
  <si>
    <t>Jl. Kediri No.67, Kuta, Kec. Kuta, Kabupaten Badung, Bali 80361, Indonesia</t>
  </si>
  <si>
    <t>066JBCA</t>
  </si>
  <si>
    <t>BCA CK CK171 BAL0168 KUBU A</t>
  </si>
  <si>
    <t>YR20400480</t>
  </si>
  <si>
    <t xml:space="preserve"> JL. KUBU ANYAR, KUTA, KEC. KUTA, KABUPATEN BADUNG, BALI 80361</t>
  </si>
  <si>
    <t>759C+5GR, Jl. Kubu Anyar, Kuta, Kec. Kuta, Kabupaten Badung, Bali 80361, Indonesia</t>
  </si>
  <si>
    <t>01JTBCA</t>
  </si>
  <si>
    <t>BCA RS BALI INTERNASIONAL</t>
  </si>
  <si>
    <t>YR20400438</t>
  </si>
  <si>
    <t>JL BYPASS NGURAH RAI NO35, SANUR, DPS SELATAN    80227</t>
  </si>
  <si>
    <t>Jl. Bypass Ngurah Rai No.101, Sanur Kaja, Denpasar Selatan, Kota Denpasar, Bali 80227, Indonesia</t>
  </si>
  <si>
    <t>5015BCA</t>
  </si>
  <si>
    <t>BCA Mitra 10 ByPass NgurahRai</t>
  </si>
  <si>
    <t>YR20400512</t>
  </si>
  <si>
    <t>Jl. Bypass Ngurah Rai No.838, Pedungan, Denpasar Selatan, Kota Denpasar, Bali 80221, Indonesia</t>
  </si>
  <si>
    <t>074ZBCA</t>
  </si>
  <si>
    <t>BCA Canggu Plaza 1</t>
  </si>
  <si>
    <t>YR20400468</t>
  </si>
  <si>
    <t>Jl. Taman Wisata Tibubeneng, Canggu, Kuta Utara, Tibubeneng, Kec. Kuta Utara, Kabupaten Badung, Bali 80361</t>
  </si>
  <si>
    <t>84PW+3VM, Tibubeneng, Kuta Utara, Badung Regency, Bali 80361, Indonesia</t>
  </si>
  <si>
    <t>472YBCA</t>
  </si>
  <si>
    <t>BCA CK Beraban Kuta 3</t>
  </si>
  <si>
    <t>YR20400484</t>
  </si>
  <si>
    <t>Jl. Braban No.3, Kerobokan Kelod, Kec. Kuta Utara, Kabupaten Badung, Bali 80361</t>
  </si>
  <si>
    <t>Jl. Beraban No.80, Kerobokan Kelod, Kec. Kuta Utara, Kabupaten Badung, Bali 80361, Indonesia</t>
  </si>
  <si>
    <t>695LBCA</t>
  </si>
  <si>
    <t>BCA CK Bali Kiddy 4</t>
  </si>
  <si>
    <t>YR20400507</t>
  </si>
  <si>
    <t>Jl. Teuku Umar Barat No. 235 Jl. Persada, Kerobokan Kelod, Kec. Kuta Utara Kabupaten Badung, Bali 80117, Kerobokan Kelod, Kec. Kuta Utara, Kabupaten Badung, Bali 80112</t>
  </si>
  <si>
    <t>Jl. Teuku Umar Barat No.989x, Kerobokan Kelod, Kec. Kuta Utara, Kabupaten Badung, Bali 80117, Indonesia</t>
  </si>
  <si>
    <t>068WBCA</t>
  </si>
  <si>
    <t>BCA ALFA Q004 BANJAR ANYAR 2</t>
  </si>
  <si>
    <t>YR20400424</t>
  </si>
  <si>
    <t>JL TUKAD YEH HO BR SANGGULAN BANJAAR, BANJAR ANYAR, KAB, KABUPATEN TABANAN, BALI 82123</t>
  </si>
  <si>
    <t>9526+HGX, Jl. Raya Anyar, Kerobokan, Kec. Kuta Utara, Kabupaten Badung, Bali 80361, Indonesia</t>
  </si>
  <si>
    <t>622HBCA</t>
  </si>
  <si>
    <t>BCA IDM PULAU SAELUS DENPASAR 1</t>
  </si>
  <si>
    <t>YR20400504</t>
  </si>
  <si>
    <t>JL. PULAU SAELUS NO.16, SESETAN, DENPASAR SEL., KOTA DENPASAR, BALI 80223, INDONESIA</t>
  </si>
  <si>
    <t>Jl. Pulau Saelus No.20, Sesetan, Denpasar Selatan, Kota Denpasar, Bali 80114, Indonesia</t>
  </si>
  <si>
    <t>2574BCA</t>
  </si>
  <si>
    <t>BCA CK 151 Pulau Bungin 2</t>
  </si>
  <si>
    <t>YR20400434</t>
  </si>
  <si>
    <t>Jl. Pulau Bungin No.108, Pedungan, Denpasar Selatan, Kota Denpasar, Bali 80113</t>
  </si>
  <si>
    <t>Jl. Pulau Bungin No.110, Pemogan, Denpasar Selatan, Kota Denpasar, Bali 80113, Indonesia</t>
  </si>
  <si>
    <t>686RBCA</t>
  </si>
  <si>
    <t>BCA ALFA WIDA BALI 3</t>
  </si>
  <si>
    <t>YR20400378</t>
  </si>
  <si>
    <t>8654+8WP, Jl. Pulau Belitung, Pedungan, Denpasar Selatan, Kota Denpasar, Bali 80222, Indonesia</t>
  </si>
  <si>
    <t>00FRBCA</t>
  </si>
  <si>
    <t>BCA alfa penatih dauh puri</t>
  </si>
  <si>
    <t>YR20400515</t>
  </si>
  <si>
    <t>Jl. Siulan No.159, Penatih Dangin Puri, Kec. Denpasar Tim., Kota Denpasar, Bali 80237, Indonesia</t>
  </si>
  <si>
    <t>068YBCA</t>
  </si>
  <si>
    <t>BCA alfamart wr supratman</t>
  </si>
  <si>
    <t>YR20400465</t>
  </si>
  <si>
    <t>JL. WR. SUPRATMAN DENPASAR BALI</t>
  </si>
  <si>
    <t>9784+FJG, Jl. WR Supratman, Kesiman Kertalangu, Kec. Denpasar Tim., Kota Denpasar, Bali 80237, Indonesia</t>
  </si>
  <si>
    <t>066PBCA</t>
  </si>
  <si>
    <t>BCA CK CK154 BAL0251 Ketewe</t>
  </si>
  <si>
    <t>YR20400503</t>
  </si>
  <si>
    <t>Jl. Prof. Dr. Ida Bagus Mantra No.300, Ketewel, Kec. Sukawati, Kabupaten Gianyar, Bali 80582</t>
  </si>
  <si>
    <t>Jl. Prof. Dr. Ida Bagus Mantra No.999x, Saba, Kec. Blahbatuh, Kabupaten Gianyar, Bali 80581, Indonesia</t>
  </si>
  <si>
    <t>016YBCA</t>
  </si>
  <si>
    <t>BCA Coco Mart Sukawati</t>
  </si>
  <si>
    <t>YR20400491</t>
  </si>
  <si>
    <t>Jl. Raya Sukawati No.75X, Sukawati, Kec. Sukawati, Kabupaten Gianyar, Bali 80582</t>
  </si>
  <si>
    <t>Jl. Raya Sukawati No.75X, Sukawati, Kec. Sukawati, Kabupaten Gianyar, Bali 80582, Indonesia</t>
  </si>
  <si>
    <t>017QBCA</t>
  </si>
  <si>
    <t>BCA IDM Sibangkaja</t>
  </si>
  <si>
    <t>YR20400430</t>
  </si>
  <si>
    <t>Jl. Sibangkaja, Mumbul, badung Bali</t>
  </si>
  <si>
    <t>Jl. Raya Sibang Kaja No.1, Sibang Kaja, Kec. Abiansemal, Kabupaten Badung, Bali 80352, Indonesia</t>
  </si>
  <si>
    <t>01TYBCA</t>
  </si>
  <si>
    <t>BCA ALFA KALIMUTU</t>
  </si>
  <si>
    <t>YR20400489</t>
  </si>
  <si>
    <t>JALAN PURA DEMAK PEMECUTAN KELOD DENPASAR_x000D_
 80119</t>
  </si>
  <si>
    <t>Jl. Gn. Kalimutu X No.20, Pemecutan Klod, Kec. Denpasar Bar., Kota Denpasar, Bali 80119, Indonesia</t>
  </si>
  <si>
    <t>017NBCA</t>
  </si>
  <si>
    <t>BCA Alfa Antasura</t>
  </si>
  <si>
    <t>YR20400421</t>
  </si>
  <si>
    <t>Jl. AntasurA Banjar Pengukuh, Denpasar</t>
  </si>
  <si>
    <t>Jl. Antasura No.80B, Peguyangan Kangin, Kec. Denpasar Utara, Kota Denpasar, Bali 80239, Indonesia</t>
  </si>
  <si>
    <t>5059BCA</t>
  </si>
  <si>
    <t>BCA CK 100 COKRO AMINOTO</t>
  </si>
  <si>
    <t>YR20400383</t>
  </si>
  <si>
    <t xml:space="preserve"> Jl. Cokroaminoto No.224, Ubung, Kec. Denpasar Utara, Kota Denpasar, Bali 80115</t>
  </si>
  <si>
    <t>Jl. Cokroaminoto No.65, Bina Permai, Ubung, Kec. Denpasar Utara, Kota Denpasar, Bali 80115, Indonesia</t>
  </si>
  <si>
    <t>031UBCA</t>
  </si>
  <si>
    <t>BCA  BOGA SWAHA SUPERMARKET</t>
  </si>
  <si>
    <t>YR20400448</t>
  </si>
  <si>
    <t>Jl. Raya Denpasar - Gilimanuk No.31-27, Sempidi, Kec. Mengwi, Kabupaten Badung, Bali 80351</t>
  </si>
  <si>
    <t>Jl. Raya Sempidi br Pande No.29, Sempidi, Kec. Mengwi, Kabupaten Badung, Bali 80351, Indonesia</t>
  </si>
  <si>
    <t>439KBCA</t>
  </si>
  <si>
    <t>BCA IDM F26U DALUNG II</t>
  </si>
  <si>
    <t>YR20400473</t>
  </si>
  <si>
    <t xml:space="preserve"> JL. PERUMAHAN DALUNG PERMAI NO.38B, DALUNG, KEC. KUTA UTARA, KABUPATEN BADUNG, BALI 80361</t>
  </si>
  <si>
    <t>Jl. Perum Dalung Permai No.23 Blok OO, Dalung, Kec. Kuta Utara, Kabupatén Badung, Bali 80361, Indonesia</t>
  </si>
  <si>
    <t>694RBCA</t>
  </si>
  <si>
    <t>BCA IDM BANTAS TABANAN 1</t>
  </si>
  <si>
    <t>YR20400428</t>
  </si>
  <si>
    <t>JALAN RAYA DENPASAR, GILIMANUK, DESA BANTAS, BANTAS, KEC. SELEMADEG TIM., KABUPATEN TABANAN, BALI 82162</t>
  </si>
  <si>
    <t>F3X7+649, Bantas, Kec. Selemadeg Tim., Kabupaten Tabanan, Bali 82162, Indonesia</t>
  </si>
  <si>
    <t>017PBCA</t>
  </si>
  <si>
    <t>BCA IDM MERANGGI TABANAN 2</t>
  </si>
  <si>
    <t>YR20400464</t>
  </si>
  <si>
    <t>JALAN RAYA SEMBUNG MERANGGI, SEMBUNG GEDE, KEC. KERAMBITAN, KABUPATEN TABANAN, BALI 82161</t>
  </si>
  <si>
    <t>Jl. Raya Meranggi No.81, Sembung, Sembung Gede, Kec. Kerambitan, Kabupaten Tabanan, Bali 82161, Indonesia</t>
  </si>
  <si>
    <t>067EBCA</t>
  </si>
  <si>
    <t>BCA IDM WR Supratman Denpasar</t>
  </si>
  <si>
    <t>YR20400483</t>
  </si>
  <si>
    <t>Jl. WR Supratman No. 19A, Denpasar</t>
  </si>
  <si>
    <t>Jl. WR Supratman No.47, Sumerta Kaja, Kec. Denpasar Tim., Kota Denpasar, Bali 80236, Indonesia</t>
  </si>
  <si>
    <t>2578BCA</t>
  </si>
  <si>
    <t>BCA Toko Sepatu Surabaya</t>
  </si>
  <si>
    <t>YR20400298</t>
  </si>
  <si>
    <t>Jl. WR Supratman No.142, Kesiman, Kec. Denpasar Tim., Kota Denpasar, Bali 80235, Indonesia</t>
  </si>
  <si>
    <t>01QYBCA</t>
  </si>
  <si>
    <t>BCA ALFA PATIMURA DENPASAR</t>
  </si>
  <si>
    <t>YR20400517</t>
  </si>
  <si>
    <t>JL PATIMURA NO 12 DAUH PURI 80321</t>
  </si>
  <si>
    <t>Jl. Patimura No.33, Dangin Puri Kaja, Kec. Denpasar Utara, Kota Denpasar, Bali 80234, Indonesia</t>
  </si>
  <si>
    <t>650KBCA</t>
  </si>
  <si>
    <t>BCA OJK Denpasar 1</t>
  </si>
  <si>
    <t>YR20400471</t>
  </si>
  <si>
    <t>962F+GC2, Jl. Trijata, Dangin Puri Kangin, Kec. Denpasar Utara, Kota Denpasar, Bali 80234, Indonesia</t>
  </si>
  <si>
    <t>699CBCA</t>
  </si>
  <si>
    <t>BCA Alfa Tukad Irawadi</t>
  </si>
  <si>
    <t>YR20400406</t>
  </si>
  <si>
    <t>Jl Tukad Irawadi, Panjer, Denpasar Selatan, Denpasar , Bali</t>
  </si>
  <si>
    <t>Jl. Tukad Irawadi No.47 B, Dauh Puri Klod, Denpasar Selatan, Kota Denpasar, Bali 80225, Indonesia</t>
  </si>
  <si>
    <t>652HBCA</t>
  </si>
  <si>
    <t>BCA ALFA MUDHITA TUKAD BARITO</t>
  </si>
  <si>
    <t>YR20400472</t>
  </si>
  <si>
    <t>JL TUKAD BARITO TIMUR, KEL PANJER DENPASAR</t>
  </si>
  <si>
    <t>Jl. Tukad Barito No.50, Panjer, Denpasar Selatan, Kota Denpasar, Bali 80225, Indonesia</t>
  </si>
  <si>
    <t>649YBCA</t>
  </si>
  <si>
    <t>BCA Alfa Batanghari 1</t>
  </si>
  <si>
    <t>YR20400461</t>
  </si>
  <si>
    <t>Jl Batanghari Selatan, Panjer Denpasar</t>
  </si>
  <si>
    <t>Jl. Tukad Batanghari No.87, Panjer, Kec. Denpasar Bar., Kota Denpasar, Bali 80225, Indonesia</t>
  </si>
  <si>
    <t>1850BCA</t>
  </si>
  <si>
    <t>BCA RS Surya Husada</t>
  </si>
  <si>
    <t>YR20400316</t>
  </si>
  <si>
    <t>Jl. Pulau Serangan No.I, Dauh Puri Klod, Kec. Denpasar Bar., Kota Denpasar, Bali 80114, Indonesia</t>
  </si>
  <si>
    <t>497FBCA</t>
  </si>
  <si>
    <t>BCA CK Tjok Agung Tresna</t>
  </si>
  <si>
    <t>YR20400478</t>
  </si>
  <si>
    <t>Jl Tjok Agung Tresna - Renon Denpasar</t>
  </si>
  <si>
    <t>Jl. Letda Tantular No.147, Dangin Puri Klod, Kec. Denpasar Tim., Kota Denpasar, Bali 80232, Indonesia</t>
  </si>
  <si>
    <t>5022BCA</t>
  </si>
  <si>
    <t>BCA CK 131 Tukad Yeh Aya</t>
  </si>
  <si>
    <t>YR20400485</t>
  </si>
  <si>
    <t>Jl. Pukat Tukat Yehaya, Denpasar</t>
  </si>
  <si>
    <t>Jl. Tukad Yeh Aya No.39d, Panjer, Dauh Puri Klod, Kec. Denpasar Bar., Kota Denpasar, Bali 80234, Indonesia</t>
  </si>
  <si>
    <t>5029BCA</t>
  </si>
  <si>
    <t>BCA CK 108 Kopi Bali Sanur</t>
  </si>
  <si>
    <t>YR20400470</t>
  </si>
  <si>
    <t>Jl. Bay Pass Ngurah Rai, Sanur Bali</t>
  </si>
  <si>
    <t>Jl. Bypass Ngurah Rai No.45A, Sanur Kauh, Denpasar Selatan, Kota Denpasar, Bali, Indonesia</t>
  </si>
  <si>
    <t>431LBCA</t>
  </si>
  <si>
    <t>BCA IDM Tkd Balian Momi Bali</t>
  </si>
  <si>
    <t>YR20400459</t>
  </si>
  <si>
    <t>Jl Tukad Balian, Denpasar Selatan, Denpasar</t>
  </si>
  <si>
    <t>Jl. Tukad Balian No.338, Sidakarya, Denpasar Selatan, Kota Denpasar, Bali 80224, Indonesia</t>
  </si>
  <si>
    <t>621JBCA</t>
  </si>
  <si>
    <t>BCA IDM Sidakarya Denpasar</t>
  </si>
  <si>
    <t>YR20400403</t>
  </si>
  <si>
    <t>Jl Sidakarya No 95, Denpasar Selatan Bali</t>
  </si>
  <si>
    <t>Jl. Sidakarya No.82.F, Sidakarya, Denpasar Selatan, Kota Denpasar, Bali 80224, Indonesia</t>
  </si>
  <si>
    <t>011CBCA</t>
  </si>
  <si>
    <t>BCA CK Gatsu Hook</t>
  </si>
  <si>
    <t>YR20400371</t>
  </si>
  <si>
    <t>Jl. Gatot Subroto Tim. No.187x, Tonja, Kec. Denpasar Utara, Kota Denpasar, Bali   80239</t>
  </si>
  <si>
    <t>Jl. Gatot Subroto Tim. No.187x, Tonja, Kec. Denpasar Tim., Kota Denpasar, Bali 80237, Indonesia</t>
  </si>
  <si>
    <t>0118BCA</t>
  </si>
  <si>
    <t>BCA KFA 242 Raya Kuta</t>
  </si>
  <si>
    <t>YR20400427</t>
  </si>
  <si>
    <t xml:space="preserve">Jl. Raya Kuta No.102, Kuta, Kec. Kuta, Kabupaten Badung, Bali </t>
  </si>
  <si>
    <t>Jl. Raya Kuta No.106 A, Kuta, Kec. Kuta, Kabupaten Badung, Bali 80361, Indonesia</t>
  </si>
  <si>
    <t>011BBCA</t>
  </si>
  <si>
    <t>BCA INDOGROSIR DENPASAR</t>
  </si>
  <si>
    <t>YR20400433</t>
  </si>
  <si>
    <t xml:space="preserve">JL. RAYA BATUBULAN NO.63 C, BATUBULAN, KEC. SUKAWATI, KABUPATEN GIANYAR, BALI </t>
  </si>
  <si>
    <t>97F5+5RF, Jl. Batuyang, Batubulan, Kec. Sukawati, Kabupaten Gianyar, Bali 80582, Indonesia</t>
  </si>
  <si>
    <t>0127BCA</t>
  </si>
  <si>
    <t>BCA CK PADANG LUWIH</t>
  </si>
  <si>
    <t>YR20400441</t>
  </si>
  <si>
    <t>JL. RAYA PADANG LUWIH NO.132-130, DALUNG, KEC. KUTA UTARA, KABUPATEN BADUNG, BALI 80361, INDONESIA</t>
  </si>
  <si>
    <t>Jl. Raya Padang Luwih No.132-130, Dalung, Kec. Kuta Utara, Kabupaten Badung, Bali 80361, Indonesia</t>
  </si>
  <si>
    <t>Z23CBCA</t>
  </si>
  <si>
    <t xml:space="preserve">BCA Alfa Rabangodu Utara </t>
  </si>
  <si>
    <t>YT21400219</t>
  </si>
  <si>
    <t>Jl Soekarno Hatta, Rabangodu Utara, Raba  84115</t>
  </si>
  <si>
    <t>Kota Bima</t>
  </si>
  <si>
    <t>SSI BIMA</t>
  </si>
  <si>
    <t>FQN</t>
  </si>
  <si>
    <t>Furqan</t>
  </si>
  <si>
    <t>Bima</t>
  </si>
  <si>
    <t>GQH6+M83, Rabangodu Utara, Raba, Bima Regency, West Nusa Tenggara 84115, Indonesia</t>
  </si>
  <si>
    <t>653LBCA</t>
  </si>
  <si>
    <t>BCA MINIMARKET PAGI</t>
  </si>
  <si>
    <t>YK19200388</t>
  </si>
  <si>
    <t>9FM6+WJJ, Jl. Mongosidi, Pau, Kec. Langke Rembong, Kabupaten Manggarai, Nusa Tenggara Tim., Indonesia</t>
  </si>
  <si>
    <t>Kab. Manggarai</t>
  </si>
  <si>
    <t>YYT</t>
  </si>
  <si>
    <t>Yohanes Yeximus Tritanto</t>
  </si>
  <si>
    <t>Ende</t>
  </si>
  <si>
    <t>Logistik DKI Jakarta</t>
  </si>
  <si>
    <t>Komplek Harmoni Plaza Blok G No 6-8 Jl. Suryopranoto No.2Jakarta Pusat 10130</t>
  </si>
  <si>
    <t>Bogor</t>
  </si>
  <si>
    <t>Jl. Cikoneng II No.25, Pagelaran, Ciomas, Bogor, Jawa Barat 16610</t>
  </si>
  <si>
    <t>ZLR2BCA</t>
  </si>
  <si>
    <t>BCA ALFA THOMAS AQUINAS</t>
  </si>
  <si>
    <t>YR25400227</t>
  </si>
  <si>
    <t>JL NURI WATU LANGKE REMBONG MANGGARAI NUSA TENGGARA TIMUR</t>
  </si>
  <si>
    <t>9FM8+7XM, Jl. Dr. Soetomo, Watu, Kec. Langke Rembong, Kabupaten Manggarai, Nusa Tenggara Tim., Indonesia</t>
  </si>
  <si>
    <t>00RNBCA</t>
  </si>
  <si>
    <t>BCA KADO BAJO</t>
  </si>
  <si>
    <t>YR20400367</t>
  </si>
  <si>
    <t>JL YOHANIS SAHADUN KEL. LABUAN BAJO, KEC. KOMODO, KAB. MANGGARAI BARAT, PROV. NUSA TENGGARA TIMUR</t>
  </si>
  <si>
    <t>Jl. Alo Tanis No.6, Labuan Bajo, Kec. Komodo, Kabupaten Manggarai Barat, Nusa Tenggara Tim., Indonesia</t>
  </si>
  <si>
    <t>401DBCA</t>
  </si>
  <si>
    <t>BCA KRISHNA OLEH OLEH SINGARAJA</t>
  </si>
  <si>
    <t>YN23200072</t>
  </si>
  <si>
    <t>JL. TEMUKUS, BANJAR, BULELENG, BALI 81113</t>
  </si>
  <si>
    <t>Kab. Buleleng</t>
  </si>
  <si>
    <t>REH</t>
  </si>
  <si>
    <t>Rio Erdiansyah</t>
  </si>
  <si>
    <t>Singaraja</t>
  </si>
  <si>
    <t>Jl. Seririt- Singaraja, Temukus, Kec. Banjar, Kabupaten Buleleng, Bali 81152, Indonesia</t>
  </si>
  <si>
    <t>5174BCA</t>
  </si>
  <si>
    <t>BCA Pusat Kesenian Lovina 2</t>
  </si>
  <si>
    <t>YO27200761</t>
  </si>
  <si>
    <t>R2QG+38Q, Anturan, Buleleng, Buleleng Regency, Bali 81152, Indonesia</t>
  </si>
  <si>
    <t>01CXBCA</t>
  </si>
  <si>
    <t>BCA EDIE ARTA MOTOR</t>
  </si>
  <si>
    <t>YO27200123</t>
  </si>
  <si>
    <t>JL RAYA SINGARAJA,BUNGKULAN,SAWATI,BULELENG</t>
  </si>
  <si>
    <t>W49X+XM2, Jl. Raya Singaraja, Bungkulan, Kec. Sawan, Kabupaten Buleleng, Bali 81171, Indonesia</t>
  </si>
  <si>
    <t>686HBCA</t>
  </si>
  <si>
    <t>BCA IDM KEMBANG MERTHA</t>
  </si>
  <si>
    <t>YO27200262</t>
  </si>
  <si>
    <t>JL RAYA BEDEGUL SINGARAJA, CANDI KUNING, TABANAN</t>
  </si>
  <si>
    <t>Jl. Raya Bedugul No.99, Candikuning, Kec. Baturiti, Kabupaten Tabanan, Bali 82191, Indonesia</t>
  </si>
  <si>
    <t>ZRQ5BCA</t>
  </si>
  <si>
    <t>BCA ALFA BANJAR JAWA</t>
  </si>
  <si>
    <t>YR25400754</t>
  </si>
  <si>
    <t>Samping Alfamart Banjar Jawa, V3MR+FQM, Banjar Jawa, Buleleng, Buleleng Regency, Bali 81113, Indonesia</t>
  </si>
  <si>
    <t>ZQJ4BCA</t>
  </si>
  <si>
    <t>BCA MINMARKET CAHAYA BARU</t>
  </si>
  <si>
    <t>YR25400821</t>
  </si>
  <si>
    <t>JL. WR SUPRATMAN 236-6, PENARUKAN, KEC. BULELENG, KABUPATEN BULELENG, BALI 81119</t>
  </si>
  <si>
    <t>W424+PCF, Penarukan, Buleleng, Buleleng Regency, Bali 81119, Indonesia</t>
  </si>
  <si>
    <t>602UBCA</t>
  </si>
  <si>
    <t>BCA ALFAMART GEROKGAK</t>
  </si>
  <si>
    <t>YR21400467</t>
  </si>
  <si>
    <t>SANGGALANGIT, KEC. GEROKGAK, KABUPATEN BULELENG, BALI</t>
  </si>
  <si>
    <t>RQ8H+RC4, Gerokgak, Buleleng Regency, Bali 81155, Indonesia</t>
  </si>
  <si>
    <t>00UXBCA</t>
  </si>
  <si>
    <t>BCA SPBU ANTURAN SINGARAJA</t>
  </si>
  <si>
    <t>YR21400195</t>
  </si>
  <si>
    <t>JL. SERIRIT- SINGARAJA, TUKADMUNGGA BULELENG , KAB BULELENG</t>
  </si>
  <si>
    <t>V342+43J, Tukadmungga, Buleleng, Buleleng Regency, Bali 81119, Indonesia</t>
  </si>
  <si>
    <t>Z15VBCA</t>
  </si>
  <si>
    <t>BCA Singaraja CRM 4</t>
  </si>
  <si>
    <t>YT21400212</t>
  </si>
  <si>
    <t>Jl Dr Sutomo 3 - Singaraja Kec Buleleng Kab Buleleng</t>
  </si>
  <si>
    <t>Jalan Dr. Sutomo 3, Banjar Bali, Singaraja, Banjar Bali, Kec. Buleleng, Kabupaten Buleleng, Bali 81113, Indonesia</t>
  </si>
  <si>
    <t>Z15UBCA</t>
  </si>
  <si>
    <t>BCA Singaraja CRM 3</t>
  </si>
  <si>
    <t>YT21400005</t>
  </si>
  <si>
    <t>Z15TBCA</t>
  </si>
  <si>
    <t>BCA Singaraja CRM 2</t>
  </si>
  <si>
    <t>YT21400277</t>
  </si>
  <si>
    <t>V3RR+634, Jalan Dokter Sutomo, Banjar Bali, Kec. Buleleng, Kabupaten Buleleng, Bali 81113, Indonesia</t>
  </si>
  <si>
    <t>ZC07BCA</t>
  </si>
  <si>
    <t>BCA BATURITI</t>
  </si>
  <si>
    <t>YT21400339</t>
  </si>
  <si>
    <t>DESA BATURITI, KECAMATAN BATURITI, KABUPATEN TABANAN, PROVINSI BALI_x000D_
 82191</t>
  </si>
  <si>
    <t>Jl. Raya Baturiti No.49, Baturiti, Kec. Baturiti, Kabupaten Tabanan, Bali 82191, Indonesia</t>
  </si>
  <si>
    <t>ZC06BCA</t>
  </si>
  <si>
    <t>YT21400326</t>
  </si>
  <si>
    <t>ZY9PBCA</t>
  </si>
  <si>
    <t>BCA IDM Untung Surapati</t>
  </si>
  <si>
    <t>YT21400236</t>
  </si>
  <si>
    <t>Jl Surapati No 142B, Banyuning, Kec Buleleng</t>
  </si>
  <si>
    <t>Jl. Surapati No.140, Banyuning, Kec. Buleleng, Kabupaten Buleleng, Bali 81114, Indonesia</t>
  </si>
  <si>
    <t>ZCD2BCA</t>
  </si>
  <si>
    <t>BCA IDM Banyuasri</t>
  </si>
  <si>
    <t>YT21400055</t>
  </si>
  <si>
    <t>Jl Ahmah Yani No 189X Buleleng Singaraja</t>
  </si>
  <si>
    <t>Jl. A. Yani No.265, Banyuasri, Kec. Buleleng, Kabupaten Buleleng, Bali 81119, Indonesia</t>
  </si>
  <si>
    <t>ZY9NBCA</t>
  </si>
  <si>
    <t>BCA Alfa Sangsit</t>
  </si>
  <si>
    <t>YT21400102</t>
  </si>
  <si>
    <t>Jl Raya Sangsit Kec Sawan Singaraja</t>
  </si>
  <si>
    <t>W47M+CMP, Jl. Raya Sangsit, Sangsit, Kec. Sawan, Kabupaten Buleleng, Bali 81171, Indonesia</t>
  </si>
  <si>
    <t>Z15QBCA</t>
  </si>
  <si>
    <t xml:space="preserve">BCA KCP SERIRIT CRM 2 </t>
  </si>
  <si>
    <t>YT21400174</t>
  </si>
  <si>
    <t>JL. SERIRIT- SINGARAJA NO.96, SERIRIT, KEC. SERIRIT, KABUPATEN BULELENG, BALI 81153</t>
  </si>
  <si>
    <t>Jl. Sudirman No.44, Seririt, Kec. Seririt, Kabupaten Buleleng, Bali 81153, Indonesia</t>
  </si>
  <si>
    <t>00C6BCA</t>
  </si>
  <si>
    <t>BCA IDM Laksamana</t>
  </si>
  <si>
    <t>YR20400247</t>
  </si>
  <si>
    <t>V3FM+W46, Jl. Laksamana, Baktiseraga, Kec. Buleleng, Kabupaten Buleleng, Bali 81119, Indonesia</t>
  </si>
  <si>
    <t>00TMBCA</t>
  </si>
  <si>
    <t>BCA IDM KALIUNTU</t>
  </si>
  <si>
    <t>YR20400443</t>
  </si>
  <si>
    <t>Jl. A. Yani No.65e, Kaliuntu, Kec. Buleleng, Kabupaten Buleleng, Bali 81116, Indonesia</t>
  </si>
  <si>
    <t>00KKBCA</t>
  </si>
  <si>
    <t>BCA CK SARAS BEDUGUL</t>
  </si>
  <si>
    <t>YR20400375</t>
  </si>
  <si>
    <t>JL. BATURITI BEDUGUL, BATUNYA, KEC. BATURITI, KABUPATEN TABANAN, BALI</t>
  </si>
  <si>
    <t>P559+PGR, Jl. Baturiti Bedugul, Batunya, Kec. Baturiti, Kabupaten Tabanan, Bali 80191, Indonesia</t>
  </si>
  <si>
    <t>01ATBCA</t>
  </si>
  <si>
    <t>BCA IDM POINT GILIMANUK</t>
  </si>
  <si>
    <t>YN23200007</t>
  </si>
  <si>
    <t>JL RAYA PELABUHAN GILIMANUK NO.5  82252</t>
  </si>
  <si>
    <t>Kab. Jembrana</t>
  </si>
  <si>
    <t>GUS</t>
  </si>
  <si>
    <t>Muhammad Gufron Sofyan</t>
  </si>
  <si>
    <t>Negara</t>
  </si>
  <si>
    <t>RCGP+XH2, Jl. Raya Denpasar - Gilimanuk, Gilimanuk, Kec. Melaya, Kabupaten Jembrana, Bali 82252, Indonesia</t>
  </si>
  <si>
    <t>253HBCA</t>
  </si>
  <si>
    <t>BCA HOTEL ADI ASRI</t>
  </si>
  <si>
    <t>YN23200032</t>
  </si>
  <si>
    <t>JL RAYA KERI SRIRIT GILAMANUK KEL PEMITERAN KEC SERIRIT SINGARAJA</t>
  </si>
  <si>
    <t>Jl. Singaraja-Gilimanuk, Pemuteran, Gerokgak, Kabupaten Buleleng, Bali 81155, Indonesia</t>
  </si>
  <si>
    <t>0173BCA</t>
  </si>
  <si>
    <t>BCA SPBU PENDEM JEMBRANA</t>
  </si>
  <si>
    <t>YO27200800</t>
  </si>
  <si>
    <t xml:space="preserve">PENDEM, JEMBRANA, JEMBRANA REGENCY, BALI  82211 </t>
  </si>
  <si>
    <t>Jl. Jenderal Sudirman No.2, Pendem, Kec. Jembrana, Kabupaten Jembrana, Bali 82218, Indonesia</t>
  </si>
  <si>
    <t>418QBCA</t>
  </si>
  <si>
    <t>BCA MELAYA GILIMANUK</t>
  </si>
  <si>
    <t>YR21400065</t>
  </si>
  <si>
    <t>JL NEGARA-GILIMANUK DESA MELAYA KEC MELAYA KAB JBR</t>
  </si>
  <si>
    <t>PFGX+87Q, Melaya, Jembrana Regency, Bali 82252, Indonesia</t>
  </si>
  <si>
    <t>ZRR5BCA</t>
  </si>
  <si>
    <t>BCA INDOMARET ARAFAH LELATENG</t>
  </si>
  <si>
    <t>YR25400329</t>
  </si>
  <si>
    <t>JL MANGGA NO 89, BR LELATENG, NEGARA, JEMBRANA</t>
  </si>
  <si>
    <t>Jl. Mangga No.93, Lelateng, Kec. Negara, Kabupaten Jembrana, Bali 82214, Indonesia</t>
  </si>
  <si>
    <t>ZRT5BCA</t>
  </si>
  <si>
    <t>BCA IDM F511 UDAYANA</t>
  </si>
  <si>
    <t>YR25400689</t>
  </si>
  <si>
    <t>JL UDAYANA NO 86 DESA BALER BALE AGUNG, NEGARA, JE</t>
  </si>
  <si>
    <t>JJW7+43R, Baler Bale Agung, Negara, Jembrana Regency, Bali 82218, Indonesia</t>
  </si>
  <si>
    <t>00BHBCA</t>
  </si>
  <si>
    <t>BCA ALFAMART KALIAKAH</t>
  </si>
  <si>
    <t>YR20400179</t>
  </si>
  <si>
    <t xml:space="preserve"> JL RAYA DENPASAR - GILIMANUK, KALIAKAH, NEGARA  82218</t>
  </si>
  <si>
    <t>MH4C+2MH, Jl. Raya Denpasar - Gilimanuk, Kaliakah, Kec. Negara, Kabupaten Jembrana, Bali 82218, Indonesia</t>
  </si>
  <si>
    <t>00BJBCA</t>
  </si>
  <si>
    <t>BCA ALFA YEH EMBANG</t>
  </si>
  <si>
    <t>YR20400136</t>
  </si>
  <si>
    <t>JL. RAYA DENPASAR - GILIMANUK, YEH EMBANG, KEC. MENDOYO, KABUPATEN JEMBRANA, BALI</t>
  </si>
  <si>
    <t>JQ52+GRX, Yeh Embang Kauh, Mendoyo, Jembrana Regency, Bali 82261, Indonesia</t>
  </si>
  <si>
    <t>Z7TRBCA</t>
  </si>
  <si>
    <t>BCA  NEGARA</t>
  </si>
  <si>
    <t>YT21400306</t>
  </si>
  <si>
    <t xml:space="preserve">JJQH+QG7, JL. NGURAH RAI, PENDEM, KEC. JEMBRANA, KABUPATEN JEMBRANA, BALI 82218, INDONESIA_x000D_
</t>
  </si>
  <si>
    <t>JJQH+QG7, Jl. Ngurah Rai, Pendem, Kec. Jembrana, Kabupaten Jembrana, Bali 82218, Indonesia</t>
  </si>
  <si>
    <t>Z7Z6BCA</t>
  </si>
  <si>
    <t>BCA ATM CENTER PENYARINGAN</t>
  </si>
  <si>
    <t>YT21400331</t>
  </si>
  <si>
    <t>JP84+295, Jl. Raya Denpasar - Gilimanuk, Penyaringan, Kec. Mendoyo, Kabupaten Jembrana, Bali 82261, Indonesia</t>
  </si>
  <si>
    <t>Gallery</t>
  </si>
  <si>
    <t>00LTBCA</t>
  </si>
  <si>
    <t>BCA TOKO HARAPAN JAYA</t>
  </si>
  <si>
    <t>YR20400071</t>
  </si>
  <si>
    <t>VJ4C+F23, Jl. Singaraja-Gilimanuk, Sumberkima, Kec. Gerokgak, Kabupaten Buleleng, Bali 81155, Indonesia</t>
  </si>
  <si>
    <t>Z24MBCA</t>
  </si>
  <si>
    <t>BCA IDM MELAYA</t>
  </si>
  <si>
    <t>YT21400599</t>
  </si>
  <si>
    <t>PGC2+X6G, Melaya, Jembrana Regency, Bali 82252, Indonesia</t>
  </si>
  <si>
    <t>00UPBCA</t>
  </si>
  <si>
    <t>BCA SPBU GAJAH MADA MENDOYO 3</t>
  </si>
  <si>
    <t>YR20400385</t>
  </si>
  <si>
    <t>JL. GAJAH MADA, MENDOYO DAUH TUKAD, KEC. MENDOYO, KABUPATEN JEMBRANA, BALI 82261</t>
  </si>
  <si>
    <t>JMM6+7PR, Mendoyo Dauh Tukad, Kec. Mendoyo, Kabupaten Jembrana, Bali 82261, Indonesia</t>
  </si>
  <si>
    <t>454QBCA</t>
  </si>
  <si>
    <t>BCA ATM INDOMARET PAOK MOTONG</t>
  </si>
  <si>
    <t>YN23200088</t>
  </si>
  <si>
    <t>JL. RAYA PAOK MOTONG LOMBOK TIMUR</t>
  </si>
  <si>
    <t>Kab. Lombok Timur</t>
  </si>
  <si>
    <t>HID</t>
  </si>
  <si>
    <t>Muhammad Hidayatullah</t>
  </si>
  <si>
    <t>Lombok Timur</t>
  </si>
  <si>
    <t>9FC4+CCC, Paok Motong, Masbagik, East Lombok Regency, West Nusa Tenggara 83662, Indonesia</t>
  </si>
  <si>
    <t>Y980</t>
  </si>
  <si>
    <t>Z11QBCA</t>
  </si>
  <si>
    <t>BCA KCP LOMBOK TIMUR CRM 1</t>
  </si>
  <si>
    <t>YK21200142</t>
  </si>
  <si>
    <t xml:space="preserve">JL. TGH ZAINUDDIN ABDUL MADJID 19 KEC SELONG KEL PANCOR KAB LOMBOK </t>
  </si>
  <si>
    <t>Jl. KH Ahmad Dahlan No.4, Pancor, Selong, Kabupaten Lombok Timur, Nusa Tenggara Bar. 83611, Indonesia</t>
  </si>
  <si>
    <t>Z11RBCA</t>
  </si>
  <si>
    <t>BCA KCP LOMBOK TIMUR CRM 2</t>
  </si>
  <si>
    <t>YK21200059</t>
  </si>
  <si>
    <t>Jl. TGH. Zainuddin Abdul Majid No.66, Pancor, Selong, Kabupaten Lombok Timur, Nusa Tenggara Bar. 83611, Indonesia</t>
  </si>
  <si>
    <t>Z4XTBCA</t>
  </si>
  <si>
    <t>BCA KCP LOMBOK TIMUR CRM 3</t>
  </si>
  <si>
    <t>YK21200183</t>
  </si>
  <si>
    <t>653MBCA</t>
  </si>
  <si>
    <t>BCA PLAZA BANGUNAN</t>
  </si>
  <si>
    <t>YR21400251</t>
  </si>
  <si>
    <t>JL RAYA SIKUR TERARA LOMBOK TIMUR</t>
  </si>
  <si>
    <t>Jl. Raya Mataram - Sikur No.1, Montongbaan, Kec. Sikur, Kabupaten Lombok Timur, Nusa Tenggara Bar. 83662, Indonesia</t>
  </si>
  <si>
    <t>494NBCA</t>
  </si>
  <si>
    <t>BCA INDOMARET KELAYU LOMBOK TIMUR</t>
  </si>
  <si>
    <t>YR20400050</t>
  </si>
  <si>
    <t>JL TGH UMAR KELAYU SELONG LOMBOK TIMUR</t>
  </si>
  <si>
    <t>8HV2+7G6, Jl. Imam Bonjol Gg. Dongkor, Kelayu Utara, Kec. Selong, Kabupaten Lombok Timur, Nusa Tenggara Bar. 83619, Indonesia</t>
  </si>
  <si>
    <t>345RBCA</t>
  </si>
  <si>
    <t>BCA ALFAMART M YAMIN SELONG</t>
  </si>
  <si>
    <t>YR20400039</t>
  </si>
  <si>
    <t>JL PROF M YAMIN KEL SELONG KEC SELONG LOMBOK TIMUR</t>
  </si>
  <si>
    <t>Jl. Prof. M Yamin SH No.87, Khusus Kota Selong, Kec. Selong, Kabupaten Lombok Timur, Nusa Tenggara Bar. 83619, Indonesia</t>
  </si>
  <si>
    <t>ZRH5BCA</t>
  </si>
  <si>
    <t>BCA ALFA RAYA MASBAGIK</t>
  </si>
  <si>
    <t>YR25400617</t>
  </si>
  <si>
    <t>JL RAYA MASBAGIK, MASBAGIK SELATAN, MASBAGIK, LOMB</t>
  </si>
  <si>
    <t>9FHG+44P, Jalan Raya, Paok Motong, Kec. Masbagik, Kabupaten Lombok Timur, Nusa Tenggara Bar. 83661, Indonesia</t>
  </si>
  <si>
    <t>00C9BCA</t>
  </si>
  <si>
    <t>BCA IDM LABUHAN LOMBOK</t>
  </si>
  <si>
    <t>YR20400078</t>
  </si>
  <si>
    <t>JL RAYA LABUHAN LOMBOK NO 16, KEC. PRINGGABAYA, KAB. LOMBOK TIMUR, NUSA TENGGARA BARAT</t>
  </si>
  <si>
    <t>Jl. Raya Labuhan Lombok No.16, Labuhan Lombok, Kec. Pringgabaya, Kabupaten Lombok Timur, Nusa Tenggara Bar. 83654, Indonesia</t>
  </si>
  <si>
    <t>00R9BCA</t>
  </si>
  <si>
    <t>BCA SPBU SAKRA</t>
  </si>
  <si>
    <t>YR20400361</t>
  </si>
  <si>
    <t>JL HASANUDDIN, RUMBUK, SAKRA, LOMBOK TIMUR</t>
  </si>
  <si>
    <t>Jl. Sangapati No.16, Sakra, Kec. Sakra, Kabupaten Lombok Timur, Nusa Tenggara Bar. 83671, Indonesia</t>
  </si>
  <si>
    <t>00DNBCA</t>
  </si>
  <si>
    <t>BCA YAMAHA SUMBAWA</t>
  </si>
  <si>
    <t>YR21400488</t>
  </si>
  <si>
    <t>JL GARUDA NO 228, LEMPEH, SUMBAWA</t>
  </si>
  <si>
    <t>Kab. Sumbawa</t>
  </si>
  <si>
    <t>SSI SUMBAWA</t>
  </si>
  <si>
    <t>MRR</t>
  </si>
  <si>
    <t>Muhammad Rifki R</t>
  </si>
  <si>
    <t>Sumbawa</t>
  </si>
  <si>
    <t>Jl. Garuda No.228, Labuan Sumbawa, Labuhan Badas, Kabupaten Sumbawa, Nusa Tenggara Bar. 84316, Indonesia</t>
  </si>
  <si>
    <t>Z23FBCA</t>
  </si>
  <si>
    <t>BCA SUMBAWA BESAR</t>
  </si>
  <si>
    <t>YT21400293</t>
  </si>
  <si>
    <t>RUKO JALAN HASANUDDIN NO 68, SUMBAWA, NUSA TENNGGARA BARAT</t>
  </si>
  <si>
    <t>Jl. Kartini No.8, Brang Bara, Kec. Sumbawa, Kabupaten Sumbawa, Nusa Tenggara Bar. 84313, Indonesia</t>
  </si>
  <si>
    <t>Z23EBCA</t>
  </si>
  <si>
    <t>YT21400068</t>
  </si>
  <si>
    <t>RUKO JALAN HASANUDDIN NO 68, SUMBAWA, NUSA TENGGARA BARAT</t>
  </si>
  <si>
    <t>FCWF+HR9, Brang Bara, Sumbawa, Sumbawa Regency, West Nusa Tenggara 84313, Indonesia</t>
  </si>
  <si>
    <t>Z9F8BCA</t>
  </si>
  <si>
    <t>Borneo Piet A Tallo</t>
  </si>
  <si>
    <t>YR25401509</t>
  </si>
  <si>
    <t>JL. PIET A TALLO NO. 22, OESAPA, KEC. KELAPA LIMA, KOTA KUPANG  85111</t>
  </si>
  <si>
    <t>25-08-2023</t>
  </si>
  <si>
    <t>30-08-2026</t>
  </si>
  <si>
    <t>Z9A9BCA</t>
  </si>
  <si>
    <t>Mentari Restaurant</t>
  </si>
  <si>
    <t>YK20201048</t>
  </si>
  <si>
    <t>JL. RAYA BEDUGUL KM 50 CANDI KUNING BATURITI TABANAN BALI 68482</t>
  </si>
  <si>
    <t>31-01-2024</t>
  </si>
  <si>
    <t>31-05-2024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</si>
</sst>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quotePrefix="1" applyFont="1"/>
    <xf numFmtId="0" fontId="2" fillId="2" borderId="0" xfId="0" applyFont="1" applyFill="1"/>
    <xf numFmtId="14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  <xf numFmtId="21" fontId="0" fillId="0" borderId="0" xfId="0" applyNumberFormat="1"/>
    <xf numFmtId="43" fontId="0" fillId="2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ebMasterATM\MASTER_2026-10.xlsx" TargetMode="External"/><Relationship Id="rId1" Type="http://schemas.openxmlformats.org/officeDocument/2006/relationships/externalLinkPath" Target="MASTER_2026-1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JADWAL%20&amp;%20KONTROL%20PM\KONTROL%20PM\MONITOR%20DT%20BCA\MONITOR%20UPTIME%20HARIAN\WebMasterATM\MASTER_2026-10.xlsx" TargetMode="External"/><Relationship Id="rId1" Type="http://schemas.openxmlformats.org/officeDocument/2006/relationships/externalLinkPath" Target="file:///D:\JADWAL%20&amp;%20KONTROL%20PM\KONTROL%20PM\MONITOR%20DT%20BCA\MONITOR%20UPTIME%20HARIAN\WebMasterATM\MASTER_2026-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I NUSRA"/>
      <sheetName val="UPTIME HARIAN"/>
      <sheetName val="BY SN &amp; PKT"/>
      <sheetName val="PKT TIPE MESIN"/>
      <sheetName val="FRX DT"/>
      <sheetName val="atm total"/>
      <sheetName val="SITE BLNS"/>
      <sheetName val="MainVisi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 t="str">
            <v>ATM Downtime</v>
          </cell>
        </row>
        <row r="2">
          <cell r="B2" t="str">
            <v>Period :</v>
          </cell>
          <cell r="C2" t="str">
            <v>10/1/2026 12:00:00 AM</v>
          </cell>
          <cell r="D2" t="str">
            <v>-</v>
          </cell>
          <cell r="G2" t="str">
            <v>10/1/2026 12:00:00 AM</v>
          </cell>
        </row>
        <row r="3">
          <cell r="B3" t="str">
            <v>UT :</v>
          </cell>
          <cell r="C3">
            <v>99.055555555555557</v>
          </cell>
          <cell r="D3">
            <v>2108</v>
          </cell>
          <cell r="E3">
            <v>223200</v>
          </cell>
          <cell r="F3">
            <v>162</v>
          </cell>
          <cell r="I3" t="str">
            <v>A=0, B=445, C=0, J=0 , #N/A= 0, Inactive = 0, TL = 0</v>
          </cell>
          <cell r="Q3">
            <v>137.77777777777777</v>
          </cell>
        </row>
        <row r="5">
          <cell r="E5" t="str">
            <v>Maintenance</v>
          </cell>
          <cell r="F5" t="str">
            <v>Maintenance</v>
          </cell>
          <cell r="G5" t="str">
            <v>Maintenance</v>
          </cell>
          <cell r="N5" t="str">
            <v>HW</v>
          </cell>
        </row>
        <row r="6">
          <cell r="B6" t="str">
            <v>WSID</v>
          </cell>
          <cell r="C6" t="str">
            <v>SE</v>
          </cell>
          <cell r="D6" t="str">
            <v>LOKASI</v>
          </cell>
          <cell r="E6" t="str">
            <v>DESCKCU</v>
          </cell>
          <cell r="F6" t="str">
            <v>Zona</v>
          </cell>
          <cell r="G6" t="str">
            <v>Kanwil</v>
          </cell>
          <cell r="H6" t="str">
            <v>Reg</v>
          </cell>
          <cell r="I6" t="str">
            <v>Type</v>
          </cell>
          <cell r="J6" t="str">
            <v>SERVICE AREA</v>
          </cell>
          <cell r="K6" t="str">
            <v>GROUP</v>
          </cell>
          <cell r="L6" t="str">
            <v>HARI</v>
          </cell>
          <cell r="M6" t="str">
            <v>JAM</v>
          </cell>
          <cell r="N6" t="str">
            <v>FRX</v>
          </cell>
          <cell r="O6" t="str">
            <v>DUR</v>
          </cell>
          <cell r="P6" t="str">
            <v>%</v>
          </cell>
          <cell r="Q6" t="str">
            <v>OPR</v>
          </cell>
        </row>
        <row r="7">
          <cell r="B7" t="str">
            <v>006S</v>
          </cell>
          <cell r="C7" t="str">
            <v>Suhel Risdianto</v>
          </cell>
          <cell r="D7" t="str">
            <v>DepoB Denpasar</v>
          </cell>
          <cell r="E7" t="str">
            <v>ABACUS BALI</v>
          </cell>
          <cell r="F7">
            <v>1</v>
          </cell>
          <cell r="G7" t="str">
            <v>04-Denpasar</v>
          </cell>
          <cell r="H7" t="str">
            <v>B</v>
          </cell>
          <cell r="I7" t="str">
            <v>ATM</v>
          </cell>
          <cell r="J7" t="str">
            <v>Denpasar</v>
          </cell>
          <cell r="K7" t="str">
            <v>Bali Nusra</v>
          </cell>
          <cell r="L7" t="str">
            <v xml:space="preserve">MON-SUN </v>
          </cell>
          <cell r="M7" t="str">
            <v>(07:00 - 22:00)</v>
          </cell>
          <cell r="N7">
            <v>0</v>
          </cell>
          <cell r="O7">
            <v>0</v>
          </cell>
          <cell r="P7">
            <v>0</v>
          </cell>
          <cell r="Q7">
            <v>900</v>
          </cell>
        </row>
        <row r="8">
          <cell r="B8" t="str">
            <v>0072</v>
          </cell>
          <cell r="C8" t="str">
            <v>Lalu Riswan Hadi</v>
          </cell>
          <cell r="D8" t="str">
            <v>Bandara Intl Lombok</v>
          </cell>
          <cell r="E8" t="str">
            <v>ADVANTAGE CAKRANEGARA</v>
          </cell>
          <cell r="F8">
            <v>2</v>
          </cell>
          <cell r="G8" t="str">
            <v>04-Denpasar</v>
          </cell>
          <cell r="H8" t="str">
            <v>B</v>
          </cell>
          <cell r="I8" t="str">
            <v>ATM</v>
          </cell>
          <cell r="J8" t="str">
            <v>Mataram</v>
          </cell>
          <cell r="K8" t="str">
            <v>Bali Nusra</v>
          </cell>
          <cell r="L8" t="str">
            <v xml:space="preserve">MON-SUN </v>
          </cell>
          <cell r="M8" t="str">
            <v>(06:00 - 20:00)</v>
          </cell>
          <cell r="N8">
            <v>0</v>
          </cell>
          <cell r="O8">
            <v>0</v>
          </cell>
          <cell r="P8">
            <v>0</v>
          </cell>
          <cell r="Q8">
            <v>840</v>
          </cell>
        </row>
        <row r="9">
          <cell r="B9" t="str">
            <v>00AN</v>
          </cell>
          <cell r="C9" t="str">
            <v>Farozan Ali Fahmi</v>
          </cell>
          <cell r="D9" t="str">
            <v>Solaluna Mart Amed</v>
          </cell>
          <cell r="E9" t="str">
            <v>ABACUS BALI</v>
          </cell>
          <cell r="F9">
            <v>3</v>
          </cell>
          <cell r="G9" t="str">
            <v>04-Denpasar</v>
          </cell>
          <cell r="H9" t="str">
            <v>B</v>
          </cell>
          <cell r="I9" t="str">
            <v>ATM</v>
          </cell>
          <cell r="J9" t="str">
            <v>Denpasar</v>
          </cell>
          <cell r="K9" t="str">
            <v>Bali Nusra</v>
          </cell>
          <cell r="L9" t="str">
            <v xml:space="preserve">MON-SUN </v>
          </cell>
          <cell r="M9" t="str">
            <v>(07:00 - 22:00)</v>
          </cell>
          <cell r="N9">
            <v>0</v>
          </cell>
          <cell r="O9">
            <v>0</v>
          </cell>
          <cell r="P9">
            <v>0</v>
          </cell>
          <cell r="Q9">
            <v>900</v>
          </cell>
        </row>
        <row r="10">
          <cell r="B10" t="str">
            <v>00B7</v>
          </cell>
          <cell r="C10" t="str">
            <v>Eko Adi Sugiyantoro</v>
          </cell>
          <cell r="D10" t="str">
            <v>IDM Penatahan</v>
          </cell>
          <cell r="E10" t="str">
            <v>ABACUS BALI</v>
          </cell>
          <cell r="F10">
            <v>2</v>
          </cell>
          <cell r="G10" t="str">
            <v>04-Denpasar</v>
          </cell>
          <cell r="H10" t="str">
            <v>B</v>
          </cell>
          <cell r="I10" t="str">
            <v>ATM</v>
          </cell>
          <cell r="J10" t="str">
            <v>Denpasar</v>
          </cell>
          <cell r="K10" t="str">
            <v>Bali Nusra</v>
          </cell>
          <cell r="L10" t="str">
            <v xml:space="preserve">MON-SUN </v>
          </cell>
          <cell r="M10" t="str">
            <v>(07:00 - 22:00)</v>
          </cell>
          <cell r="N10">
            <v>0</v>
          </cell>
          <cell r="O10">
            <v>0</v>
          </cell>
          <cell r="P10">
            <v>0</v>
          </cell>
          <cell r="Q10">
            <v>900</v>
          </cell>
        </row>
        <row r="11">
          <cell r="B11" t="str">
            <v>00BH</v>
          </cell>
          <cell r="C11" t="str">
            <v>Muhammad Gufron Sofyan</v>
          </cell>
          <cell r="D11" t="str">
            <v>Alfa Kaliakah</v>
          </cell>
          <cell r="E11" t="str">
            <v>ABACUS BALI</v>
          </cell>
          <cell r="F11">
            <v>1</v>
          </cell>
          <cell r="G11" t="str">
            <v>04-Denpasar</v>
          </cell>
          <cell r="H11" t="str">
            <v>B</v>
          </cell>
          <cell r="I11" t="str">
            <v>ATM</v>
          </cell>
          <cell r="J11" t="str">
            <v>Negara</v>
          </cell>
          <cell r="K11" t="str">
            <v>Bali Nusra</v>
          </cell>
          <cell r="L11" t="str">
            <v xml:space="preserve">MON-SUN </v>
          </cell>
          <cell r="M11" t="str">
            <v>(00:00 - 23:59)</v>
          </cell>
          <cell r="N11">
            <v>0</v>
          </cell>
          <cell r="O11">
            <v>0</v>
          </cell>
          <cell r="P11">
            <v>0</v>
          </cell>
          <cell r="Q11">
            <v>1440</v>
          </cell>
        </row>
        <row r="12">
          <cell r="B12" t="str">
            <v>00BJ</v>
          </cell>
          <cell r="C12" t="str">
            <v>Muhammad Gufron Sofyan</v>
          </cell>
          <cell r="D12" t="str">
            <v>Alfa Yeh Embang Mendo</v>
          </cell>
          <cell r="E12" t="str">
            <v>ABACUS BALI</v>
          </cell>
          <cell r="F12">
            <v>2</v>
          </cell>
          <cell r="G12" t="str">
            <v>04-Denpasar</v>
          </cell>
          <cell r="H12" t="str">
            <v>B</v>
          </cell>
          <cell r="I12" t="str">
            <v>ATM</v>
          </cell>
          <cell r="J12" t="str">
            <v>Negara</v>
          </cell>
          <cell r="K12" t="str">
            <v>Bali Nusra</v>
          </cell>
          <cell r="L12" t="str">
            <v xml:space="preserve">MON-SUN </v>
          </cell>
          <cell r="M12" t="str">
            <v>(06:00 - 23:00)</v>
          </cell>
          <cell r="N12">
            <v>0</v>
          </cell>
          <cell r="O12">
            <v>0</v>
          </cell>
          <cell r="P12">
            <v>0</v>
          </cell>
          <cell r="Q12">
            <v>1020</v>
          </cell>
        </row>
        <row r="13">
          <cell r="B13" t="str">
            <v>00C6</v>
          </cell>
          <cell r="C13" t="str">
            <v>Rio Erdiansyah</v>
          </cell>
          <cell r="D13" t="str">
            <v>IDM Laksamana</v>
          </cell>
          <cell r="E13" t="str">
            <v>ABACUS BALI</v>
          </cell>
          <cell r="F13">
            <v>1</v>
          </cell>
          <cell r="G13" t="str">
            <v>04-Denpasar</v>
          </cell>
          <cell r="H13" t="str">
            <v>B</v>
          </cell>
          <cell r="I13" t="str">
            <v>ATM</v>
          </cell>
          <cell r="J13" t="str">
            <v>Singaraja</v>
          </cell>
          <cell r="K13" t="str">
            <v>Bali Nusra</v>
          </cell>
          <cell r="L13" t="str">
            <v xml:space="preserve">MON-SUN </v>
          </cell>
          <cell r="M13" t="str">
            <v>(08:00 - 22:00)</v>
          </cell>
          <cell r="N13">
            <v>0</v>
          </cell>
          <cell r="O13">
            <v>0</v>
          </cell>
          <cell r="P13">
            <v>0</v>
          </cell>
          <cell r="Q13">
            <v>840</v>
          </cell>
        </row>
        <row r="14">
          <cell r="B14" t="str">
            <v>00C9</v>
          </cell>
          <cell r="C14" t="str">
            <v>Muhammad Hidayatullah</v>
          </cell>
          <cell r="D14" t="str">
            <v>IDM Labuhan Lombok</v>
          </cell>
          <cell r="E14" t="str">
            <v>ADVANTAGE CAKRANEGARA</v>
          </cell>
          <cell r="F14">
            <v>2</v>
          </cell>
          <cell r="G14" t="str">
            <v>04-Denpasar</v>
          </cell>
          <cell r="H14" t="str">
            <v>B</v>
          </cell>
          <cell r="I14" t="str">
            <v>ATM</v>
          </cell>
          <cell r="J14" t="str">
            <v>Lombok Timur</v>
          </cell>
          <cell r="K14" t="str">
            <v>Bali Nusra</v>
          </cell>
          <cell r="L14" t="str">
            <v xml:space="preserve">MON-SUN </v>
          </cell>
          <cell r="M14" t="str">
            <v>(00:00 - 23:59)</v>
          </cell>
          <cell r="N14">
            <v>0</v>
          </cell>
          <cell r="O14">
            <v>0</v>
          </cell>
          <cell r="P14">
            <v>0</v>
          </cell>
          <cell r="Q14">
            <v>1440</v>
          </cell>
        </row>
        <row r="15">
          <cell r="B15" t="str">
            <v>00CH</v>
          </cell>
          <cell r="C15" t="str">
            <v>Eko Adi Sugiyantoro</v>
          </cell>
          <cell r="D15" t="str">
            <v>CK Munggu Tanah Lot</v>
          </cell>
          <cell r="E15" t="str">
            <v>ABACUS BALI</v>
          </cell>
          <cell r="F15">
            <v>1</v>
          </cell>
          <cell r="G15" t="str">
            <v>04-Denpasar</v>
          </cell>
          <cell r="H15" t="str">
            <v>B</v>
          </cell>
          <cell r="I15" t="str">
            <v>ATM</v>
          </cell>
          <cell r="J15" t="str">
            <v>Denpasar</v>
          </cell>
          <cell r="K15" t="str">
            <v>Bali Nusra</v>
          </cell>
          <cell r="L15" t="str">
            <v xml:space="preserve">MON-SUN </v>
          </cell>
          <cell r="M15" t="str">
            <v>(00:00 - 23:59)</v>
          </cell>
          <cell r="N15">
            <v>0</v>
          </cell>
          <cell r="O15">
            <v>0</v>
          </cell>
          <cell r="P15">
            <v>0</v>
          </cell>
          <cell r="Q15">
            <v>1440</v>
          </cell>
        </row>
        <row r="16">
          <cell r="B16" t="str">
            <v>00CZ</v>
          </cell>
          <cell r="C16" t="str">
            <v>Lalu Riswan Hadi</v>
          </cell>
          <cell r="D16" t="str">
            <v>Alfa Raya Beleka</v>
          </cell>
          <cell r="E16" t="str">
            <v>ADVANTAGE CAKRANEGARA</v>
          </cell>
          <cell r="F16">
            <v>1</v>
          </cell>
          <cell r="G16" t="str">
            <v>04-Denpasar</v>
          </cell>
          <cell r="H16" t="str">
            <v>B</v>
          </cell>
          <cell r="I16" t="str">
            <v>ATM</v>
          </cell>
          <cell r="J16" t="str">
            <v>Mataram</v>
          </cell>
          <cell r="K16" t="str">
            <v>Bali Nusra</v>
          </cell>
          <cell r="L16" t="str">
            <v xml:space="preserve">MON-SUN </v>
          </cell>
          <cell r="M16" t="str">
            <v>(00:00 - 23:59)</v>
          </cell>
          <cell r="N16">
            <v>0</v>
          </cell>
          <cell r="O16">
            <v>0</v>
          </cell>
          <cell r="P16">
            <v>0</v>
          </cell>
          <cell r="Q16">
            <v>1440</v>
          </cell>
        </row>
        <row r="17">
          <cell r="B17" t="str">
            <v>00D9</v>
          </cell>
          <cell r="C17" t="str">
            <v>Suhel Risdianto</v>
          </cell>
          <cell r="D17" t="str">
            <v>IDM Sebatu Gianyar</v>
          </cell>
          <cell r="E17" t="str">
            <v>ABACUS BALI</v>
          </cell>
          <cell r="F17">
            <v>2</v>
          </cell>
          <cell r="G17" t="str">
            <v>04-Denpasar</v>
          </cell>
          <cell r="H17" t="str">
            <v>B</v>
          </cell>
          <cell r="I17" t="str">
            <v>ATM</v>
          </cell>
          <cell r="J17" t="str">
            <v>Denpasar</v>
          </cell>
          <cell r="K17" t="str">
            <v>Bali Nusra</v>
          </cell>
          <cell r="L17" t="str">
            <v xml:space="preserve">MON-SUN </v>
          </cell>
          <cell r="M17" t="str">
            <v>(07:00 - 22:00)</v>
          </cell>
          <cell r="N17">
            <v>0</v>
          </cell>
          <cell r="O17">
            <v>0</v>
          </cell>
          <cell r="P17">
            <v>0</v>
          </cell>
          <cell r="Q17">
            <v>900</v>
          </cell>
        </row>
        <row r="18">
          <cell r="B18" t="str">
            <v>00DM</v>
          </cell>
          <cell r="C18" t="str">
            <v>Suhel Risdianto</v>
          </cell>
          <cell r="D18" t="str">
            <v>Alfa Segina Kertapura</v>
          </cell>
          <cell r="E18" t="str">
            <v>ABACUS BALI</v>
          </cell>
          <cell r="F18">
            <v>1</v>
          </cell>
          <cell r="G18" t="str">
            <v>04-Denpasar</v>
          </cell>
          <cell r="H18" t="str">
            <v>B</v>
          </cell>
          <cell r="I18" t="str">
            <v>ATM</v>
          </cell>
          <cell r="J18" t="str">
            <v>Denpasar</v>
          </cell>
          <cell r="K18" t="str">
            <v>Bali Nusra</v>
          </cell>
          <cell r="L18" t="str">
            <v xml:space="preserve">MON-SUN </v>
          </cell>
          <cell r="M18" t="str">
            <v>(00:00 - 23:59)</v>
          </cell>
          <cell r="N18">
            <v>0</v>
          </cell>
          <cell r="O18">
            <v>0</v>
          </cell>
          <cell r="P18">
            <v>0</v>
          </cell>
          <cell r="Q18">
            <v>1440</v>
          </cell>
        </row>
        <row r="19">
          <cell r="B19" t="str">
            <v>00DN</v>
          </cell>
          <cell r="C19" t="str">
            <v>Muhammad Rifki R</v>
          </cell>
          <cell r="D19" t="str">
            <v>Yamaha Sumbawa</v>
          </cell>
          <cell r="E19" t="str">
            <v>SSI SUMBAWA</v>
          </cell>
          <cell r="F19">
            <v>1</v>
          </cell>
          <cell r="G19" t="str">
            <v>04-Denpasar</v>
          </cell>
          <cell r="H19" t="str">
            <v>B</v>
          </cell>
          <cell r="I19" t="str">
            <v>ATM</v>
          </cell>
          <cell r="J19" t="str">
            <v>Sumbawa</v>
          </cell>
          <cell r="K19" t="str">
            <v>Bali Nusra</v>
          </cell>
          <cell r="L19" t="str">
            <v xml:space="preserve">MON-SUN </v>
          </cell>
          <cell r="M19" t="str">
            <v>(00:00 - 23:59)</v>
          </cell>
          <cell r="N19">
            <v>0</v>
          </cell>
          <cell r="O19">
            <v>0</v>
          </cell>
          <cell r="P19">
            <v>0</v>
          </cell>
          <cell r="Q19">
            <v>1440</v>
          </cell>
        </row>
        <row r="20">
          <cell r="B20" t="str">
            <v>00DP</v>
          </cell>
          <cell r="C20" t="str">
            <v>Lalu Riswan Hadi</v>
          </cell>
          <cell r="D20" t="str">
            <v>SPBU Pagutan</v>
          </cell>
          <cell r="E20" t="str">
            <v>ADVANTAGE CAKRANEGARA</v>
          </cell>
          <cell r="F20">
            <v>1</v>
          </cell>
          <cell r="G20" t="str">
            <v>04-Denpasar</v>
          </cell>
          <cell r="H20" t="str">
            <v>B</v>
          </cell>
          <cell r="I20" t="str">
            <v>ATM</v>
          </cell>
          <cell r="J20" t="str">
            <v>Mataram</v>
          </cell>
          <cell r="K20" t="str">
            <v>Bali Nusra</v>
          </cell>
          <cell r="L20" t="str">
            <v xml:space="preserve">MON-SUN </v>
          </cell>
          <cell r="M20" t="str">
            <v>(00:00 - 23:59)</v>
          </cell>
          <cell r="N20">
            <v>0</v>
          </cell>
          <cell r="O20">
            <v>0</v>
          </cell>
          <cell r="P20">
            <v>0</v>
          </cell>
          <cell r="Q20">
            <v>1440</v>
          </cell>
        </row>
        <row r="21">
          <cell r="B21" t="str">
            <v>00E2</v>
          </cell>
          <cell r="C21" t="str">
            <v>Eko Adi Sugiyantoro</v>
          </cell>
          <cell r="D21" t="str">
            <v>Shocked Dog Canggu</v>
          </cell>
          <cell r="E21" t="str">
            <v>ABACUS BALI</v>
          </cell>
          <cell r="F21">
            <v>1</v>
          </cell>
          <cell r="G21" t="str">
            <v>04-Denpasar</v>
          </cell>
          <cell r="H21" t="str">
            <v>B</v>
          </cell>
          <cell r="I21" t="str">
            <v>ATM</v>
          </cell>
          <cell r="J21" t="str">
            <v>Denpasar</v>
          </cell>
          <cell r="K21" t="str">
            <v>Bali Nusra</v>
          </cell>
          <cell r="L21" t="str">
            <v xml:space="preserve">MON-SUN </v>
          </cell>
          <cell r="M21" t="str">
            <v>(00:00 - 23:59)</v>
          </cell>
          <cell r="N21">
            <v>1</v>
          </cell>
          <cell r="O21">
            <v>23</v>
          </cell>
          <cell r="P21">
            <v>1.6</v>
          </cell>
          <cell r="Q21">
            <v>1440</v>
          </cell>
        </row>
        <row r="22">
          <cell r="B22" t="str">
            <v>00E3</v>
          </cell>
          <cell r="C22" t="str">
            <v>Revaldi Resha Wardhana</v>
          </cell>
          <cell r="D22" t="str">
            <v>CK Wangaya</v>
          </cell>
          <cell r="E22" t="str">
            <v>ABACUS BALI</v>
          </cell>
          <cell r="F22">
            <v>1</v>
          </cell>
          <cell r="G22" t="str">
            <v>04-Denpasar</v>
          </cell>
          <cell r="H22" t="str">
            <v>B</v>
          </cell>
          <cell r="I22" t="str">
            <v>ATM</v>
          </cell>
          <cell r="J22" t="str">
            <v>Denpasar</v>
          </cell>
          <cell r="K22" t="str">
            <v>Bali Nusra</v>
          </cell>
          <cell r="L22" t="str">
            <v xml:space="preserve">MON-SUN </v>
          </cell>
          <cell r="M22" t="str">
            <v>(00:00 - 23:59)</v>
          </cell>
          <cell r="N22">
            <v>0</v>
          </cell>
          <cell r="O22">
            <v>0</v>
          </cell>
          <cell r="P22">
            <v>0</v>
          </cell>
          <cell r="Q22">
            <v>1440</v>
          </cell>
        </row>
        <row r="23">
          <cell r="B23" t="str">
            <v>00E5</v>
          </cell>
          <cell r="C23" t="str">
            <v>Arif Rahman Hakim</v>
          </cell>
          <cell r="D23" t="str">
            <v>Pura Uluwatu</v>
          </cell>
          <cell r="E23" t="str">
            <v>ABACUS BALI</v>
          </cell>
          <cell r="F23">
            <v>1</v>
          </cell>
          <cell r="G23" t="str">
            <v>04-Denpasar</v>
          </cell>
          <cell r="H23" t="str">
            <v>B</v>
          </cell>
          <cell r="I23" t="str">
            <v>ATM</v>
          </cell>
          <cell r="J23" t="str">
            <v>Denpasar</v>
          </cell>
          <cell r="K23" t="str">
            <v>Bali Nusra</v>
          </cell>
          <cell r="L23" t="str">
            <v xml:space="preserve">MON-SUN </v>
          </cell>
          <cell r="M23" t="str">
            <v>(00:00 - 23:59)</v>
          </cell>
          <cell r="N23">
            <v>0</v>
          </cell>
          <cell r="O23">
            <v>0</v>
          </cell>
          <cell r="P23">
            <v>0</v>
          </cell>
          <cell r="Q23">
            <v>1440</v>
          </cell>
        </row>
        <row r="24">
          <cell r="B24" t="str">
            <v>00F5</v>
          </cell>
          <cell r="C24" t="str">
            <v>Suhel Risdianto</v>
          </cell>
          <cell r="D24" t="str">
            <v>Hotel The Mansion Ubud</v>
          </cell>
          <cell r="E24" t="str">
            <v>ABACUS BALI</v>
          </cell>
          <cell r="F24">
            <v>2</v>
          </cell>
          <cell r="G24" t="str">
            <v>04-Denpasar</v>
          </cell>
          <cell r="H24" t="str">
            <v>B</v>
          </cell>
          <cell r="I24" t="str">
            <v>ATM</v>
          </cell>
          <cell r="J24" t="str">
            <v>Denpasar</v>
          </cell>
          <cell r="K24" t="str">
            <v>Bali Nusra</v>
          </cell>
          <cell r="L24" t="str">
            <v xml:space="preserve">MON-SUN </v>
          </cell>
          <cell r="M24" t="str">
            <v>(00:00 - 23:59)</v>
          </cell>
          <cell r="N24">
            <v>0</v>
          </cell>
          <cell r="O24">
            <v>0</v>
          </cell>
          <cell r="P24">
            <v>0</v>
          </cell>
          <cell r="Q24">
            <v>1440</v>
          </cell>
        </row>
        <row r="25">
          <cell r="B25" t="str">
            <v>00FR</v>
          </cell>
          <cell r="C25" t="str">
            <v>Farozan Ali Fahmi</v>
          </cell>
          <cell r="D25" t="str">
            <v>Alfa Penatih Dangin Puri</v>
          </cell>
          <cell r="E25" t="str">
            <v>ABACUS BALI</v>
          </cell>
          <cell r="F25">
            <v>1</v>
          </cell>
          <cell r="G25" t="str">
            <v>04-Denpasar</v>
          </cell>
          <cell r="H25" t="str">
            <v>B</v>
          </cell>
          <cell r="I25" t="str">
            <v>ATM</v>
          </cell>
          <cell r="J25" t="str">
            <v>Denpasar</v>
          </cell>
          <cell r="K25" t="str">
            <v>Bali Nusra</v>
          </cell>
          <cell r="L25" t="str">
            <v xml:space="preserve">MON-SUN </v>
          </cell>
          <cell r="M25" t="str">
            <v>(07:00 - 22:00)</v>
          </cell>
          <cell r="N25">
            <v>0</v>
          </cell>
          <cell r="O25">
            <v>0</v>
          </cell>
          <cell r="P25">
            <v>0</v>
          </cell>
          <cell r="Q25">
            <v>900</v>
          </cell>
        </row>
        <row r="26">
          <cell r="B26" t="str">
            <v>00FT</v>
          </cell>
          <cell r="C26" t="str">
            <v>Farozan Ali Fahmi</v>
          </cell>
          <cell r="D26" t="str">
            <v>IDM Lodtunduh</v>
          </cell>
          <cell r="E26" t="str">
            <v>ABACUS BALI</v>
          </cell>
          <cell r="F26">
            <v>1</v>
          </cell>
          <cell r="G26" t="str">
            <v>04-Denpasar</v>
          </cell>
          <cell r="H26" t="str">
            <v>B</v>
          </cell>
          <cell r="I26" t="str">
            <v>ATM</v>
          </cell>
          <cell r="J26" t="str">
            <v>Denpasar</v>
          </cell>
          <cell r="K26" t="str">
            <v>Bali Nusra</v>
          </cell>
          <cell r="L26" t="str">
            <v xml:space="preserve">MON-SUN </v>
          </cell>
          <cell r="M26" t="str">
            <v>(07:00 - 22:00)</v>
          </cell>
          <cell r="N26">
            <v>0</v>
          </cell>
          <cell r="O26">
            <v>0</v>
          </cell>
          <cell r="P26">
            <v>0</v>
          </cell>
          <cell r="Q26">
            <v>900</v>
          </cell>
        </row>
        <row r="27">
          <cell r="B27" t="str">
            <v>00FU</v>
          </cell>
          <cell r="C27" t="str">
            <v>Alparizi</v>
          </cell>
          <cell r="D27" t="str">
            <v>Kantor OJK NTB</v>
          </cell>
          <cell r="E27" t="str">
            <v>ADVANTAGE CAKRANEGARA</v>
          </cell>
          <cell r="F27">
            <v>1</v>
          </cell>
          <cell r="G27" t="str">
            <v>04-Denpasar</v>
          </cell>
          <cell r="H27" t="str">
            <v>B</v>
          </cell>
          <cell r="I27" t="str">
            <v>ATM</v>
          </cell>
          <cell r="J27" t="str">
            <v>Mataram</v>
          </cell>
          <cell r="K27" t="str">
            <v>Bali Nusra</v>
          </cell>
          <cell r="L27" t="str">
            <v xml:space="preserve">MON-SUN </v>
          </cell>
          <cell r="M27" t="str">
            <v>(07:00 - 22:00)</v>
          </cell>
          <cell r="N27">
            <v>0</v>
          </cell>
          <cell r="O27">
            <v>0</v>
          </cell>
          <cell r="P27">
            <v>0</v>
          </cell>
          <cell r="Q27">
            <v>900</v>
          </cell>
        </row>
        <row r="28">
          <cell r="B28" t="str">
            <v>00H1</v>
          </cell>
          <cell r="C28" t="str">
            <v>Arif Rahman Hakim</v>
          </cell>
          <cell r="D28" t="str">
            <v>The Apurva Kempinski</v>
          </cell>
          <cell r="E28" t="str">
            <v>ABACUS BALI</v>
          </cell>
          <cell r="F28">
            <v>1</v>
          </cell>
          <cell r="G28" t="str">
            <v>04-Denpasar</v>
          </cell>
          <cell r="H28" t="str">
            <v>B</v>
          </cell>
          <cell r="I28" t="str">
            <v>ATM</v>
          </cell>
          <cell r="J28" t="str">
            <v>Denpasar</v>
          </cell>
          <cell r="K28" t="str">
            <v>Bali Nusra</v>
          </cell>
          <cell r="L28" t="str">
            <v xml:space="preserve">MON-SUN </v>
          </cell>
          <cell r="M28" t="str">
            <v>(00:00 - 23:59)</v>
          </cell>
          <cell r="N28">
            <v>0</v>
          </cell>
          <cell r="O28">
            <v>0</v>
          </cell>
          <cell r="P28">
            <v>0</v>
          </cell>
          <cell r="Q28">
            <v>1440</v>
          </cell>
        </row>
        <row r="29">
          <cell r="B29" t="str">
            <v>00H8</v>
          </cell>
          <cell r="C29" t="str">
            <v>Arif Rahman Hakim</v>
          </cell>
          <cell r="D29" t="str">
            <v>CK Pecatu Utara</v>
          </cell>
          <cell r="E29" t="str">
            <v>ABACUS BALI</v>
          </cell>
          <cell r="F29">
            <v>1</v>
          </cell>
          <cell r="G29" t="str">
            <v>04-Denpasar</v>
          </cell>
          <cell r="H29" t="str">
            <v>B</v>
          </cell>
          <cell r="I29" t="str">
            <v>ATM</v>
          </cell>
          <cell r="J29" t="str">
            <v>Denpasar</v>
          </cell>
          <cell r="K29" t="str">
            <v>Bali Nusra</v>
          </cell>
          <cell r="L29" t="str">
            <v xml:space="preserve">MON-SUN </v>
          </cell>
          <cell r="M29" t="str">
            <v>(00:00 - 23:59)</v>
          </cell>
          <cell r="N29">
            <v>0</v>
          </cell>
          <cell r="O29">
            <v>0</v>
          </cell>
          <cell r="P29">
            <v>0</v>
          </cell>
          <cell r="Q29">
            <v>1440</v>
          </cell>
        </row>
        <row r="30">
          <cell r="B30" t="str">
            <v>00H9</v>
          </cell>
          <cell r="C30" t="str">
            <v>Eko Adi Sugiyantoro</v>
          </cell>
          <cell r="D30" t="str">
            <v>CK Kapal Badung</v>
          </cell>
          <cell r="E30" t="str">
            <v>ABACUS BALI</v>
          </cell>
          <cell r="F30">
            <v>1</v>
          </cell>
          <cell r="G30" t="str">
            <v>04-Denpasar</v>
          </cell>
          <cell r="H30" t="str">
            <v>B</v>
          </cell>
          <cell r="I30" t="str">
            <v>ATM</v>
          </cell>
          <cell r="J30" t="str">
            <v>Denpasar</v>
          </cell>
          <cell r="K30" t="str">
            <v>Bali Nusra</v>
          </cell>
          <cell r="L30" t="str">
            <v xml:space="preserve">MON-SUN </v>
          </cell>
          <cell r="M30" t="str">
            <v>(00:00 - 23:59)</v>
          </cell>
          <cell r="N30">
            <v>1</v>
          </cell>
          <cell r="O30">
            <v>23</v>
          </cell>
          <cell r="P30">
            <v>1.6</v>
          </cell>
          <cell r="Q30">
            <v>1440</v>
          </cell>
        </row>
        <row r="31">
          <cell r="B31" t="str">
            <v>00HC</v>
          </cell>
          <cell r="C31" t="str">
            <v>Yunarius Raynold Gege</v>
          </cell>
          <cell r="D31" t="str">
            <v>Alfa Pasir Panjang</v>
          </cell>
          <cell r="E31" t="str">
            <v>ADVANTAGE KUPANG</v>
          </cell>
          <cell r="F31">
            <v>1</v>
          </cell>
          <cell r="G31" t="str">
            <v>04-Denpasar</v>
          </cell>
          <cell r="H31" t="str">
            <v>B</v>
          </cell>
          <cell r="I31" t="str">
            <v>ATM</v>
          </cell>
          <cell r="J31" t="str">
            <v>Kupang</v>
          </cell>
          <cell r="K31" t="str">
            <v>Bali Nusra</v>
          </cell>
          <cell r="L31" t="str">
            <v xml:space="preserve">MON-SUN </v>
          </cell>
          <cell r="M31" t="str">
            <v>(00:00 - 23:59)</v>
          </cell>
          <cell r="N31">
            <v>0</v>
          </cell>
          <cell r="O31">
            <v>0</v>
          </cell>
          <cell r="P31">
            <v>0</v>
          </cell>
          <cell r="Q31">
            <v>1440</v>
          </cell>
        </row>
        <row r="32">
          <cell r="B32" t="str">
            <v>00JK</v>
          </cell>
          <cell r="C32" t="str">
            <v>I Putu Dendy Pratama</v>
          </cell>
          <cell r="D32" t="str">
            <v>Beachwalk</v>
          </cell>
          <cell r="E32" t="str">
            <v>ABACUS BALI</v>
          </cell>
          <cell r="F32">
            <v>1</v>
          </cell>
          <cell r="G32" t="str">
            <v>04-Denpasar</v>
          </cell>
          <cell r="H32" t="str">
            <v>B</v>
          </cell>
          <cell r="I32" t="str">
            <v>ATM</v>
          </cell>
          <cell r="J32" t="str">
            <v>Denpasar</v>
          </cell>
          <cell r="K32" t="str">
            <v>Bali Nusra</v>
          </cell>
          <cell r="L32" t="str">
            <v xml:space="preserve">MON-SUN </v>
          </cell>
          <cell r="M32" t="str">
            <v>(09:00 - 22:00)</v>
          </cell>
          <cell r="N32">
            <v>0</v>
          </cell>
          <cell r="O32">
            <v>0</v>
          </cell>
          <cell r="P32">
            <v>0</v>
          </cell>
          <cell r="Q32">
            <v>780</v>
          </cell>
        </row>
        <row r="33">
          <cell r="B33" t="str">
            <v>00JN</v>
          </cell>
          <cell r="C33" t="str">
            <v>Farozan Ali Fahmi</v>
          </cell>
          <cell r="D33" t="str">
            <v>Gogo Sedap Malam</v>
          </cell>
          <cell r="E33" t="str">
            <v>ANDALAN BALI</v>
          </cell>
          <cell r="F33">
            <v>1</v>
          </cell>
          <cell r="G33" t="str">
            <v>04-Denpasar</v>
          </cell>
          <cell r="H33" t="str">
            <v>B</v>
          </cell>
          <cell r="I33" t="str">
            <v>ATM</v>
          </cell>
          <cell r="J33" t="str">
            <v>Denpasar</v>
          </cell>
          <cell r="K33" t="str">
            <v>Bali Nusra</v>
          </cell>
          <cell r="L33" t="str">
            <v xml:space="preserve">MON-SUN </v>
          </cell>
          <cell r="M33" t="str">
            <v>(00:00 - 23:59)</v>
          </cell>
          <cell r="N33">
            <v>0</v>
          </cell>
          <cell r="O33">
            <v>0</v>
          </cell>
          <cell r="P33">
            <v>0</v>
          </cell>
          <cell r="Q33">
            <v>1440</v>
          </cell>
        </row>
        <row r="34">
          <cell r="B34" t="str">
            <v>00JP</v>
          </cell>
          <cell r="C34" t="str">
            <v>Farozan Ali Fahmi</v>
          </cell>
          <cell r="D34" t="str">
            <v>Toko Wisma Tani Gelgel</v>
          </cell>
          <cell r="E34" t="str">
            <v>ABACUS BALI</v>
          </cell>
          <cell r="F34">
            <v>2</v>
          </cell>
          <cell r="G34" t="str">
            <v>04-Denpasar</v>
          </cell>
          <cell r="H34" t="str">
            <v>B</v>
          </cell>
          <cell r="I34" t="str">
            <v>ATM</v>
          </cell>
          <cell r="J34" t="str">
            <v>Denpasar</v>
          </cell>
          <cell r="K34" t="str">
            <v>Bali Nusra</v>
          </cell>
          <cell r="L34" t="str">
            <v xml:space="preserve">MON-SUN </v>
          </cell>
          <cell r="M34" t="str">
            <v>(00:00 - 23:59)</v>
          </cell>
          <cell r="N34">
            <v>0</v>
          </cell>
          <cell r="O34">
            <v>0</v>
          </cell>
          <cell r="P34">
            <v>0</v>
          </cell>
          <cell r="Q34">
            <v>1440</v>
          </cell>
        </row>
        <row r="35">
          <cell r="B35" t="str">
            <v>00KJ</v>
          </cell>
          <cell r="C35" t="str">
            <v>Farozan Ali Fahmi</v>
          </cell>
          <cell r="D35" t="str">
            <v>Alfa Merdeka Bangli</v>
          </cell>
          <cell r="E35" t="str">
            <v>ABACUS BALI</v>
          </cell>
          <cell r="F35">
            <v>2</v>
          </cell>
          <cell r="G35" t="str">
            <v>04-Denpasar</v>
          </cell>
          <cell r="H35" t="str">
            <v>B</v>
          </cell>
          <cell r="I35" t="str">
            <v>ATM</v>
          </cell>
          <cell r="J35" t="str">
            <v>Denpasar</v>
          </cell>
          <cell r="K35" t="str">
            <v>Bali Nusra</v>
          </cell>
          <cell r="L35" t="str">
            <v xml:space="preserve">MON-SUN </v>
          </cell>
          <cell r="M35" t="str">
            <v>(07:00 - 22:00)</v>
          </cell>
          <cell r="N35">
            <v>0</v>
          </cell>
          <cell r="O35">
            <v>0</v>
          </cell>
          <cell r="P35">
            <v>0</v>
          </cell>
          <cell r="Q35">
            <v>900</v>
          </cell>
        </row>
        <row r="36">
          <cell r="B36" t="str">
            <v>00KK</v>
          </cell>
          <cell r="C36" t="str">
            <v>Rio Erdiansyah</v>
          </cell>
          <cell r="D36" t="str">
            <v>CK Saras Bedugul</v>
          </cell>
          <cell r="E36" t="str">
            <v>ABACUS BALI</v>
          </cell>
          <cell r="F36">
            <v>2</v>
          </cell>
          <cell r="G36" t="str">
            <v>04-Denpasar</v>
          </cell>
          <cell r="H36" t="str">
            <v>B</v>
          </cell>
          <cell r="I36" t="str">
            <v>ATM</v>
          </cell>
          <cell r="J36" t="str">
            <v>Singaraja</v>
          </cell>
          <cell r="K36" t="str">
            <v>Bali Nusra</v>
          </cell>
          <cell r="L36" t="str">
            <v xml:space="preserve">MON-SUN </v>
          </cell>
          <cell r="M36" t="str">
            <v>(00:00 - 23:59)</v>
          </cell>
          <cell r="N36">
            <v>0</v>
          </cell>
          <cell r="O36">
            <v>0</v>
          </cell>
          <cell r="P36">
            <v>0</v>
          </cell>
          <cell r="Q36">
            <v>1440</v>
          </cell>
        </row>
        <row r="37">
          <cell r="B37" t="str">
            <v>00KL</v>
          </cell>
          <cell r="C37" t="str">
            <v>Revaldi Resha Wardhana</v>
          </cell>
          <cell r="D37" t="str">
            <v>Sari Limo Antasura</v>
          </cell>
          <cell r="E37" t="str">
            <v>ABACUS BALI</v>
          </cell>
          <cell r="F37">
            <v>1</v>
          </cell>
          <cell r="G37" t="str">
            <v>04-Denpasar</v>
          </cell>
          <cell r="H37" t="str">
            <v>B</v>
          </cell>
          <cell r="I37" t="str">
            <v>ATM</v>
          </cell>
          <cell r="J37" t="str">
            <v>Denpasar</v>
          </cell>
          <cell r="K37" t="str">
            <v>Bali Nusra</v>
          </cell>
          <cell r="L37" t="str">
            <v xml:space="preserve">MON-SUN </v>
          </cell>
          <cell r="M37" t="str">
            <v>(00:00 - 23:59)</v>
          </cell>
          <cell r="N37">
            <v>0</v>
          </cell>
          <cell r="O37">
            <v>0</v>
          </cell>
          <cell r="P37">
            <v>0</v>
          </cell>
          <cell r="Q37">
            <v>1440</v>
          </cell>
        </row>
        <row r="38">
          <cell r="B38" t="str">
            <v>00KP</v>
          </cell>
          <cell r="C38" t="str">
            <v>Farozan Ali Fahmi</v>
          </cell>
          <cell r="D38" t="str">
            <v>IDM Geopark Kintamani</v>
          </cell>
          <cell r="E38" t="str">
            <v>ABACUS BALI</v>
          </cell>
          <cell r="F38">
            <v>2</v>
          </cell>
          <cell r="G38" t="str">
            <v>04-Denpasar</v>
          </cell>
          <cell r="H38" t="str">
            <v>B</v>
          </cell>
          <cell r="I38" t="str">
            <v>ATM</v>
          </cell>
          <cell r="J38" t="str">
            <v>Denpasar</v>
          </cell>
          <cell r="K38" t="str">
            <v>Bali Nusra</v>
          </cell>
          <cell r="L38" t="str">
            <v xml:space="preserve">MON-SUN </v>
          </cell>
          <cell r="M38" t="str">
            <v>(07:00 - 21:00)</v>
          </cell>
          <cell r="N38">
            <v>0</v>
          </cell>
          <cell r="O38">
            <v>0</v>
          </cell>
          <cell r="P38">
            <v>0</v>
          </cell>
          <cell r="Q38">
            <v>840</v>
          </cell>
        </row>
        <row r="39">
          <cell r="B39" t="str">
            <v>00LT</v>
          </cell>
          <cell r="C39" t="str">
            <v>Muhammad Gufron Sofyan</v>
          </cell>
          <cell r="D39" t="str">
            <v>Toko Harapan Jaya</v>
          </cell>
          <cell r="E39" t="str">
            <v>ABACUS BALI</v>
          </cell>
          <cell r="F39">
            <v>2</v>
          </cell>
          <cell r="G39" t="str">
            <v>04-Denpasar</v>
          </cell>
          <cell r="H39" t="str">
            <v>B</v>
          </cell>
          <cell r="I39" t="str">
            <v>ATM</v>
          </cell>
          <cell r="J39" t="str">
            <v>Negara</v>
          </cell>
          <cell r="K39" t="str">
            <v>Bali Nusra</v>
          </cell>
          <cell r="L39" t="str">
            <v xml:space="preserve">MON-SUN </v>
          </cell>
          <cell r="M39" t="str">
            <v>(00:00 - 23:59)</v>
          </cell>
          <cell r="N39">
            <v>0</v>
          </cell>
          <cell r="O39">
            <v>0</v>
          </cell>
          <cell r="P39">
            <v>0</v>
          </cell>
          <cell r="Q39">
            <v>1440</v>
          </cell>
        </row>
        <row r="40">
          <cell r="B40" t="str">
            <v>00M6</v>
          </cell>
          <cell r="C40" t="str">
            <v>Leonardo A Ruly</v>
          </cell>
          <cell r="D40" t="str">
            <v>Tiara Mart</v>
          </cell>
          <cell r="E40" t="str">
            <v>ADVANTAGE KUPANG</v>
          </cell>
          <cell r="F40">
            <v>1</v>
          </cell>
          <cell r="G40" t="str">
            <v>04-Denpasar</v>
          </cell>
          <cell r="H40" t="str">
            <v>B</v>
          </cell>
          <cell r="I40" t="str">
            <v>ATM</v>
          </cell>
          <cell r="J40" t="str">
            <v>Kupang</v>
          </cell>
          <cell r="K40" t="str">
            <v>Bali Nusra</v>
          </cell>
          <cell r="L40" t="str">
            <v xml:space="preserve">MON-SUN </v>
          </cell>
          <cell r="M40" t="str">
            <v>(00:00 - 23:59)</v>
          </cell>
          <cell r="N40">
            <v>0</v>
          </cell>
          <cell r="O40">
            <v>0</v>
          </cell>
          <cell r="P40">
            <v>0</v>
          </cell>
          <cell r="Q40">
            <v>1440</v>
          </cell>
        </row>
        <row r="41">
          <cell r="B41" t="str">
            <v>00N4</v>
          </cell>
          <cell r="C41" t="str">
            <v>I Putu Dendy Pratama</v>
          </cell>
          <cell r="D41" t="str">
            <v>SPBU Dewi Sri</v>
          </cell>
          <cell r="E41" t="str">
            <v>ABACUS BALI</v>
          </cell>
          <cell r="F41">
            <v>1</v>
          </cell>
          <cell r="G41" t="str">
            <v>04-Denpasar</v>
          </cell>
          <cell r="H41" t="str">
            <v>B</v>
          </cell>
          <cell r="I41" t="str">
            <v>ATM</v>
          </cell>
          <cell r="J41" t="str">
            <v>Denpasar</v>
          </cell>
          <cell r="K41" t="str">
            <v>Bali Nusra</v>
          </cell>
          <cell r="L41" t="str">
            <v xml:space="preserve">MON-SUN </v>
          </cell>
          <cell r="M41" t="str">
            <v>(00:00 - 23:59)</v>
          </cell>
          <cell r="N41">
            <v>0</v>
          </cell>
          <cell r="O41">
            <v>0</v>
          </cell>
          <cell r="P41">
            <v>0</v>
          </cell>
          <cell r="Q41">
            <v>1440</v>
          </cell>
        </row>
        <row r="42">
          <cell r="B42" t="str">
            <v>00R1</v>
          </cell>
          <cell r="C42" t="str">
            <v>Alparizi</v>
          </cell>
          <cell r="D42" t="str">
            <v>IDM Pemuda Mataram</v>
          </cell>
          <cell r="E42" t="str">
            <v>ADVANTAGE CAKRANEGARA</v>
          </cell>
          <cell r="F42">
            <v>1</v>
          </cell>
          <cell r="G42" t="str">
            <v>04-Denpasar</v>
          </cell>
          <cell r="H42" t="str">
            <v>B</v>
          </cell>
          <cell r="I42" t="str">
            <v>ATM</v>
          </cell>
          <cell r="J42" t="str">
            <v>Mataram</v>
          </cell>
          <cell r="K42" t="str">
            <v>Bali Nusra</v>
          </cell>
          <cell r="L42" t="str">
            <v xml:space="preserve">MON-SUN </v>
          </cell>
          <cell r="M42" t="str">
            <v>(06:00 - 23:00)</v>
          </cell>
          <cell r="N42">
            <v>0</v>
          </cell>
          <cell r="O42">
            <v>0</v>
          </cell>
          <cell r="P42">
            <v>0</v>
          </cell>
          <cell r="Q42">
            <v>1020</v>
          </cell>
        </row>
        <row r="43">
          <cell r="B43" t="str">
            <v>00R9</v>
          </cell>
          <cell r="C43" t="str">
            <v>Muhammad Hidayatullah</v>
          </cell>
          <cell r="D43" t="str">
            <v>SPBU Sakra</v>
          </cell>
          <cell r="E43" t="str">
            <v>ADVANTAGE CAKRANEGARA</v>
          </cell>
          <cell r="F43">
            <v>1</v>
          </cell>
          <cell r="G43" t="str">
            <v>04-Denpasar</v>
          </cell>
          <cell r="H43" t="str">
            <v>B</v>
          </cell>
          <cell r="I43" t="str">
            <v>ATM</v>
          </cell>
          <cell r="J43" t="str">
            <v>Lombok Timur</v>
          </cell>
          <cell r="K43" t="str">
            <v>Bali Nusra</v>
          </cell>
          <cell r="L43" t="str">
            <v xml:space="preserve">MON-SUN </v>
          </cell>
          <cell r="M43" t="str">
            <v>(00:00 - 23:59)</v>
          </cell>
          <cell r="N43">
            <v>0</v>
          </cell>
          <cell r="O43">
            <v>0</v>
          </cell>
          <cell r="P43">
            <v>0</v>
          </cell>
          <cell r="Q43">
            <v>1440</v>
          </cell>
        </row>
        <row r="44">
          <cell r="B44" t="str">
            <v>00RF</v>
          </cell>
          <cell r="C44" t="str">
            <v>Muhammad Ngainun Najib</v>
          </cell>
          <cell r="D44" t="str">
            <v>Bandara Ngurah Rai Bali</v>
          </cell>
          <cell r="E44" t="str">
            <v>ABACUS BALI</v>
          </cell>
          <cell r="F44">
            <v>1</v>
          </cell>
          <cell r="G44" t="str">
            <v>04-Denpasar</v>
          </cell>
          <cell r="H44" t="str">
            <v>B</v>
          </cell>
          <cell r="I44" t="str">
            <v>ATM</v>
          </cell>
          <cell r="J44" t="str">
            <v>Denpasar</v>
          </cell>
          <cell r="K44" t="str">
            <v>Bali Nusra</v>
          </cell>
          <cell r="L44" t="str">
            <v xml:space="preserve">MON-SUN </v>
          </cell>
          <cell r="M44" t="str">
            <v>(00:00 - 23:59)</v>
          </cell>
          <cell r="N44">
            <v>1</v>
          </cell>
          <cell r="O44">
            <v>55</v>
          </cell>
          <cell r="P44">
            <v>3.82</v>
          </cell>
          <cell r="Q44">
            <v>1440</v>
          </cell>
        </row>
        <row r="45">
          <cell r="B45" t="str">
            <v>00RN</v>
          </cell>
          <cell r="C45" t="str">
            <v>Yohanes Yeximus Tritanto</v>
          </cell>
          <cell r="D45" t="str">
            <v>Kado Bajo</v>
          </cell>
          <cell r="E45" t="str">
            <v>KUPANG</v>
          </cell>
          <cell r="F45">
            <v>1</v>
          </cell>
          <cell r="G45" t="str">
            <v>04-Denpasar</v>
          </cell>
          <cell r="H45" t="str">
            <v>B</v>
          </cell>
          <cell r="I45" t="str">
            <v>ATM</v>
          </cell>
          <cell r="J45" t="str">
            <v>Ende</v>
          </cell>
          <cell r="K45" t="str">
            <v>Bali Nusra</v>
          </cell>
          <cell r="L45" t="str">
            <v xml:space="preserve">MON-SUN </v>
          </cell>
          <cell r="M45" t="str">
            <v>(00:00 - 23:59)</v>
          </cell>
          <cell r="N45">
            <v>0</v>
          </cell>
          <cell r="O45">
            <v>0</v>
          </cell>
          <cell r="P45">
            <v>0</v>
          </cell>
          <cell r="Q45">
            <v>1440</v>
          </cell>
        </row>
        <row r="46">
          <cell r="B46" t="str">
            <v>00RR</v>
          </cell>
          <cell r="C46" t="str">
            <v>Muhammad Ngainun Najib</v>
          </cell>
          <cell r="D46" t="str">
            <v>Park23</v>
          </cell>
          <cell r="E46" t="str">
            <v>ABACUS BALI</v>
          </cell>
          <cell r="F46">
            <v>1</v>
          </cell>
          <cell r="G46" t="str">
            <v>04-Denpasar</v>
          </cell>
          <cell r="H46" t="str">
            <v>B</v>
          </cell>
          <cell r="I46" t="str">
            <v>ATM</v>
          </cell>
          <cell r="J46" t="str">
            <v>Denpasar</v>
          </cell>
          <cell r="K46" t="str">
            <v>Bali Nusra</v>
          </cell>
          <cell r="L46" t="str">
            <v xml:space="preserve">MON-SUN </v>
          </cell>
          <cell r="M46" t="str">
            <v>(00:00 - 23:59)</v>
          </cell>
          <cell r="N46">
            <v>0</v>
          </cell>
          <cell r="O46">
            <v>0</v>
          </cell>
          <cell r="P46">
            <v>0</v>
          </cell>
          <cell r="Q46">
            <v>1440</v>
          </cell>
        </row>
        <row r="47">
          <cell r="B47" t="str">
            <v>00T3</v>
          </cell>
          <cell r="C47" t="str">
            <v>Eko Adi Sugiyantoro</v>
          </cell>
          <cell r="D47" t="str">
            <v>CK Pererenan</v>
          </cell>
          <cell r="E47" t="str">
            <v>ABACUS BALI</v>
          </cell>
          <cell r="F47">
            <v>1</v>
          </cell>
          <cell r="G47" t="str">
            <v>04-Denpasar</v>
          </cell>
          <cell r="H47" t="str">
            <v>B</v>
          </cell>
          <cell r="I47" t="str">
            <v>ATM</v>
          </cell>
          <cell r="J47" t="str">
            <v>Denpasar</v>
          </cell>
          <cell r="K47" t="str">
            <v>Bali Nusra</v>
          </cell>
          <cell r="L47" t="str">
            <v xml:space="preserve">MON-SUN </v>
          </cell>
          <cell r="M47" t="str">
            <v>(00:00 - 23:59)</v>
          </cell>
          <cell r="N47">
            <v>0</v>
          </cell>
          <cell r="O47">
            <v>0</v>
          </cell>
          <cell r="P47">
            <v>0</v>
          </cell>
          <cell r="Q47">
            <v>1440</v>
          </cell>
        </row>
        <row r="48">
          <cell r="B48" t="str">
            <v>00T4</v>
          </cell>
          <cell r="C48" t="str">
            <v>Bambang Yuniarko</v>
          </cell>
          <cell r="D48" t="str">
            <v>CK Renon 2 Bal 0294</v>
          </cell>
          <cell r="E48" t="str">
            <v>ANDALAN BALI</v>
          </cell>
          <cell r="F48">
            <v>1</v>
          </cell>
          <cell r="G48" t="str">
            <v>04-Denpasar</v>
          </cell>
          <cell r="H48" t="str">
            <v>B</v>
          </cell>
          <cell r="I48" t="str">
            <v>ATM</v>
          </cell>
          <cell r="J48" t="str">
            <v>Denpasar</v>
          </cell>
          <cell r="K48" t="str">
            <v>Bali Nusra</v>
          </cell>
          <cell r="L48" t="str">
            <v xml:space="preserve">MON-SUN </v>
          </cell>
          <cell r="M48" t="str">
            <v>(00:00 - 23:59)</v>
          </cell>
          <cell r="N48">
            <v>0</v>
          </cell>
          <cell r="O48">
            <v>0</v>
          </cell>
          <cell r="P48">
            <v>0</v>
          </cell>
          <cell r="Q48">
            <v>1440</v>
          </cell>
        </row>
        <row r="49">
          <cell r="B49" t="str">
            <v>00TM</v>
          </cell>
          <cell r="C49" t="str">
            <v>Rio Erdiansyah</v>
          </cell>
          <cell r="D49" t="str">
            <v>IDM Kaliuntu</v>
          </cell>
          <cell r="E49" t="str">
            <v>ABACUS BALI</v>
          </cell>
          <cell r="F49">
            <v>1</v>
          </cell>
          <cell r="G49" t="str">
            <v>04-Denpasar</v>
          </cell>
          <cell r="H49" t="str">
            <v>B</v>
          </cell>
          <cell r="I49" t="str">
            <v>ATM</v>
          </cell>
          <cell r="J49" t="str">
            <v>Singaraja</v>
          </cell>
          <cell r="K49" t="str">
            <v>Bali Nusra</v>
          </cell>
          <cell r="L49" t="str">
            <v xml:space="preserve">MON-SUN </v>
          </cell>
          <cell r="M49" t="str">
            <v>(00:00 - 23:59)</v>
          </cell>
          <cell r="N49">
            <v>0</v>
          </cell>
          <cell r="O49">
            <v>0</v>
          </cell>
          <cell r="P49">
            <v>0</v>
          </cell>
          <cell r="Q49">
            <v>1440</v>
          </cell>
        </row>
        <row r="50">
          <cell r="B50" t="str">
            <v>00TR</v>
          </cell>
          <cell r="C50" t="str">
            <v>Farozan Ali Fahmi</v>
          </cell>
          <cell r="D50" t="str">
            <v>Alfa Hangtuah Barat</v>
          </cell>
          <cell r="E50" t="str">
            <v>ANDALAN BALI</v>
          </cell>
          <cell r="F50">
            <v>1</v>
          </cell>
          <cell r="G50" t="str">
            <v>04-Denpasar</v>
          </cell>
          <cell r="H50" t="str">
            <v>B</v>
          </cell>
          <cell r="I50" t="str">
            <v>ATM</v>
          </cell>
          <cell r="J50" t="str">
            <v>Denpasar</v>
          </cell>
          <cell r="K50" t="str">
            <v>Bali Nusra</v>
          </cell>
          <cell r="L50" t="str">
            <v xml:space="preserve">MON-SUN </v>
          </cell>
          <cell r="M50" t="str">
            <v>(00:00 - 23:59)</v>
          </cell>
          <cell r="N50">
            <v>0</v>
          </cell>
          <cell r="O50">
            <v>0</v>
          </cell>
          <cell r="P50">
            <v>0</v>
          </cell>
          <cell r="Q50">
            <v>1440</v>
          </cell>
        </row>
        <row r="51">
          <cell r="B51" t="str">
            <v>00TY</v>
          </cell>
          <cell r="C51" t="str">
            <v>Eko Adi Sugiyantoro</v>
          </cell>
          <cell r="D51" t="str">
            <v>Coco Mart Sanggulan</v>
          </cell>
          <cell r="E51" t="str">
            <v>ABACUS BALI</v>
          </cell>
          <cell r="F51">
            <v>1</v>
          </cell>
          <cell r="G51" t="str">
            <v>04-Denpasar</v>
          </cell>
          <cell r="H51" t="str">
            <v>B</v>
          </cell>
          <cell r="I51" t="str">
            <v>ATM</v>
          </cell>
          <cell r="J51" t="str">
            <v>Denpasar</v>
          </cell>
          <cell r="K51" t="str">
            <v>Bali Nusra</v>
          </cell>
          <cell r="L51" t="str">
            <v xml:space="preserve">MON-SUN </v>
          </cell>
          <cell r="M51" t="str">
            <v>(00:00 - 23:59)</v>
          </cell>
          <cell r="N51">
            <v>0</v>
          </cell>
          <cell r="O51">
            <v>0</v>
          </cell>
          <cell r="P51">
            <v>0</v>
          </cell>
          <cell r="Q51">
            <v>1440</v>
          </cell>
        </row>
        <row r="52">
          <cell r="B52" t="str">
            <v>00TZ</v>
          </cell>
          <cell r="C52" t="str">
            <v>Suhel Risdianto</v>
          </cell>
          <cell r="D52" t="str">
            <v>Crystal Mart Lempuyang</v>
          </cell>
          <cell r="E52" t="str">
            <v>ABACUS BALI</v>
          </cell>
          <cell r="F52">
            <v>1</v>
          </cell>
          <cell r="G52" t="str">
            <v>04-Denpasar</v>
          </cell>
          <cell r="H52" t="str">
            <v>B</v>
          </cell>
          <cell r="I52" t="str">
            <v>ATM</v>
          </cell>
          <cell r="J52" t="str">
            <v>Denpasar</v>
          </cell>
          <cell r="K52" t="str">
            <v>Bali Nusra</v>
          </cell>
          <cell r="L52" t="str">
            <v xml:space="preserve">MON-SUN </v>
          </cell>
          <cell r="M52" t="str">
            <v>(07:00 - 21:00)</v>
          </cell>
          <cell r="N52">
            <v>1</v>
          </cell>
          <cell r="O52">
            <v>25</v>
          </cell>
          <cell r="P52">
            <v>2.98</v>
          </cell>
          <cell r="Q52">
            <v>840</v>
          </cell>
        </row>
        <row r="53">
          <cell r="B53" t="str">
            <v>00U3</v>
          </cell>
          <cell r="C53" t="str">
            <v>Bambang Yuniarko</v>
          </cell>
          <cell r="D53" t="str">
            <v>IDM Nusa Kambangan</v>
          </cell>
          <cell r="E53" t="str">
            <v>ANDALAN BALI</v>
          </cell>
          <cell r="F53">
            <v>1</v>
          </cell>
          <cell r="G53" t="str">
            <v>04-Denpasar</v>
          </cell>
          <cell r="H53" t="str">
            <v>B</v>
          </cell>
          <cell r="I53" t="str">
            <v>ATM</v>
          </cell>
          <cell r="J53" t="str">
            <v>Denpasar</v>
          </cell>
          <cell r="K53" t="str">
            <v>Bali Nusra</v>
          </cell>
          <cell r="L53" t="str">
            <v xml:space="preserve">MON-SUN </v>
          </cell>
          <cell r="M53" t="str">
            <v>(00:00 - 23:59)</v>
          </cell>
          <cell r="N53">
            <v>0</v>
          </cell>
          <cell r="O53">
            <v>0</v>
          </cell>
          <cell r="P53">
            <v>0</v>
          </cell>
          <cell r="Q53">
            <v>1440</v>
          </cell>
        </row>
        <row r="54">
          <cell r="B54" t="str">
            <v>00UD</v>
          </cell>
          <cell r="C54" t="str">
            <v>Arif Rahman Hakim</v>
          </cell>
          <cell r="D54" t="str">
            <v>CK Puja Mandala</v>
          </cell>
          <cell r="E54" t="str">
            <v>ABACUS BALI</v>
          </cell>
          <cell r="F54">
            <v>1</v>
          </cell>
          <cell r="G54" t="str">
            <v>04-Denpasar</v>
          </cell>
          <cell r="H54" t="str">
            <v>B</v>
          </cell>
          <cell r="I54" t="str">
            <v>ATM</v>
          </cell>
          <cell r="J54" t="str">
            <v>Denpasar</v>
          </cell>
          <cell r="K54" t="str">
            <v>Bali Nusra</v>
          </cell>
          <cell r="L54" t="str">
            <v xml:space="preserve">MON-SUN </v>
          </cell>
          <cell r="M54" t="str">
            <v>(00:00 - 23:59)</v>
          </cell>
          <cell r="N54">
            <v>0</v>
          </cell>
          <cell r="O54">
            <v>0</v>
          </cell>
          <cell r="P54">
            <v>0</v>
          </cell>
          <cell r="Q54">
            <v>1440</v>
          </cell>
        </row>
        <row r="55">
          <cell r="B55" t="str">
            <v>00UL</v>
          </cell>
          <cell r="C55" t="str">
            <v>Suhel Risdianto</v>
          </cell>
          <cell r="D55" t="str">
            <v>Alfa Mahendradata Utara</v>
          </cell>
          <cell r="E55" t="str">
            <v>ABACUS BALI</v>
          </cell>
          <cell r="F55">
            <v>1</v>
          </cell>
          <cell r="G55" t="str">
            <v>04-Denpasar</v>
          </cell>
          <cell r="H55" t="str">
            <v>B</v>
          </cell>
          <cell r="I55" t="str">
            <v>ATM</v>
          </cell>
          <cell r="J55" t="str">
            <v>Denpasar</v>
          </cell>
          <cell r="K55" t="str">
            <v>Bali Nusra</v>
          </cell>
          <cell r="L55" t="str">
            <v xml:space="preserve">MON-SUN </v>
          </cell>
          <cell r="M55" t="str">
            <v>(06:00 - 23:00)</v>
          </cell>
          <cell r="N55">
            <v>0</v>
          </cell>
          <cell r="O55">
            <v>0</v>
          </cell>
          <cell r="P55">
            <v>0</v>
          </cell>
          <cell r="Q55">
            <v>1020</v>
          </cell>
        </row>
        <row r="56">
          <cell r="B56" t="str">
            <v>00UM</v>
          </cell>
          <cell r="C56" t="str">
            <v>Suhel Risdianto</v>
          </cell>
          <cell r="D56" t="str">
            <v>IDM Mahendradata Utara</v>
          </cell>
          <cell r="E56" t="str">
            <v>ABACUS BALI</v>
          </cell>
          <cell r="F56">
            <v>1</v>
          </cell>
          <cell r="G56" t="str">
            <v>04-Denpasar</v>
          </cell>
          <cell r="H56" t="str">
            <v>B</v>
          </cell>
          <cell r="I56" t="str">
            <v>ATM</v>
          </cell>
          <cell r="J56" t="str">
            <v>Denpasar</v>
          </cell>
          <cell r="K56" t="str">
            <v>Bali Nusra</v>
          </cell>
          <cell r="L56" t="str">
            <v xml:space="preserve">MON-SUN </v>
          </cell>
          <cell r="M56" t="str">
            <v>(07:00 - 22:00)</v>
          </cell>
          <cell r="N56">
            <v>0</v>
          </cell>
          <cell r="O56">
            <v>0</v>
          </cell>
          <cell r="P56">
            <v>0</v>
          </cell>
          <cell r="Q56">
            <v>900</v>
          </cell>
        </row>
        <row r="57">
          <cell r="B57" t="str">
            <v>00UP</v>
          </cell>
          <cell r="C57" t="str">
            <v>Muhammad Gufron Sofyan</v>
          </cell>
          <cell r="D57" t="str">
            <v>SPBU Gajah Mada Mendoyo</v>
          </cell>
          <cell r="E57" t="str">
            <v>ABACUS BALI</v>
          </cell>
          <cell r="F57">
            <v>1</v>
          </cell>
          <cell r="G57" t="str">
            <v>04-Denpasar</v>
          </cell>
          <cell r="H57" t="str">
            <v>B</v>
          </cell>
          <cell r="I57" t="str">
            <v>ATM</v>
          </cell>
          <cell r="J57" t="str">
            <v>Negara</v>
          </cell>
          <cell r="K57" t="str">
            <v>Bali Nusra</v>
          </cell>
          <cell r="L57" t="str">
            <v xml:space="preserve">MON-SUN </v>
          </cell>
          <cell r="M57" t="str">
            <v>(00:00 - 23:59)</v>
          </cell>
          <cell r="N57">
            <v>0</v>
          </cell>
          <cell r="O57">
            <v>0</v>
          </cell>
          <cell r="P57">
            <v>0</v>
          </cell>
          <cell r="Q57">
            <v>1440</v>
          </cell>
        </row>
        <row r="58">
          <cell r="B58" t="str">
            <v>00UU</v>
          </cell>
          <cell r="C58" t="str">
            <v>Revaldi Resha Wardhana</v>
          </cell>
          <cell r="D58" t="str">
            <v>Coco Mart Blahkiuh</v>
          </cell>
          <cell r="E58" t="str">
            <v>ABACUS BALI</v>
          </cell>
          <cell r="F58">
            <v>1</v>
          </cell>
          <cell r="G58" t="str">
            <v>04-Denpasar</v>
          </cell>
          <cell r="H58" t="str">
            <v>B</v>
          </cell>
          <cell r="I58" t="str">
            <v>ATM</v>
          </cell>
          <cell r="J58" t="str">
            <v>Denpasar</v>
          </cell>
          <cell r="K58" t="str">
            <v>Bali Nusra</v>
          </cell>
          <cell r="L58" t="str">
            <v xml:space="preserve">MON-SUN </v>
          </cell>
          <cell r="M58" t="str">
            <v>(00:00 - 23:59)</v>
          </cell>
          <cell r="N58">
            <v>0</v>
          </cell>
          <cell r="O58">
            <v>0</v>
          </cell>
          <cell r="P58">
            <v>0</v>
          </cell>
          <cell r="Q58">
            <v>1440</v>
          </cell>
        </row>
        <row r="59">
          <cell r="B59" t="str">
            <v>00UV</v>
          </cell>
          <cell r="C59" t="str">
            <v>Suhel Risdianto</v>
          </cell>
          <cell r="D59" t="str">
            <v>Coco Mart Tebongkang</v>
          </cell>
          <cell r="E59" t="str">
            <v>ABACUS BALI</v>
          </cell>
          <cell r="F59">
            <v>1</v>
          </cell>
          <cell r="G59" t="str">
            <v>04-Denpasar</v>
          </cell>
          <cell r="H59" t="str">
            <v>B</v>
          </cell>
          <cell r="I59" t="str">
            <v>ATM</v>
          </cell>
          <cell r="J59" t="str">
            <v>Denpasar</v>
          </cell>
          <cell r="K59" t="str">
            <v>Bali Nusra</v>
          </cell>
          <cell r="L59" t="str">
            <v xml:space="preserve">MON-SUN </v>
          </cell>
          <cell r="M59" t="str">
            <v>(00:00 - 23:59)</v>
          </cell>
          <cell r="N59">
            <v>0</v>
          </cell>
          <cell r="O59">
            <v>0</v>
          </cell>
          <cell r="P59">
            <v>0</v>
          </cell>
          <cell r="Q59">
            <v>1440</v>
          </cell>
        </row>
        <row r="60">
          <cell r="B60" t="str">
            <v>00UX</v>
          </cell>
          <cell r="C60" t="str">
            <v>Rio Erdiansyah</v>
          </cell>
          <cell r="D60" t="str">
            <v>SPBU Anturan Singaraja</v>
          </cell>
          <cell r="E60" t="str">
            <v>ABACUS BALI</v>
          </cell>
          <cell r="F60">
            <v>1</v>
          </cell>
          <cell r="G60" t="str">
            <v>04-Denpasar</v>
          </cell>
          <cell r="H60" t="str">
            <v>B</v>
          </cell>
          <cell r="I60" t="str">
            <v>ATM</v>
          </cell>
          <cell r="J60" t="str">
            <v>Singaraja</v>
          </cell>
          <cell r="K60" t="str">
            <v>Bali Nusra</v>
          </cell>
          <cell r="L60" t="str">
            <v xml:space="preserve">MON-SUN </v>
          </cell>
          <cell r="M60" t="str">
            <v>(00:00 - 23:59)</v>
          </cell>
          <cell r="N60">
            <v>0</v>
          </cell>
          <cell r="O60">
            <v>0</v>
          </cell>
          <cell r="P60">
            <v>0</v>
          </cell>
          <cell r="Q60">
            <v>1440</v>
          </cell>
        </row>
        <row r="61">
          <cell r="B61" t="str">
            <v>00V8</v>
          </cell>
          <cell r="C61" t="str">
            <v>Arif Rahman Hakim</v>
          </cell>
          <cell r="D61" t="str">
            <v>Coco Mart Nuansa Utama</v>
          </cell>
          <cell r="E61" t="str">
            <v>ABACUS BALI</v>
          </cell>
          <cell r="F61">
            <v>1</v>
          </cell>
          <cell r="G61" t="str">
            <v>04-Denpasar</v>
          </cell>
          <cell r="H61" t="str">
            <v>B</v>
          </cell>
          <cell r="I61" t="str">
            <v>ATM</v>
          </cell>
          <cell r="J61" t="str">
            <v>Denpasar</v>
          </cell>
          <cell r="K61" t="str">
            <v>Bali Nusra</v>
          </cell>
          <cell r="L61" t="str">
            <v xml:space="preserve">MON-SUN </v>
          </cell>
          <cell r="M61" t="str">
            <v>(00:00 - 23:59)</v>
          </cell>
          <cell r="N61">
            <v>0</v>
          </cell>
          <cell r="O61">
            <v>0</v>
          </cell>
          <cell r="P61">
            <v>0</v>
          </cell>
          <cell r="Q61">
            <v>1440</v>
          </cell>
        </row>
        <row r="62">
          <cell r="B62" t="str">
            <v>00V9</v>
          </cell>
          <cell r="C62" t="str">
            <v>Farozan Ali Fahmi</v>
          </cell>
          <cell r="D62" t="str">
            <v>Arys Mikro Celuk</v>
          </cell>
          <cell r="E62" t="str">
            <v>ABACUS BALI</v>
          </cell>
          <cell r="F62">
            <v>1</v>
          </cell>
          <cell r="G62" t="str">
            <v>04-Denpasar</v>
          </cell>
          <cell r="H62" t="str">
            <v>B</v>
          </cell>
          <cell r="I62" t="str">
            <v>ATM</v>
          </cell>
          <cell r="J62" t="str">
            <v>Denpasar</v>
          </cell>
          <cell r="K62" t="str">
            <v>Bali Nusra</v>
          </cell>
          <cell r="L62" t="str">
            <v xml:space="preserve">MON-SUN </v>
          </cell>
          <cell r="M62" t="str">
            <v>(00:00 - 23:59)</v>
          </cell>
          <cell r="N62">
            <v>0</v>
          </cell>
          <cell r="O62">
            <v>0</v>
          </cell>
          <cell r="P62">
            <v>0</v>
          </cell>
          <cell r="Q62">
            <v>1440</v>
          </cell>
        </row>
        <row r="63">
          <cell r="B63" t="str">
            <v>00VC</v>
          </cell>
          <cell r="C63" t="str">
            <v>Muhammad Ngainun Najib</v>
          </cell>
          <cell r="D63" t="str">
            <v>Bandara Ngurah Rai ATM Ce</v>
          </cell>
          <cell r="E63" t="str">
            <v>ABACUS BALI</v>
          </cell>
          <cell r="F63">
            <v>1</v>
          </cell>
          <cell r="G63" t="str">
            <v>04-Denpasar</v>
          </cell>
          <cell r="H63" t="str">
            <v>B</v>
          </cell>
          <cell r="I63" t="str">
            <v>ATM</v>
          </cell>
          <cell r="J63" t="str">
            <v>Denpasar</v>
          </cell>
          <cell r="K63" t="str">
            <v>Bali Nusra</v>
          </cell>
          <cell r="L63" t="str">
            <v xml:space="preserve">MON-SUN </v>
          </cell>
          <cell r="M63" t="str">
            <v>(00:00 - 23:59)</v>
          </cell>
          <cell r="N63">
            <v>1</v>
          </cell>
          <cell r="O63">
            <v>60</v>
          </cell>
          <cell r="P63">
            <v>4.17</v>
          </cell>
          <cell r="Q63">
            <v>1440</v>
          </cell>
        </row>
        <row r="64">
          <cell r="B64" t="str">
            <v>00VH</v>
          </cell>
          <cell r="C64" t="str">
            <v>I Putu Dendy Pratama</v>
          </cell>
          <cell r="D64" t="str">
            <v>IDM Padangsambian Klod</v>
          </cell>
          <cell r="E64" t="str">
            <v>ABACUS BALI</v>
          </cell>
          <cell r="F64">
            <v>1</v>
          </cell>
          <cell r="G64" t="str">
            <v>04-Denpasar</v>
          </cell>
          <cell r="H64" t="str">
            <v>B</v>
          </cell>
          <cell r="I64" t="str">
            <v>ATM</v>
          </cell>
          <cell r="J64" t="str">
            <v>Denpasar</v>
          </cell>
          <cell r="K64" t="str">
            <v>Bali Nusra</v>
          </cell>
          <cell r="L64" t="str">
            <v xml:space="preserve">MON-SUN </v>
          </cell>
          <cell r="M64" t="str">
            <v>(00:00 - 23:59)</v>
          </cell>
          <cell r="N64">
            <v>0</v>
          </cell>
          <cell r="O64">
            <v>0</v>
          </cell>
          <cell r="P64">
            <v>0</v>
          </cell>
          <cell r="Q64">
            <v>1440</v>
          </cell>
        </row>
        <row r="65">
          <cell r="B65" t="str">
            <v>00X4</v>
          </cell>
          <cell r="C65" t="str">
            <v>Suhel Risdianto</v>
          </cell>
          <cell r="D65" t="str">
            <v>CK Tegallalang</v>
          </cell>
          <cell r="E65" t="str">
            <v>ABACUS BALI</v>
          </cell>
          <cell r="F65">
            <v>2</v>
          </cell>
          <cell r="G65" t="str">
            <v>04-Denpasar</v>
          </cell>
          <cell r="H65" t="str">
            <v>B</v>
          </cell>
          <cell r="I65" t="str">
            <v>ATM</v>
          </cell>
          <cell r="J65" t="str">
            <v>Denpasar</v>
          </cell>
          <cell r="K65" t="str">
            <v>Bali Nusra</v>
          </cell>
          <cell r="L65" t="str">
            <v xml:space="preserve">MON-SUN </v>
          </cell>
          <cell r="M65" t="str">
            <v>(00:00 - 23:59)</v>
          </cell>
          <cell r="N65">
            <v>0</v>
          </cell>
          <cell r="O65">
            <v>0</v>
          </cell>
          <cell r="P65">
            <v>0</v>
          </cell>
          <cell r="Q65">
            <v>1440</v>
          </cell>
        </row>
        <row r="66">
          <cell r="B66" t="str">
            <v>00Y3</v>
          </cell>
          <cell r="C66" t="str">
            <v>Suhel Risdianto</v>
          </cell>
          <cell r="D66" t="str">
            <v>CK Pesanggaran</v>
          </cell>
          <cell r="E66" t="str">
            <v>ABACUS BALI</v>
          </cell>
          <cell r="F66">
            <v>1</v>
          </cell>
          <cell r="G66" t="str">
            <v>04-Denpasar</v>
          </cell>
          <cell r="H66" t="str">
            <v>B</v>
          </cell>
          <cell r="I66" t="str">
            <v>ATM</v>
          </cell>
          <cell r="J66" t="str">
            <v>Denpasar</v>
          </cell>
          <cell r="K66" t="str">
            <v>Bali Nusra</v>
          </cell>
          <cell r="L66" t="str">
            <v xml:space="preserve">MON-SUN </v>
          </cell>
          <cell r="M66" t="str">
            <v>(00:00 - 23:59)</v>
          </cell>
          <cell r="N66">
            <v>0</v>
          </cell>
          <cell r="O66">
            <v>0</v>
          </cell>
          <cell r="P66">
            <v>0</v>
          </cell>
          <cell r="Q66">
            <v>1440</v>
          </cell>
        </row>
        <row r="67">
          <cell r="B67" t="str">
            <v>00Y4</v>
          </cell>
          <cell r="C67" t="str">
            <v>Eko Adi Sugiyantoro</v>
          </cell>
          <cell r="D67" t="str">
            <v>CK Munggu Pererenan</v>
          </cell>
          <cell r="E67" t="str">
            <v>ABACUS BALI</v>
          </cell>
          <cell r="F67">
            <v>1</v>
          </cell>
          <cell r="G67" t="str">
            <v>04-Denpasar</v>
          </cell>
          <cell r="H67" t="str">
            <v>B</v>
          </cell>
          <cell r="I67" t="str">
            <v>ATM</v>
          </cell>
          <cell r="J67" t="str">
            <v>Denpasar</v>
          </cell>
          <cell r="K67" t="str">
            <v>Bali Nusra</v>
          </cell>
          <cell r="L67" t="str">
            <v xml:space="preserve">MON-SUN </v>
          </cell>
          <cell r="M67" t="str">
            <v>(00:00 - 23:59)</v>
          </cell>
          <cell r="N67">
            <v>0</v>
          </cell>
          <cell r="O67">
            <v>0</v>
          </cell>
          <cell r="P67">
            <v>0</v>
          </cell>
          <cell r="Q67">
            <v>1440</v>
          </cell>
        </row>
        <row r="68">
          <cell r="B68" t="str">
            <v>00ZB</v>
          </cell>
          <cell r="C68" t="str">
            <v>Eko Adi Sugiyantoro</v>
          </cell>
          <cell r="D68" t="str">
            <v>Arys Mikro Dukuh Tabanan</v>
          </cell>
          <cell r="E68" t="str">
            <v>ABACUS BALI</v>
          </cell>
          <cell r="F68">
            <v>1</v>
          </cell>
          <cell r="G68" t="str">
            <v>04-Denpasar</v>
          </cell>
          <cell r="H68" t="str">
            <v>B</v>
          </cell>
          <cell r="I68" t="str">
            <v>ATM</v>
          </cell>
          <cell r="J68" t="str">
            <v>Denpasar</v>
          </cell>
          <cell r="K68" t="str">
            <v>Bali Nusra</v>
          </cell>
          <cell r="L68" t="str">
            <v xml:space="preserve">MON-SUN </v>
          </cell>
          <cell r="M68" t="str">
            <v>(07:00 - 22:00)</v>
          </cell>
          <cell r="N68">
            <v>0</v>
          </cell>
          <cell r="O68">
            <v>0</v>
          </cell>
          <cell r="P68">
            <v>0</v>
          </cell>
          <cell r="Q68">
            <v>900</v>
          </cell>
        </row>
        <row r="69">
          <cell r="B69" t="str">
            <v>0118</v>
          </cell>
          <cell r="C69" t="str">
            <v>I Putu Dendy Pratama</v>
          </cell>
          <cell r="D69" t="str">
            <v>KFA 242 Raya Kuta</v>
          </cell>
          <cell r="E69" t="str">
            <v>ABACUS BALI</v>
          </cell>
          <cell r="F69">
            <v>1</v>
          </cell>
          <cell r="G69" t="str">
            <v>04-Denpasar</v>
          </cell>
          <cell r="H69" t="str">
            <v>B</v>
          </cell>
          <cell r="I69" t="str">
            <v>ATM</v>
          </cell>
          <cell r="J69" t="str">
            <v>Denpasar</v>
          </cell>
          <cell r="K69" t="str">
            <v>Bali Nusra</v>
          </cell>
          <cell r="L69" t="str">
            <v xml:space="preserve">MON-SUN </v>
          </cell>
          <cell r="M69" t="str">
            <v>(06:00 - 23:00)</v>
          </cell>
          <cell r="N69">
            <v>0</v>
          </cell>
          <cell r="O69">
            <v>0</v>
          </cell>
          <cell r="P69">
            <v>0</v>
          </cell>
          <cell r="Q69">
            <v>1020</v>
          </cell>
        </row>
        <row r="70">
          <cell r="B70" t="str">
            <v>011B</v>
          </cell>
          <cell r="C70" t="str">
            <v>Farozan Ali Fahmi</v>
          </cell>
          <cell r="D70" t="str">
            <v>Indogrosir Denpasar</v>
          </cell>
          <cell r="E70" t="str">
            <v>ABACUS BALI</v>
          </cell>
          <cell r="F70">
            <v>1</v>
          </cell>
          <cell r="G70" t="str">
            <v>04-Denpasar</v>
          </cell>
          <cell r="H70" t="str">
            <v>B</v>
          </cell>
          <cell r="I70" t="str">
            <v>ATM</v>
          </cell>
          <cell r="J70" t="str">
            <v>Denpasar</v>
          </cell>
          <cell r="K70" t="str">
            <v>Bali Nusra</v>
          </cell>
          <cell r="L70" t="str">
            <v xml:space="preserve">MON-SUN </v>
          </cell>
          <cell r="M70" t="str">
            <v>(09:00 - 21:00)</v>
          </cell>
          <cell r="N70">
            <v>0</v>
          </cell>
          <cell r="O70">
            <v>0</v>
          </cell>
          <cell r="P70">
            <v>0</v>
          </cell>
          <cell r="Q70">
            <v>720</v>
          </cell>
        </row>
        <row r="71">
          <cell r="B71" t="str">
            <v>011C</v>
          </cell>
          <cell r="C71" t="str">
            <v>Revaldi Resha Wardhana</v>
          </cell>
          <cell r="D71" t="str">
            <v>CK Gatsu Hook</v>
          </cell>
          <cell r="E71" t="str">
            <v>ABACUS BALI</v>
          </cell>
          <cell r="F71">
            <v>1</v>
          </cell>
          <cell r="G71" t="str">
            <v>04-Denpasar</v>
          </cell>
          <cell r="H71" t="str">
            <v>B</v>
          </cell>
          <cell r="I71" t="str">
            <v>ATM</v>
          </cell>
          <cell r="J71" t="str">
            <v>Denpasar</v>
          </cell>
          <cell r="K71" t="str">
            <v>Bali Nusra</v>
          </cell>
          <cell r="L71" t="str">
            <v xml:space="preserve">MON-SUN </v>
          </cell>
          <cell r="M71" t="str">
            <v>(00:00 - 23:59)</v>
          </cell>
          <cell r="N71">
            <v>0</v>
          </cell>
          <cell r="O71">
            <v>0</v>
          </cell>
          <cell r="P71">
            <v>0</v>
          </cell>
          <cell r="Q71">
            <v>1440</v>
          </cell>
        </row>
        <row r="72">
          <cell r="B72" t="str">
            <v>0127</v>
          </cell>
          <cell r="C72" t="str">
            <v>Eko Adi Sugiyantoro</v>
          </cell>
          <cell r="D72" t="str">
            <v>CK Padang Luwih</v>
          </cell>
          <cell r="E72" t="str">
            <v>ABACUS BALI</v>
          </cell>
          <cell r="F72">
            <v>1</v>
          </cell>
          <cell r="G72" t="str">
            <v>04-Denpasar</v>
          </cell>
          <cell r="H72" t="str">
            <v>B</v>
          </cell>
          <cell r="I72" t="str">
            <v>ATM</v>
          </cell>
          <cell r="J72" t="str">
            <v>Denpasar</v>
          </cell>
          <cell r="K72" t="str">
            <v>Bali Nusra</v>
          </cell>
          <cell r="L72" t="str">
            <v xml:space="preserve">MON-SUN </v>
          </cell>
          <cell r="M72" t="str">
            <v>(00:00 - 23:59)</v>
          </cell>
          <cell r="N72">
            <v>0</v>
          </cell>
          <cell r="O72">
            <v>0</v>
          </cell>
          <cell r="P72">
            <v>0</v>
          </cell>
          <cell r="Q72">
            <v>1440</v>
          </cell>
        </row>
        <row r="73">
          <cell r="B73" t="str">
            <v>0169</v>
          </cell>
          <cell r="C73" t="str">
            <v>Arif Rahman Hakim</v>
          </cell>
          <cell r="D73" t="str">
            <v>Club Med Hotel</v>
          </cell>
          <cell r="E73" t="str">
            <v>ABACUS BALI</v>
          </cell>
          <cell r="F73">
            <v>1</v>
          </cell>
          <cell r="G73" t="str">
            <v>04-Denpasar</v>
          </cell>
          <cell r="H73" t="str">
            <v>B</v>
          </cell>
          <cell r="I73" t="str">
            <v>ATM</v>
          </cell>
          <cell r="J73" t="str">
            <v>Denpasar</v>
          </cell>
          <cell r="K73" t="str">
            <v>Bali Nusra</v>
          </cell>
          <cell r="L73" t="str">
            <v xml:space="preserve">MON-SUN </v>
          </cell>
          <cell r="M73" t="str">
            <v>(00:00 - 23:59)</v>
          </cell>
          <cell r="N73">
            <v>0</v>
          </cell>
          <cell r="O73">
            <v>0</v>
          </cell>
          <cell r="P73">
            <v>0</v>
          </cell>
          <cell r="Q73">
            <v>1440</v>
          </cell>
        </row>
        <row r="74">
          <cell r="B74" t="str">
            <v>016M</v>
          </cell>
          <cell r="C74" t="str">
            <v>I Putu Dendy Pratama</v>
          </cell>
          <cell r="D74" t="str">
            <v>Eccos Plaza</v>
          </cell>
          <cell r="E74" t="str">
            <v>ABACUS BALI</v>
          </cell>
          <cell r="F74">
            <v>1</v>
          </cell>
          <cell r="G74" t="str">
            <v>04-Denpasar</v>
          </cell>
          <cell r="H74" t="str">
            <v>B</v>
          </cell>
          <cell r="I74" t="str">
            <v>ATM</v>
          </cell>
          <cell r="J74" t="str">
            <v>Denpasar</v>
          </cell>
          <cell r="K74" t="str">
            <v>Bali Nusra</v>
          </cell>
          <cell r="L74" t="str">
            <v xml:space="preserve">MON-SUN </v>
          </cell>
          <cell r="M74" t="str">
            <v>(00:00 - 23:59)</v>
          </cell>
          <cell r="N74">
            <v>0</v>
          </cell>
          <cell r="O74">
            <v>0</v>
          </cell>
          <cell r="P74">
            <v>0</v>
          </cell>
          <cell r="Q74">
            <v>1440</v>
          </cell>
        </row>
        <row r="75">
          <cell r="B75" t="str">
            <v>016U</v>
          </cell>
          <cell r="C75" t="str">
            <v>Revaldi Resha Wardhana</v>
          </cell>
          <cell r="D75" t="str">
            <v>IDM Tukad Badung Denpasar</v>
          </cell>
          <cell r="E75" t="str">
            <v>ANDALAN BALI</v>
          </cell>
          <cell r="F75">
            <v>1</v>
          </cell>
          <cell r="G75" t="str">
            <v>04-Denpasar</v>
          </cell>
          <cell r="H75" t="str">
            <v>B</v>
          </cell>
          <cell r="I75" t="str">
            <v>ATM</v>
          </cell>
          <cell r="J75" t="str">
            <v>Denpasar</v>
          </cell>
          <cell r="K75" t="str">
            <v>Bali Nusra</v>
          </cell>
          <cell r="L75" t="str">
            <v xml:space="preserve">MON-SUN </v>
          </cell>
          <cell r="M75" t="str">
            <v>(07:00 - 22:00)</v>
          </cell>
          <cell r="N75">
            <v>0</v>
          </cell>
          <cell r="O75">
            <v>0</v>
          </cell>
          <cell r="P75">
            <v>0</v>
          </cell>
          <cell r="Q75">
            <v>900</v>
          </cell>
        </row>
        <row r="76">
          <cell r="B76" t="str">
            <v>016Y</v>
          </cell>
          <cell r="C76" t="str">
            <v>Farozan Ali Fahmi</v>
          </cell>
          <cell r="D76" t="str">
            <v>Coco Mart Sukawati</v>
          </cell>
          <cell r="E76" t="str">
            <v>ABACUS BALI</v>
          </cell>
          <cell r="F76">
            <v>1</v>
          </cell>
          <cell r="G76" t="str">
            <v>04-Denpasar</v>
          </cell>
          <cell r="H76" t="str">
            <v>B</v>
          </cell>
          <cell r="I76" t="str">
            <v>ATM</v>
          </cell>
          <cell r="J76" t="str">
            <v>Denpasar</v>
          </cell>
          <cell r="K76" t="str">
            <v>Bali Nusra</v>
          </cell>
          <cell r="L76" t="str">
            <v xml:space="preserve">MON-SUN </v>
          </cell>
          <cell r="M76" t="str">
            <v>(00:00 - 23:59)</v>
          </cell>
          <cell r="N76">
            <v>0</v>
          </cell>
          <cell r="O76">
            <v>0</v>
          </cell>
          <cell r="P76">
            <v>0</v>
          </cell>
          <cell r="Q76">
            <v>1440</v>
          </cell>
        </row>
        <row r="77">
          <cell r="B77" t="str">
            <v>0173</v>
          </cell>
          <cell r="C77" t="str">
            <v>Muhammad Gufron Sofyan</v>
          </cell>
          <cell r="D77" t="str">
            <v>SPBU Pendem Jembrana</v>
          </cell>
          <cell r="E77" t="str">
            <v>ABACUS BALI</v>
          </cell>
          <cell r="F77">
            <v>1</v>
          </cell>
          <cell r="G77" t="str">
            <v>04-Denpasar</v>
          </cell>
          <cell r="H77" t="str">
            <v>B</v>
          </cell>
          <cell r="I77" t="str">
            <v>ATM</v>
          </cell>
          <cell r="J77" t="str">
            <v>Negara</v>
          </cell>
          <cell r="K77" t="str">
            <v>Bali Nusra</v>
          </cell>
          <cell r="L77" t="str">
            <v xml:space="preserve">MON-SUN </v>
          </cell>
          <cell r="M77" t="str">
            <v>(00:00 - 23:59)</v>
          </cell>
          <cell r="N77">
            <v>0</v>
          </cell>
          <cell r="O77">
            <v>0</v>
          </cell>
          <cell r="P77">
            <v>0</v>
          </cell>
          <cell r="Q77">
            <v>1440</v>
          </cell>
        </row>
        <row r="78">
          <cell r="B78" t="str">
            <v>017N</v>
          </cell>
          <cell r="C78" t="str">
            <v>Revaldi Resha Wardhana</v>
          </cell>
          <cell r="D78" t="str">
            <v>Alfa Antasura</v>
          </cell>
          <cell r="E78" t="str">
            <v>ABACUS BALI</v>
          </cell>
          <cell r="F78">
            <v>1</v>
          </cell>
          <cell r="G78" t="str">
            <v>04-Denpasar</v>
          </cell>
          <cell r="H78" t="str">
            <v>B</v>
          </cell>
          <cell r="I78" t="str">
            <v>ATM</v>
          </cell>
          <cell r="J78" t="str">
            <v>Denpasar</v>
          </cell>
          <cell r="K78" t="str">
            <v>Bali Nusra</v>
          </cell>
          <cell r="L78" t="str">
            <v xml:space="preserve">MON-SUN </v>
          </cell>
          <cell r="M78" t="str">
            <v>(00:00 - 23:59)</v>
          </cell>
          <cell r="N78">
            <v>0</v>
          </cell>
          <cell r="O78">
            <v>0</v>
          </cell>
          <cell r="P78">
            <v>0</v>
          </cell>
          <cell r="Q78">
            <v>1440</v>
          </cell>
        </row>
        <row r="79">
          <cell r="B79" t="str">
            <v>017P</v>
          </cell>
          <cell r="C79" t="str">
            <v>Eko Adi Sugiyantoro</v>
          </cell>
          <cell r="D79" t="str">
            <v>IDM Meranggi Tabanan</v>
          </cell>
          <cell r="E79" t="str">
            <v>ABACUS BALI</v>
          </cell>
          <cell r="F79">
            <v>1</v>
          </cell>
          <cell r="G79" t="str">
            <v>04-Denpasar</v>
          </cell>
          <cell r="H79" t="str">
            <v>B</v>
          </cell>
          <cell r="I79" t="str">
            <v>ATM</v>
          </cell>
          <cell r="J79" t="str">
            <v>Denpasar</v>
          </cell>
          <cell r="K79" t="str">
            <v>Bali Nusra</v>
          </cell>
          <cell r="L79" t="str">
            <v xml:space="preserve">MON-SUN </v>
          </cell>
          <cell r="M79" t="str">
            <v>(07:00 - 22:00)</v>
          </cell>
          <cell r="N79">
            <v>0</v>
          </cell>
          <cell r="O79">
            <v>0</v>
          </cell>
          <cell r="P79">
            <v>0</v>
          </cell>
          <cell r="Q79">
            <v>900</v>
          </cell>
        </row>
        <row r="80">
          <cell r="B80" t="str">
            <v>017Q</v>
          </cell>
          <cell r="C80" t="str">
            <v>Revaldi Resha Wardhana</v>
          </cell>
          <cell r="D80" t="str">
            <v>IDM Sibangkaja</v>
          </cell>
          <cell r="E80" t="str">
            <v>ABACUS BALI</v>
          </cell>
          <cell r="F80">
            <v>1</v>
          </cell>
          <cell r="G80" t="str">
            <v>04-Denpasar</v>
          </cell>
          <cell r="H80" t="str">
            <v>B</v>
          </cell>
          <cell r="I80" t="str">
            <v>ATM</v>
          </cell>
          <cell r="J80" t="str">
            <v>Denpasar</v>
          </cell>
          <cell r="K80" t="str">
            <v>Bali Nusra</v>
          </cell>
          <cell r="L80" t="str">
            <v xml:space="preserve">MON-SUN </v>
          </cell>
          <cell r="M80" t="str">
            <v>(00:00 - 23:59)</v>
          </cell>
          <cell r="N80">
            <v>0</v>
          </cell>
          <cell r="O80">
            <v>0</v>
          </cell>
          <cell r="P80">
            <v>0</v>
          </cell>
          <cell r="Q80">
            <v>1440</v>
          </cell>
        </row>
        <row r="81">
          <cell r="B81" t="str">
            <v>01AT</v>
          </cell>
          <cell r="C81" t="str">
            <v>Muhammad Gufron Sofyan</v>
          </cell>
          <cell r="D81" t="str">
            <v>IDM Point Gilimanuk</v>
          </cell>
          <cell r="E81" t="str">
            <v>ABACUS BALI</v>
          </cell>
          <cell r="F81">
            <v>2</v>
          </cell>
          <cell r="G81" t="str">
            <v>04-Denpasar</v>
          </cell>
          <cell r="H81" t="str">
            <v>B</v>
          </cell>
          <cell r="I81" t="str">
            <v>ATM</v>
          </cell>
          <cell r="J81" t="str">
            <v>Negara</v>
          </cell>
          <cell r="K81" t="str">
            <v>Bali Nusra</v>
          </cell>
          <cell r="L81" t="str">
            <v xml:space="preserve">MON-SUN </v>
          </cell>
          <cell r="M81" t="str">
            <v>(00:00 - 23:59)</v>
          </cell>
          <cell r="N81">
            <v>0</v>
          </cell>
          <cell r="O81">
            <v>0</v>
          </cell>
          <cell r="P81">
            <v>0</v>
          </cell>
          <cell r="Q81">
            <v>1440</v>
          </cell>
        </row>
        <row r="82">
          <cell r="B82" t="str">
            <v>01B2</v>
          </cell>
          <cell r="C82" t="str">
            <v>Farozan Ali Fahmi</v>
          </cell>
          <cell r="D82" t="str">
            <v>Alfa Mulawarman</v>
          </cell>
          <cell r="E82" t="str">
            <v>ABACUS BALI</v>
          </cell>
          <cell r="F82">
            <v>1</v>
          </cell>
          <cell r="G82" t="str">
            <v>04-Denpasar</v>
          </cell>
          <cell r="H82" t="str">
            <v>B</v>
          </cell>
          <cell r="I82" t="str">
            <v>ATM</v>
          </cell>
          <cell r="J82" t="str">
            <v>Denpasar</v>
          </cell>
          <cell r="K82" t="str">
            <v>Bali Nusra</v>
          </cell>
          <cell r="L82" t="str">
            <v xml:space="preserve">MON-SUN </v>
          </cell>
          <cell r="M82" t="str">
            <v>(07:00 - 22:00)</v>
          </cell>
          <cell r="N82">
            <v>2</v>
          </cell>
          <cell r="O82">
            <v>99</v>
          </cell>
          <cell r="P82">
            <v>11</v>
          </cell>
          <cell r="Q82">
            <v>900</v>
          </cell>
        </row>
        <row r="83">
          <cell r="B83" t="str">
            <v>01CX</v>
          </cell>
          <cell r="C83" t="str">
            <v>Rio Erdiansyah</v>
          </cell>
          <cell r="D83" t="str">
            <v>Edie Arta Motor</v>
          </cell>
          <cell r="E83" t="str">
            <v>ABACUS BALI</v>
          </cell>
          <cell r="F83">
            <v>2</v>
          </cell>
          <cell r="G83" t="str">
            <v>04-Denpasar</v>
          </cell>
          <cell r="H83" t="str">
            <v>B</v>
          </cell>
          <cell r="I83" t="str">
            <v>ATM</v>
          </cell>
          <cell r="J83" t="str">
            <v>Singaraja</v>
          </cell>
          <cell r="K83" t="str">
            <v>Bali Nusra</v>
          </cell>
          <cell r="L83" t="str">
            <v xml:space="preserve">MON-SUN </v>
          </cell>
          <cell r="M83" t="str">
            <v>(00:00 - 23:59)</v>
          </cell>
          <cell r="N83">
            <v>0</v>
          </cell>
          <cell r="O83">
            <v>0</v>
          </cell>
          <cell r="P83">
            <v>0</v>
          </cell>
          <cell r="Q83">
            <v>1440</v>
          </cell>
        </row>
        <row r="84">
          <cell r="B84" t="str">
            <v>01DD</v>
          </cell>
          <cell r="C84" t="str">
            <v>Bambang Yuniarko</v>
          </cell>
          <cell r="D84" t="str">
            <v>CK Tukad Jinah</v>
          </cell>
          <cell r="E84" t="str">
            <v>ANDALAN BALI</v>
          </cell>
          <cell r="F84">
            <v>1</v>
          </cell>
          <cell r="G84" t="str">
            <v>04-Denpasar</v>
          </cell>
          <cell r="H84" t="str">
            <v>B</v>
          </cell>
          <cell r="I84" t="str">
            <v>ATM</v>
          </cell>
          <cell r="J84" t="str">
            <v>Denpasar</v>
          </cell>
          <cell r="K84" t="str">
            <v>Bali Nusra</v>
          </cell>
          <cell r="L84" t="str">
            <v xml:space="preserve">MON-SUN </v>
          </cell>
          <cell r="M84" t="str">
            <v>(00:00 - 23:59)</v>
          </cell>
          <cell r="N84">
            <v>0</v>
          </cell>
          <cell r="O84">
            <v>0</v>
          </cell>
          <cell r="P84">
            <v>0</v>
          </cell>
          <cell r="Q84">
            <v>1440</v>
          </cell>
        </row>
        <row r="85">
          <cell r="B85" t="str">
            <v>01H0</v>
          </cell>
          <cell r="C85" t="str">
            <v>Suhel Risdianto</v>
          </cell>
          <cell r="D85" t="str">
            <v>Minimart Semer</v>
          </cell>
          <cell r="E85" t="str">
            <v>ABACUS BALI</v>
          </cell>
          <cell r="F85">
            <v>1</v>
          </cell>
          <cell r="G85" t="str">
            <v>04-Denpasar</v>
          </cell>
          <cell r="H85" t="str">
            <v>B</v>
          </cell>
          <cell r="I85" t="str">
            <v>ATM</v>
          </cell>
          <cell r="J85" t="str">
            <v>Denpasar</v>
          </cell>
          <cell r="K85" t="str">
            <v>Bali Nusra</v>
          </cell>
          <cell r="L85" t="str">
            <v xml:space="preserve">MON-SUN </v>
          </cell>
          <cell r="M85" t="str">
            <v>(00:00 - 23:59)</v>
          </cell>
          <cell r="N85">
            <v>0</v>
          </cell>
          <cell r="O85">
            <v>0</v>
          </cell>
          <cell r="P85">
            <v>0</v>
          </cell>
          <cell r="Q85">
            <v>1440</v>
          </cell>
        </row>
        <row r="86">
          <cell r="B86" t="str">
            <v>01H2</v>
          </cell>
          <cell r="C86" t="str">
            <v>Farozan Ali Fahmi</v>
          </cell>
          <cell r="D86" t="str">
            <v>Coco Mart Blahbatuh</v>
          </cell>
          <cell r="E86" t="str">
            <v>ABACUS BALI</v>
          </cell>
          <cell r="F86">
            <v>2</v>
          </cell>
          <cell r="G86" t="str">
            <v>04-Denpasar</v>
          </cell>
          <cell r="H86" t="str">
            <v>B</v>
          </cell>
          <cell r="I86" t="str">
            <v>ATM</v>
          </cell>
          <cell r="J86" t="str">
            <v>Denpasar</v>
          </cell>
          <cell r="K86" t="str">
            <v>Bali Nusra</v>
          </cell>
          <cell r="L86" t="str">
            <v xml:space="preserve">MON-SUN </v>
          </cell>
          <cell r="M86" t="str">
            <v>(00:00 - 23:59)</v>
          </cell>
          <cell r="N86">
            <v>0</v>
          </cell>
          <cell r="O86">
            <v>0</v>
          </cell>
          <cell r="P86">
            <v>0</v>
          </cell>
          <cell r="Q86">
            <v>1440</v>
          </cell>
        </row>
        <row r="87">
          <cell r="B87" t="str">
            <v>01JT</v>
          </cell>
          <cell r="C87" t="str">
            <v>Bambang Yuniarko</v>
          </cell>
          <cell r="D87" t="str">
            <v>RS Bali Internasional</v>
          </cell>
          <cell r="E87" t="str">
            <v>ANDALAN BALI</v>
          </cell>
          <cell r="F87">
            <v>1</v>
          </cell>
          <cell r="G87" t="str">
            <v>04-Denpasar</v>
          </cell>
          <cell r="H87" t="str">
            <v>B</v>
          </cell>
          <cell r="I87" t="str">
            <v>ATM</v>
          </cell>
          <cell r="J87" t="str">
            <v>Denpasar</v>
          </cell>
          <cell r="K87" t="str">
            <v>Bali Nusra</v>
          </cell>
          <cell r="L87" t="str">
            <v xml:space="preserve">MON-SUN </v>
          </cell>
          <cell r="M87" t="str">
            <v>(00:00 - 23:59)</v>
          </cell>
          <cell r="N87">
            <v>0</v>
          </cell>
          <cell r="O87">
            <v>0</v>
          </cell>
          <cell r="P87">
            <v>0</v>
          </cell>
          <cell r="Q87">
            <v>1440</v>
          </cell>
        </row>
        <row r="88">
          <cell r="B88" t="str">
            <v>01KC</v>
          </cell>
          <cell r="C88" t="str">
            <v>Arif Rahman Hakim</v>
          </cell>
          <cell r="D88" t="str">
            <v>Paradisus by Melia</v>
          </cell>
          <cell r="E88" t="str">
            <v>ABACUS BALI</v>
          </cell>
          <cell r="F88">
            <v>1</v>
          </cell>
          <cell r="G88" t="str">
            <v>04-Denpasar</v>
          </cell>
          <cell r="H88" t="str">
            <v>B</v>
          </cell>
          <cell r="I88" t="str">
            <v>ATM</v>
          </cell>
          <cell r="J88" t="str">
            <v>Denpasar</v>
          </cell>
          <cell r="K88" t="str">
            <v>Bali Nusra</v>
          </cell>
          <cell r="L88" t="str">
            <v xml:space="preserve">MON-SUN </v>
          </cell>
          <cell r="M88" t="str">
            <v>(00:00 - 23:59)</v>
          </cell>
          <cell r="N88">
            <v>0</v>
          </cell>
          <cell r="O88">
            <v>0</v>
          </cell>
          <cell r="P88">
            <v>0</v>
          </cell>
          <cell r="Q88">
            <v>1440</v>
          </cell>
        </row>
        <row r="89">
          <cell r="B89" t="str">
            <v>01KT</v>
          </cell>
          <cell r="C89" t="str">
            <v>Revaldi Resha Wardhana</v>
          </cell>
          <cell r="D89" t="str">
            <v>Alfa Patih Nambi</v>
          </cell>
          <cell r="E89" t="str">
            <v>ABACUS BALI</v>
          </cell>
          <cell r="F89">
            <v>1</v>
          </cell>
          <cell r="G89" t="str">
            <v>04-Denpasar</v>
          </cell>
          <cell r="H89" t="str">
            <v>B</v>
          </cell>
          <cell r="I89" t="str">
            <v>ATM</v>
          </cell>
          <cell r="J89" t="str">
            <v>Denpasar</v>
          </cell>
          <cell r="K89" t="str">
            <v>Bali Nusra</v>
          </cell>
          <cell r="L89" t="str">
            <v xml:space="preserve">MON-SUN </v>
          </cell>
          <cell r="M89" t="str">
            <v>(00:00 - 23:59)</v>
          </cell>
          <cell r="N89">
            <v>0</v>
          </cell>
          <cell r="O89">
            <v>0</v>
          </cell>
          <cell r="P89">
            <v>0</v>
          </cell>
          <cell r="Q89">
            <v>1440</v>
          </cell>
        </row>
        <row r="90">
          <cell r="B90" t="str">
            <v>01P2</v>
          </cell>
          <cell r="C90" t="str">
            <v>Bambang Yuniarko</v>
          </cell>
          <cell r="D90" t="str">
            <v>Alfa Dukuh Sari Sesetan</v>
          </cell>
          <cell r="E90" t="str">
            <v>ABACUS BALI</v>
          </cell>
          <cell r="F90">
            <v>1</v>
          </cell>
          <cell r="G90" t="str">
            <v>04-Denpasar</v>
          </cell>
          <cell r="H90" t="str">
            <v>B</v>
          </cell>
          <cell r="I90" t="str">
            <v>ATM</v>
          </cell>
          <cell r="J90" t="str">
            <v>Denpasar</v>
          </cell>
          <cell r="K90" t="str">
            <v>Bali Nusra</v>
          </cell>
          <cell r="L90" t="str">
            <v xml:space="preserve">MON-SUN </v>
          </cell>
          <cell r="M90" t="str">
            <v>(07:00 - 22:00)</v>
          </cell>
          <cell r="N90">
            <v>0</v>
          </cell>
          <cell r="O90">
            <v>0</v>
          </cell>
          <cell r="P90">
            <v>0</v>
          </cell>
          <cell r="Q90">
            <v>900</v>
          </cell>
        </row>
        <row r="91">
          <cell r="B91" t="str">
            <v>01QY</v>
          </cell>
          <cell r="C91" t="str">
            <v>Revaldi Resha Wardhana</v>
          </cell>
          <cell r="D91" t="str">
            <v>Alfa Patimura Denpasar</v>
          </cell>
          <cell r="E91" t="str">
            <v>ANDALAN BALI</v>
          </cell>
          <cell r="F91">
            <v>1</v>
          </cell>
          <cell r="G91" t="str">
            <v>04-Denpasar</v>
          </cell>
          <cell r="H91" t="str">
            <v>B</v>
          </cell>
          <cell r="I91" t="str">
            <v>ATM</v>
          </cell>
          <cell r="J91" t="str">
            <v>Denpasar</v>
          </cell>
          <cell r="K91" t="str">
            <v>Bali Nusra</v>
          </cell>
          <cell r="L91" t="str">
            <v xml:space="preserve">MON-SUN </v>
          </cell>
          <cell r="M91" t="str">
            <v>(07:00 - 22:00)</v>
          </cell>
          <cell r="N91">
            <v>0</v>
          </cell>
          <cell r="O91">
            <v>0</v>
          </cell>
          <cell r="P91">
            <v>0</v>
          </cell>
          <cell r="Q91">
            <v>900</v>
          </cell>
        </row>
        <row r="92">
          <cell r="B92" t="str">
            <v>01RD</v>
          </cell>
          <cell r="C92" t="str">
            <v>Lalu Riswan Hadi</v>
          </cell>
          <cell r="D92" t="str">
            <v>Pepito Market Mandalika</v>
          </cell>
          <cell r="E92" t="str">
            <v>ADVANTAGE CAKRANEGARA</v>
          </cell>
          <cell r="F92">
            <v>1</v>
          </cell>
          <cell r="G92" t="str">
            <v>04-Denpasar</v>
          </cell>
          <cell r="H92" t="str">
            <v>B</v>
          </cell>
          <cell r="I92" t="str">
            <v>ATM</v>
          </cell>
          <cell r="J92" t="str">
            <v>Mataram</v>
          </cell>
          <cell r="K92" t="str">
            <v>Bali Nusra</v>
          </cell>
          <cell r="L92" t="str">
            <v xml:space="preserve">MON-SUN </v>
          </cell>
          <cell r="M92" t="str">
            <v>(00:00 - 23:59)</v>
          </cell>
          <cell r="N92">
            <v>0</v>
          </cell>
          <cell r="O92">
            <v>0</v>
          </cell>
          <cell r="P92">
            <v>0</v>
          </cell>
          <cell r="Q92">
            <v>1440</v>
          </cell>
        </row>
        <row r="93">
          <cell r="B93" t="str">
            <v>01TY</v>
          </cell>
          <cell r="C93" t="str">
            <v>Suhel Risdianto</v>
          </cell>
          <cell r="D93" t="str">
            <v>Alfa Kalimutu</v>
          </cell>
          <cell r="E93" t="str">
            <v>ABACUS BALI</v>
          </cell>
          <cell r="F93">
            <v>1</v>
          </cell>
          <cell r="G93" t="str">
            <v>04-Denpasar</v>
          </cell>
          <cell r="H93" t="str">
            <v>B</v>
          </cell>
          <cell r="I93" t="str">
            <v>ATM</v>
          </cell>
          <cell r="J93" t="str">
            <v>Denpasar</v>
          </cell>
          <cell r="K93" t="str">
            <v>Bali Nusra</v>
          </cell>
          <cell r="L93" t="str">
            <v xml:space="preserve">MON-SUN </v>
          </cell>
          <cell r="M93" t="str">
            <v>(07:00 - 22:00)</v>
          </cell>
          <cell r="N93">
            <v>0</v>
          </cell>
          <cell r="O93">
            <v>0</v>
          </cell>
          <cell r="P93">
            <v>0</v>
          </cell>
          <cell r="Q93">
            <v>900</v>
          </cell>
        </row>
        <row r="94">
          <cell r="B94" t="str">
            <v>031U</v>
          </cell>
          <cell r="C94" t="str">
            <v>Eko Adi Sugiyantoro</v>
          </cell>
          <cell r="D94" t="str">
            <v>Boga Swaha Supermarket</v>
          </cell>
          <cell r="E94" t="str">
            <v>ABACUS BALI</v>
          </cell>
          <cell r="F94">
            <v>1</v>
          </cell>
          <cell r="G94" t="str">
            <v>04-Denpasar</v>
          </cell>
          <cell r="H94" t="str">
            <v>B</v>
          </cell>
          <cell r="I94" t="str">
            <v>ATM</v>
          </cell>
          <cell r="J94" t="str">
            <v>Denpasar</v>
          </cell>
          <cell r="K94" t="str">
            <v>Bali Nusra</v>
          </cell>
          <cell r="L94" t="str">
            <v xml:space="preserve">MON-SUN </v>
          </cell>
          <cell r="M94" t="str">
            <v>(00:00 - 23:59)</v>
          </cell>
          <cell r="N94">
            <v>0</v>
          </cell>
          <cell r="O94">
            <v>0</v>
          </cell>
          <cell r="P94">
            <v>0</v>
          </cell>
          <cell r="Q94">
            <v>1440</v>
          </cell>
        </row>
        <row r="95">
          <cell r="B95" t="str">
            <v>031V</v>
          </cell>
          <cell r="C95" t="str">
            <v>Bambang Yuniarko</v>
          </cell>
          <cell r="D95" t="str">
            <v>Seminyak Square</v>
          </cell>
          <cell r="E95" t="str">
            <v>ABACUS BALI</v>
          </cell>
          <cell r="F95">
            <v>1</v>
          </cell>
          <cell r="G95" t="str">
            <v>04-Denpasar</v>
          </cell>
          <cell r="H95" t="str">
            <v>B</v>
          </cell>
          <cell r="I95" t="str">
            <v>ATM</v>
          </cell>
          <cell r="J95" t="str">
            <v>Denpasar</v>
          </cell>
          <cell r="K95" t="str">
            <v>Bali Nusra</v>
          </cell>
          <cell r="L95" t="str">
            <v xml:space="preserve">MON-SUN </v>
          </cell>
          <cell r="M95" t="str">
            <v>(00:00 - 23:59)</v>
          </cell>
          <cell r="N95">
            <v>0</v>
          </cell>
          <cell r="O95">
            <v>0</v>
          </cell>
          <cell r="P95">
            <v>0</v>
          </cell>
          <cell r="Q95">
            <v>1440</v>
          </cell>
        </row>
        <row r="96">
          <cell r="B96" t="str">
            <v>032L</v>
          </cell>
          <cell r="C96" t="str">
            <v>I Putu Dendy Pratama</v>
          </cell>
          <cell r="D96" t="str">
            <v>Pialegong</v>
          </cell>
          <cell r="E96" t="str">
            <v>ABACUS BALI</v>
          </cell>
          <cell r="F96">
            <v>1</v>
          </cell>
          <cell r="G96" t="str">
            <v>04-Denpasar</v>
          </cell>
          <cell r="H96" t="str">
            <v>B</v>
          </cell>
          <cell r="I96" t="str">
            <v>ATM</v>
          </cell>
          <cell r="J96" t="str">
            <v>Denpasar</v>
          </cell>
          <cell r="K96" t="str">
            <v>Bali Nusra</v>
          </cell>
          <cell r="L96" t="str">
            <v xml:space="preserve">MON-SUN </v>
          </cell>
          <cell r="M96" t="str">
            <v>(00:00 - 23:59)</v>
          </cell>
          <cell r="N96">
            <v>0</v>
          </cell>
          <cell r="O96">
            <v>0</v>
          </cell>
          <cell r="P96">
            <v>0</v>
          </cell>
          <cell r="Q96">
            <v>1440</v>
          </cell>
        </row>
        <row r="97">
          <cell r="B97" t="str">
            <v>032O</v>
          </cell>
          <cell r="C97" t="str">
            <v>Suhel Risdianto</v>
          </cell>
          <cell r="D97" t="str">
            <v>Tuna Long Line Indonesia</v>
          </cell>
          <cell r="E97" t="str">
            <v>ABACUS BALI</v>
          </cell>
          <cell r="F97">
            <v>1</v>
          </cell>
          <cell r="G97" t="str">
            <v>04-Denpasar</v>
          </cell>
          <cell r="H97" t="str">
            <v>B</v>
          </cell>
          <cell r="I97" t="str">
            <v>ATM</v>
          </cell>
          <cell r="J97" t="str">
            <v>Denpasar</v>
          </cell>
          <cell r="K97" t="str">
            <v>Bali Nusra</v>
          </cell>
          <cell r="L97" t="str">
            <v xml:space="preserve">MON-SUN </v>
          </cell>
          <cell r="M97" t="str">
            <v>(00:00 - 23:59)</v>
          </cell>
          <cell r="N97">
            <v>1</v>
          </cell>
          <cell r="O97">
            <v>72</v>
          </cell>
          <cell r="P97">
            <v>5</v>
          </cell>
          <cell r="Q97">
            <v>1440</v>
          </cell>
        </row>
        <row r="98">
          <cell r="B98" t="str">
            <v>032Q</v>
          </cell>
          <cell r="C98" t="str">
            <v>Muhammad Ngainun Najib</v>
          </cell>
          <cell r="D98" t="str">
            <v>Muaya Cafe 19</v>
          </cell>
          <cell r="E98" t="str">
            <v>ABACUS BALI</v>
          </cell>
          <cell r="F98">
            <v>1</v>
          </cell>
          <cell r="G98" t="str">
            <v>04-Denpasar</v>
          </cell>
          <cell r="H98" t="str">
            <v>B</v>
          </cell>
          <cell r="I98" t="str">
            <v>ATM</v>
          </cell>
          <cell r="J98" t="str">
            <v>Denpasar</v>
          </cell>
          <cell r="K98" t="str">
            <v>Bali Nusra</v>
          </cell>
          <cell r="L98" t="str">
            <v xml:space="preserve">MON-SUN </v>
          </cell>
          <cell r="M98" t="str">
            <v>(00:00 - 23:59)</v>
          </cell>
          <cell r="N98">
            <v>0</v>
          </cell>
          <cell r="O98">
            <v>0</v>
          </cell>
          <cell r="P98">
            <v>0</v>
          </cell>
          <cell r="Q98">
            <v>1440</v>
          </cell>
        </row>
        <row r="99">
          <cell r="B99" t="str">
            <v>037W</v>
          </cell>
          <cell r="C99" t="str">
            <v>Yunarius Raynold Gege</v>
          </cell>
          <cell r="D99" t="str">
            <v>Sinar Bangunan Kupang</v>
          </cell>
          <cell r="E99" t="str">
            <v>ADVANTAGE KUPANG</v>
          </cell>
          <cell r="F99">
            <v>1</v>
          </cell>
          <cell r="G99" t="str">
            <v>04-Denpasar</v>
          </cell>
          <cell r="H99" t="str">
            <v>B</v>
          </cell>
          <cell r="I99" t="str">
            <v>ATM</v>
          </cell>
          <cell r="J99" t="str">
            <v>Kupang</v>
          </cell>
          <cell r="K99" t="str">
            <v>Bali Nusra</v>
          </cell>
          <cell r="L99" t="str">
            <v xml:space="preserve">MON-SUN </v>
          </cell>
          <cell r="M99" t="str">
            <v>(00:00 - 23:59)</v>
          </cell>
          <cell r="N99">
            <v>0</v>
          </cell>
          <cell r="O99">
            <v>0</v>
          </cell>
          <cell r="P99">
            <v>0</v>
          </cell>
          <cell r="Q99">
            <v>1440</v>
          </cell>
        </row>
        <row r="100">
          <cell r="B100" t="str">
            <v>051F</v>
          </cell>
          <cell r="C100" t="str">
            <v>I Putu Dendy Pratama</v>
          </cell>
          <cell r="D100" t="str">
            <v>The One Legian</v>
          </cell>
          <cell r="E100" t="str">
            <v>ABACUS BALI</v>
          </cell>
          <cell r="F100">
            <v>1</v>
          </cell>
          <cell r="G100" t="str">
            <v>04-Denpasar</v>
          </cell>
          <cell r="H100" t="str">
            <v>B</v>
          </cell>
          <cell r="I100" t="str">
            <v>ATM</v>
          </cell>
          <cell r="J100" t="str">
            <v>Denpasar</v>
          </cell>
          <cell r="K100" t="str">
            <v>Bali Nusra</v>
          </cell>
          <cell r="L100" t="str">
            <v xml:space="preserve">MON-SUN </v>
          </cell>
          <cell r="M100" t="str">
            <v>(00:00 - 23:59)</v>
          </cell>
          <cell r="N100">
            <v>0</v>
          </cell>
          <cell r="O100">
            <v>0</v>
          </cell>
          <cell r="P100">
            <v>0</v>
          </cell>
          <cell r="Q100">
            <v>1440</v>
          </cell>
        </row>
        <row r="101">
          <cell r="B101" t="str">
            <v>066J</v>
          </cell>
          <cell r="C101" t="str">
            <v>Muhammad Ngainun Najib</v>
          </cell>
          <cell r="D101" t="str">
            <v>CK CK171 BAL0168 Kubu A</v>
          </cell>
          <cell r="E101" t="str">
            <v>ABACUS BALI</v>
          </cell>
          <cell r="F101">
            <v>1</v>
          </cell>
          <cell r="G101" t="str">
            <v>04-Denpasar</v>
          </cell>
          <cell r="H101" t="str">
            <v>B</v>
          </cell>
          <cell r="I101" t="str">
            <v>ATM</v>
          </cell>
          <cell r="J101" t="str">
            <v>Denpasar</v>
          </cell>
          <cell r="K101" t="str">
            <v>Bali Nusra</v>
          </cell>
          <cell r="L101" t="str">
            <v xml:space="preserve">MON-SUN </v>
          </cell>
          <cell r="M101" t="str">
            <v>(00:00 - 23:59)</v>
          </cell>
          <cell r="N101">
            <v>0</v>
          </cell>
          <cell r="O101">
            <v>0</v>
          </cell>
          <cell r="P101">
            <v>0</v>
          </cell>
          <cell r="Q101">
            <v>1440</v>
          </cell>
        </row>
        <row r="102">
          <cell r="B102" t="str">
            <v>066L</v>
          </cell>
          <cell r="C102" t="str">
            <v>Muhammad Ngainun Najib</v>
          </cell>
          <cell r="D102" t="str">
            <v>CK CK102 BAL0139 Toyani</v>
          </cell>
          <cell r="E102" t="str">
            <v>ABACUS BALI</v>
          </cell>
          <cell r="F102">
            <v>1</v>
          </cell>
          <cell r="G102" t="str">
            <v>04-Denpasar</v>
          </cell>
          <cell r="H102" t="str">
            <v>B</v>
          </cell>
          <cell r="I102" t="str">
            <v>ATM</v>
          </cell>
          <cell r="J102" t="str">
            <v>Denpasar</v>
          </cell>
          <cell r="K102" t="str">
            <v>Bali Nusra</v>
          </cell>
          <cell r="L102" t="str">
            <v xml:space="preserve">MON-SUN </v>
          </cell>
          <cell r="M102" t="str">
            <v>(00:00 - 23:59)</v>
          </cell>
          <cell r="N102">
            <v>0</v>
          </cell>
          <cell r="O102">
            <v>0</v>
          </cell>
          <cell r="P102">
            <v>0</v>
          </cell>
          <cell r="Q102">
            <v>1440</v>
          </cell>
        </row>
        <row r="103">
          <cell r="B103" t="str">
            <v>066P</v>
          </cell>
          <cell r="C103" t="str">
            <v>Farozan Ali Fahmi</v>
          </cell>
          <cell r="D103" t="str">
            <v>CK CK154 BAL0251 Ketewe</v>
          </cell>
          <cell r="E103" t="str">
            <v>ABACUS BALI</v>
          </cell>
          <cell r="F103">
            <v>1</v>
          </cell>
          <cell r="G103" t="str">
            <v>04-Denpasar</v>
          </cell>
          <cell r="H103" t="str">
            <v>B</v>
          </cell>
          <cell r="I103" t="str">
            <v>ATM</v>
          </cell>
          <cell r="J103" t="str">
            <v>Denpasar</v>
          </cell>
          <cell r="K103" t="str">
            <v>Bali Nusra</v>
          </cell>
          <cell r="L103" t="str">
            <v xml:space="preserve">MON-SUN </v>
          </cell>
          <cell r="M103" t="str">
            <v>(00:00 - 23:59)</v>
          </cell>
          <cell r="N103">
            <v>0</v>
          </cell>
          <cell r="O103">
            <v>0</v>
          </cell>
          <cell r="P103">
            <v>0</v>
          </cell>
          <cell r="Q103">
            <v>1440</v>
          </cell>
        </row>
        <row r="104">
          <cell r="B104" t="str">
            <v>067E</v>
          </cell>
          <cell r="C104" t="str">
            <v>Farozan Ali Fahmi</v>
          </cell>
          <cell r="D104" t="str">
            <v>IDM WR Supratman Denpasar</v>
          </cell>
          <cell r="E104" t="str">
            <v>ANDALAN BALI</v>
          </cell>
          <cell r="F104">
            <v>1</v>
          </cell>
          <cell r="G104" t="str">
            <v>04-Denpasar</v>
          </cell>
          <cell r="H104" t="str">
            <v>B</v>
          </cell>
          <cell r="I104" t="str">
            <v>ATM</v>
          </cell>
          <cell r="J104" t="str">
            <v>Denpasar</v>
          </cell>
          <cell r="K104" t="str">
            <v>Bali Nusra</v>
          </cell>
          <cell r="L104" t="str">
            <v xml:space="preserve">MON-SUN </v>
          </cell>
          <cell r="M104" t="str">
            <v>(00:00 - 23:59)</v>
          </cell>
          <cell r="N104">
            <v>0</v>
          </cell>
          <cell r="O104">
            <v>0</v>
          </cell>
          <cell r="P104">
            <v>0</v>
          </cell>
          <cell r="Q104">
            <v>1440</v>
          </cell>
        </row>
        <row r="105">
          <cell r="B105" t="str">
            <v>068W</v>
          </cell>
          <cell r="C105" t="str">
            <v>Eko Adi Sugiyantoro</v>
          </cell>
          <cell r="D105" t="str">
            <v>Alfa Q004 Banjar Anyar</v>
          </cell>
          <cell r="E105" t="str">
            <v>ABACUS BALI</v>
          </cell>
          <cell r="F105">
            <v>1</v>
          </cell>
          <cell r="G105" t="str">
            <v>04-Denpasar</v>
          </cell>
          <cell r="H105" t="str">
            <v>B</v>
          </cell>
          <cell r="I105" t="str">
            <v>ATM</v>
          </cell>
          <cell r="J105" t="str">
            <v>Denpasar</v>
          </cell>
          <cell r="K105" t="str">
            <v>Bali Nusra</v>
          </cell>
          <cell r="L105" t="str">
            <v xml:space="preserve">MON-SUN </v>
          </cell>
          <cell r="M105" t="str">
            <v>(00:00 - 23:59)</v>
          </cell>
          <cell r="N105">
            <v>0</v>
          </cell>
          <cell r="O105">
            <v>0</v>
          </cell>
          <cell r="P105">
            <v>0</v>
          </cell>
          <cell r="Q105">
            <v>1440</v>
          </cell>
        </row>
        <row r="106">
          <cell r="B106" t="str">
            <v>068Y</v>
          </cell>
          <cell r="C106" t="str">
            <v>Farozan Ali Fahmi</v>
          </cell>
          <cell r="D106" t="str">
            <v>Alfa Q229 WR Supratman II</v>
          </cell>
          <cell r="E106" t="str">
            <v>ABACUS BALI</v>
          </cell>
          <cell r="F106">
            <v>1</v>
          </cell>
          <cell r="G106" t="str">
            <v>04-Denpasar</v>
          </cell>
          <cell r="H106" t="str">
            <v>B</v>
          </cell>
          <cell r="I106" t="str">
            <v>ATM</v>
          </cell>
          <cell r="J106" t="str">
            <v>Denpasar</v>
          </cell>
          <cell r="K106" t="str">
            <v>Bali Nusra</v>
          </cell>
          <cell r="L106" t="str">
            <v xml:space="preserve">MON-SUN </v>
          </cell>
          <cell r="M106" t="str">
            <v>(00:00 - 23:59)</v>
          </cell>
          <cell r="N106">
            <v>0</v>
          </cell>
          <cell r="O106">
            <v>0</v>
          </cell>
          <cell r="P106">
            <v>0</v>
          </cell>
          <cell r="Q106">
            <v>1440</v>
          </cell>
        </row>
        <row r="107">
          <cell r="B107" t="str">
            <v>074Z</v>
          </cell>
          <cell r="C107" t="str">
            <v>Eko Adi Sugiyantoro</v>
          </cell>
          <cell r="D107" t="str">
            <v>Canggu Plaza 1</v>
          </cell>
          <cell r="E107" t="str">
            <v>ABACUS BALI</v>
          </cell>
          <cell r="F107">
            <v>1</v>
          </cell>
          <cell r="G107" t="str">
            <v>04-Denpasar</v>
          </cell>
          <cell r="H107" t="str">
            <v>B</v>
          </cell>
          <cell r="I107" t="str">
            <v>ATM</v>
          </cell>
          <cell r="J107" t="str">
            <v>Denpasar</v>
          </cell>
          <cell r="K107" t="str">
            <v>Bali Nusra</v>
          </cell>
          <cell r="L107" t="str">
            <v xml:space="preserve">MON-SUN </v>
          </cell>
          <cell r="M107" t="str">
            <v>(00:00 - 23:59)</v>
          </cell>
          <cell r="N107">
            <v>0</v>
          </cell>
          <cell r="O107">
            <v>0</v>
          </cell>
          <cell r="P107">
            <v>0</v>
          </cell>
          <cell r="Q107">
            <v>1440</v>
          </cell>
        </row>
        <row r="108">
          <cell r="B108" t="str">
            <v>093U</v>
          </cell>
          <cell r="C108" t="str">
            <v>Farozan Ali Fahmi</v>
          </cell>
          <cell r="D108" t="str">
            <v>Bali Palm Resort</v>
          </cell>
          <cell r="E108" t="str">
            <v>ABACUS BALI</v>
          </cell>
          <cell r="F108">
            <v>2</v>
          </cell>
          <cell r="G108" t="str">
            <v>04-Denpasar</v>
          </cell>
          <cell r="H108" t="str">
            <v>B</v>
          </cell>
          <cell r="I108" t="str">
            <v>ATM</v>
          </cell>
          <cell r="J108" t="str">
            <v>Denpasar</v>
          </cell>
          <cell r="K108" t="str">
            <v>Bali Nusra</v>
          </cell>
          <cell r="L108" t="str">
            <v xml:space="preserve">MON-SUN </v>
          </cell>
          <cell r="M108" t="str">
            <v>(00:00 - 23:59)</v>
          </cell>
          <cell r="N108">
            <v>0</v>
          </cell>
          <cell r="O108">
            <v>0</v>
          </cell>
          <cell r="P108">
            <v>0</v>
          </cell>
          <cell r="Q108">
            <v>1440</v>
          </cell>
        </row>
        <row r="109">
          <cell r="B109" t="str">
            <v>1017</v>
          </cell>
          <cell r="C109" t="str">
            <v>I Putu Dendy Pratama</v>
          </cell>
          <cell r="D109" t="str">
            <v>United Indo Bali Kuta</v>
          </cell>
          <cell r="E109" t="str">
            <v>ABACUS BALI</v>
          </cell>
          <cell r="F109">
            <v>1</v>
          </cell>
          <cell r="G109" t="str">
            <v>04-Denpasar</v>
          </cell>
          <cell r="H109" t="str">
            <v>B</v>
          </cell>
          <cell r="I109" t="str">
            <v>ATM</v>
          </cell>
          <cell r="J109" t="str">
            <v>Denpasar</v>
          </cell>
          <cell r="K109" t="str">
            <v>Bali Nusra</v>
          </cell>
          <cell r="L109" t="str">
            <v xml:space="preserve">MON-SUN </v>
          </cell>
          <cell r="M109" t="str">
            <v>(00:00 - 23:59)</v>
          </cell>
          <cell r="N109">
            <v>0</v>
          </cell>
          <cell r="O109">
            <v>0</v>
          </cell>
          <cell r="P109">
            <v>0</v>
          </cell>
          <cell r="Q109">
            <v>1440</v>
          </cell>
        </row>
        <row r="110">
          <cell r="B110" t="str">
            <v>135A</v>
          </cell>
          <cell r="C110" t="str">
            <v>Bambang Yuniarko</v>
          </cell>
          <cell r="D110" t="str">
            <v>CK 0252 Letda Made Putra</v>
          </cell>
          <cell r="E110" t="str">
            <v>ANDALAN BALI</v>
          </cell>
          <cell r="F110">
            <v>1</v>
          </cell>
          <cell r="G110" t="str">
            <v>04-Denpasar</v>
          </cell>
          <cell r="H110" t="str">
            <v>B</v>
          </cell>
          <cell r="I110" t="str">
            <v>ATM</v>
          </cell>
          <cell r="J110" t="str">
            <v>Denpasar</v>
          </cell>
          <cell r="K110" t="str">
            <v>Bali Nusra</v>
          </cell>
          <cell r="L110" t="str">
            <v xml:space="preserve">MON-SUN </v>
          </cell>
          <cell r="M110" t="str">
            <v>(00:00 - 23:59)</v>
          </cell>
          <cell r="N110">
            <v>1</v>
          </cell>
          <cell r="O110">
            <v>53</v>
          </cell>
          <cell r="P110">
            <v>3.68</v>
          </cell>
          <cell r="Q110">
            <v>1440</v>
          </cell>
        </row>
        <row r="111">
          <cell r="B111" t="str">
            <v>139P</v>
          </cell>
          <cell r="C111" t="str">
            <v>I Putu Dendy Pratama</v>
          </cell>
          <cell r="D111" t="str">
            <v>CK CK0109 Melasti</v>
          </cell>
          <cell r="E111" t="str">
            <v>ABACUS BALI</v>
          </cell>
          <cell r="F111">
            <v>1</v>
          </cell>
          <cell r="G111" t="str">
            <v>04-Denpasar</v>
          </cell>
          <cell r="H111" t="str">
            <v>B</v>
          </cell>
          <cell r="I111" t="str">
            <v>ATM</v>
          </cell>
          <cell r="J111" t="str">
            <v>Denpasar</v>
          </cell>
          <cell r="K111" t="str">
            <v>Bali Nusra</v>
          </cell>
          <cell r="L111" t="str">
            <v xml:space="preserve">MON-SUN </v>
          </cell>
          <cell r="M111" t="str">
            <v>(00:00 - 23:59)</v>
          </cell>
          <cell r="N111">
            <v>0</v>
          </cell>
          <cell r="O111">
            <v>0</v>
          </cell>
          <cell r="P111">
            <v>0</v>
          </cell>
          <cell r="Q111">
            <v>1440</v>
          </cell>
        </row>
        <row r="112">
          <cell r="B112" t="str">
            <v>139T</v>
          </cell>
          <cell r="C112" t="str">
            <v>Suhel Risdianto</v>
          </cell>
          <cell r="D112" t="str">
            <v>CK CK0136 Br Semer</v>
          </cell>
          <cell r="E112" t="str">
            <v>ABACUS BALI</v>
          </cell>
          <cell r="F112">
            <v>1</v>
          </cell>
          <cell r="G112" t="str">
            <v>04-Denpasar</v>
          </cell>
          <cell r="H112" t="str">
            <v>B</v>
          </cell>
          <cell r="I112" t="str">
            <v>ATM</v>
          </cell>
          <cell r="J112" t="str">
            <v>Denpasar</v>
          </cell>
          <cell r="K112" t="str">
            <v>Bali Nusra</v>
          </cell>
          <cell r="L112" t="str">
            <v xml:space="preserve">MON-SUN </v>
          </cell>
          <cell r="M112" t="str">
            <v>(00:00 - 23:59)</v>
          </cell>
          <cell r="N112">
            <v>0</v>
          </cell>
          <cell r="O112">
            <v>0</v>
          </cell>
          <cell r="P112">
            <v>0</v>
          </cell>
          <cell r="Q112">
            <v>1440</v>
          </cell>
        </row>
        <row r="113">
          <cell r="B113" t="str">
            <v>139U</v>
          </cell>
          <cell r="C113" t="str">
            <v>Arif Rahman Hakim</v>
          </cell>
          <cell r="D113" t="str">
            <v>CK CK0137 Nusa Dua Tragia</v>
          </cell>
          <cell r="E113" t="str">
            <v>ABACUS BALI</v>
          </cell>
          <cell r="F113">
            <v>1</v>
          </cell>
          <cell r="G113" t="str">
            <v>04-Denpasar</v>
          </cell>
          <cell r="H113" t="str">
            <v>B</v>
          </cell>
          <cell r="I113" t="str">
            <v>ATM</v>
          </cell>
          <cell r="J113" t="str">
            <v>Denpasar</v>
          </cell>
          <cell r="K113" t="str">
            <v>Bali Nusra</v>
          </cell>
          <cell r="L113" t="str">
            <v xml:space="preserve">MON-SUN </v>
          </cell>
          <cell r="M113" t="str">
            <v>(00:00 - 23:59)</v>
          </cell>
          <cell r="N113">
            <v>0</v>
          </cell>
          <cell r="O113">
            <v>0</v>
          </cell>
          <cell r="P113">
            <v>0</v>
          </cell>
          <cell r="Q113">
            <v>1440</v>
          </cell>
        </row>
        <row r="114">
          <cell r="B114" t="str">
            <v>142Z</v>
          </cell>
          <cell r="C114" t="str">
            <v>Bambang Yuniarko</v>
          </cell>
          <cell r="D114" t="str">
            <v>CK CK0190 Petitenget</v>
          </cell>
          <cell r="E114" t="str">
            <v>ABACUS BALI</v>
          </cell>
          <cell r="F114">
            <v>1</v>
          </cell>
          <cell r="G114" t="str">
            <v>04-Denpasar</v>
          </cell>
          <cell r="H114" t="str">
            <v>B</v>
          </cell>
          <cell r="I114" t="str">
            <v>ATM</v>
          </cell>
          <cell r="J114" t="str">
            <v>Denpasar</v>
          </cell>
          <cell r="K114" t="str">
            <v>Bali Nusra</v>
          </cell>
          <cell r="L114" t="str">
            <v xml:space="preserve">MON-SUN </v>
          </cell>
          <cell r="M114" t="str">
            <v>(00:00 - 23:59)</v>
          </cell>
          <cell r="N114">
            <v>0</v>
          </cell>
          <cell r="O114">
            <v>0</v>
          </cell>
          <cell r="P114">
            <v>0</v>
          </cell>
          <cell r="Q114">
            <v>1440</v>
          </cell>
        </row>
        <row r="115">
          <cell r="B115" t="str">
            <v>143J</v>
          </cell>
          <cell r="C115" t="str">
            <v>Farozan Ali Fahmi</v>
          </cell>
          <cell r="D115" t="str">
            <v>CK CK0226 WR Supratman</v>
          </cell>
          <cell r="E115" t="str">
            <v>ANDALAN BALI</v>
          </cell>
          <cell r="F115">
            <v>1</v>
          </cell>
          <cell r="G115" t="str">
            <v>04-Denpasar</v>
          </cell>
          <cell r="H115" t="str">
            <v>B</v>
          </cell>
          <cell r="I115" t="str">
            <v>ATM</v>
          </cell>
          <cell r="J115" t="str">
            <v>Denpasar</v>
          </cell>
          <cell r="K115" t="str">
            <v>Bali Nusra</v>
          </cell>
          <cell r="L115" t="str">
            <v xml:space="preserve">MON-SUN </v>
          </cell>
          <cell r="M115" t="str">
            <v>(00:00 - 23:59)</v>
          </cell>
          <cell r="N115">
            <v>0</v>
          </cell>
          <cell r="O115">
            <v>0</v>
          </cell>
          <cell r="P115">
            <v>0</v>
          </cell>
          <cell r="Q115">
            <v>1440</v>
          </cell>
        </row>
        <row r="116">
          <cell r="B116" t="str">
            <v>144Z</v>
          </cell>
          <cell r="C116" t="str">
            <v>Muhammad Ngainun Najib</v>
          </cell>
          <cell r="D116" t="str">
            <v>Yamaha Ngurah Rai</v>
          </cell>
          <cell r="E116" t="str">
            <v>ABACUS BALI</v>
          </cell>
          <cell r="F116">
            <v>1</v>
          </cell>
          <cell r="G116" t="str">
            <v>04-Denpasar</v>
          </cell>
          <cell r="H116" t="str">
            <v>B</v>
          </cell>
          <cell r="I116" t="str">
            <v>ATM</v>
          </cell>
          <cell r="J116" t="str">
            <v>Denpasar</v>
          </cell>
          <cell r="K116" t="str">
            <v>Bali Nusra</v>
          </cell>
          <cell r="L116" t="str">
            <v xml:space="preserve">MON-SUN </v>
          </cell>
          <cell r="M116" t="str">
            <v>(00:00 - 23:59)</v>
          </cell>
          <cell r="N116">
            <v>0</v>
          </cell>
          <cell r="O116">
            <v>0</v>
          </cell>
          <cell r="P116">
            <v>0</v>
          </cell>
          <cell r="Q116">
            <v>1440</v>
          </cell>
        </row>
        <row r="117">
          <cell r="B117" t="str">
            <v>164B</v>
          </cell>
          <cell r="C117" t="str">
            <v>Farozan Ali Fahmi</v>
          </cell>
          <cell r="D117" t="str">
            <v>Alfa Goa Gajah Gianyar</v>
          </cell>
          <cell r="E117" t="str">
            <v>ABACUS BALI</v>
          </cell>
          <cell r="F117">
            <v>2</v>
          </cell>
          <cell r="G117" t="str">
            <v>04-Denpasar</v>
          </cell>
          <cell r="H117" t="str">
            <v>B</v>
          </cell>
          <cell r="I117" t="str">
            <v>ATM</v>
          </cell>
          <cell r="J117" t="str">
            <v>Denpasar</v>
          </cell>
          <cell r="K117" t="str">
            <v>Bali Nusra</v>
          </cell>
          <cell r="L117" t="str">
            <v xml:space="preserve">MON-SUN </v>
          </cell>
          <cell r="M117" t="str">
            <v>(07:00 - 22:00)</v>
          </cell>
          <cell r="N117">
            <v>0</v>
          </cell>
          <cell r="O117">
            <v>0</v>
          </cell>
          <cell r="P117">
            <v>0</v>
          </cell>
          <cell r="Q117">
            <v>900</v>
          </cell>
        </row>
        <row r="118">
          <cell r="B118" t="str">
            <v>164E</v>
          </cell>
          <cell r="C118" t="str">
            <v>I Putu Dendy Pratama</v>
          </cell>
          <cell r="D118" t="str">
            <v>Papaya Fresh Gallery</v>
          </cell>
          <cell r="E118" t="str">
            <v>ABACUS BALI</v>
          </cell>
          <cell r="F118">
            <v>1</v>
          </cell>
          <cell r="G118" t="str">
            <v>04-Denpasar</v>
          </cell>
          <cell r="H118" t="str">
            <v>B</v>
          </cell>
          <cell r="I118" t="str">
            <v>ATM</v>
          </cell>
          <cell r="J118" t="str">
            <v>Denpasar</v>
          </cell>
          <cell r="K118" t="str">
            <v>Bali Nusra</v>
          </cell>
          <cell r="L118" t="str">
            <v xml:space="preserve">MON-SUN </v>
          </cell>
          <cell r="M118" t="str">
            <v>(00:00 - 23:59)</v>
          </cell>
          <cell r="N118">
            <v>0</v>
          </cell>
          <cell r="O118">
            <v>0</v>
          </cell>
          <cell r="P118">
            <v>0</v>
          </cell>
          <cell r="Q118">
            <v>1440</v>
          </cell>
        </row>
        <row r="119">
          <cell r="B119" t="str">
            <v>164R</v>
          </cell>
          <cell r="C119" t="str">
            <v>Yunarius Raynold Gege</v>
          </cell>
          <cell r="D119" t="str">
            <v>SPBU Mitra Kupang</v>
          </cell>
          <cell r="E119" t="str">
            <v>ADVANTAGE KUPANG</v>
          </cell>
          <cell r="F119">
            <v>1</v>
          </cell>
          <cell r="G119" t="str">
            <v>04-Denpasar</v>
          </cell>
          <cell r="H119" t="str">
            <v>B</v>
          </cell>
          <cell r="I119" t="str">
            <v>ATM</v>
          </cell>
          <cell r="J119" t="str">
            <v>Kupang</v>
          </cell>
          <cell r="K119" t="str">
            <v>Bali Nusra</v>
          </cell>
          <cell r="L119" t="str">
            <v xml:space="preserve">MON-SUN </v>
          </cell>
          <cell r="M119" t="str">
            <v>(00:00 - 23:59)</v>
          </cell>
          <cell r="N119">
            <v>0</v>
          </cell>
          <cell r="O119">
            <v>0</v>
          </cell>
          <cell r="P119">
            <v>0</v>
          </cell>
          <cell r="Q119">
            <v>1440</v>
          </cell>
        </row>
        <row r="120">
          <cell r="B120" t="str">
            <v>175C</v>
          </cell>
          <cell r="C120" t="str">
            <v>Arif Rahman Hakim</v>
          </cell>
          <cell r="D120" t="str">
            <v>Padang Padang in</v>
          </cell>
          <cell r="E120" t="str">
            <v>ABACUS BALI</v>
          </cell>
          <cell r="F120">
            <v>1</v>
          </cell>
          <cell r="G120" t="str">
            <v>04-Denpasar</v>
          </cell>
          <cell r="H120" t="str">
            <v>B</v>
          </cell>
          <cell r="I120" t="str">
            <v>ATM</v>
          </cell>
          <cell r="J120" t="str">
            <v>Denpasar</v>
          </cell>
          <cell r="K120" t="str">
            <v>Bali Nusra</v>
          </cell>
          <cell r="L120" t="str">
            <v xml:space="preserve">MON-SUN </v>
          </cell>
          <cell r="M120" t="str">
            <v>(00:00 - 23:59)</v>
          </cell>
          <cell r="N120">
            <v>0</v>
          </cell>
          <cell r="O120">
            <v>0</v>
          </cell>
          <cell r="P120">
            <v>0</v>
          </cell>
          <cell r="Q120">
            <v>1440</v>
          </cell>
        </row>
        <row r="121">
          <cell r="B121" t="str">
            <v>1850</v>
          </cell>
          <cell r="C121" t="str">
            <v>Bambang Yuniarko</v>
          </cell>
          <cell r="D121" t="str">
            <v>RS Surya Husada</v>
          </cell>
          <cell r="E121" t="str">
            <v>ANDALAN BALI</v>
          </cell>
          <cell r="F121">
            <v>1</v>
          </cell>
          <cell r="G121" t="str">
            <v>04-Denpasar</v>
          </cell>
          <cell r="H121" t="str">
            <v>B</v>
          </cell>
          <cell r="I121" t="str">
            <v>ATM</v>
          </cell>
          <cell r="J121" t="str">
            <v>Denpasar</v>
          </cell>
          <cell r="K121" t="str">
            <v>Bali Nusra</v>
          </cell>
          <cell r="L121" t="str">
            <v xml:space="preserve">MON-SUN </v>
          </cell>
          <cell r="M121" t="str">
            <v>(00:00 - 23:59)</v>
          </cell>
          <cell r="N121">
            <v>0</v>
          </cell>
          <cell r="O121">
            <v>0</v>
          </cell>
          <cell r="P121">
            <v>0</v>
          </cell>
          <cell r="Q121">
            <v>1440</v>
          </cell>
        </row>
        <row r="122">
          <cell r="B122" t="str">
            <v>194Y</v>
          </cell>
          <cell r="C122" t="str">
            <v>Farozan Ali Fahmi</v>
          </cell>
          <cell r="D122" t="str">
            <v>Pelabuhan Padang Bai</v>
          </cell>
          <cell r="E122" t="str">
            <v>ABACUS BALI</v>
          </cell>
          <cell r="F122">
            <v>2</v>
          </cell>
          <cell r="G122" t="str">
            <v>04-Denpasar</v>
          </cell>
          <cell r="H122" t="str">
            <v>B</v>
          </cell>
          <cell r="I122" t="str">
            <v>ATM</v>
          </cell>
          <cell r="J122" t="str">
            <v>Denpasar</v>
          </cell>
          <cell r="K122" t="str">
            <v>Bali Nusra</v>
          </cell>
          <cell r="L122" t="str">
            <v xml:space="preserve">MON-SUN </v>
          </cell>
          <cell r="M122" t="str">
            <v>(00:00 - 23:59)</v>
          </cell>
          <cell r="N122">
            <v>0</v>
          </cell>
          <cell r="O122">
            <v>0</v>
          </cell>
          <cell r="P122">
            <v>0</v>
          </cell>
          <cell r="Q122">
            <v>1440</v>
          </cell>
        </row>
        <row r="123">
          <cell r="B123" t="str">
            <v>2045</v>
          </cell>
          <cell r="C123" t="str">
            <v>Muhammad Ngainun Najib</v>
          </cell>
          <cell r="D123" t="str">
            <v>Klinik Tiara Husada Tuban</v>
          </cell>
          <cell r="E123" t="str">
            <v>ABACUS BALI</v>
          </cell>
          <cell r="F123">
            <v>1</v>
          </cell>
          <cell r="G123" t="str">
            <v>04-Denpasar</v>
          </cell>
          <cell r="H123" t="str">
            <v>B</v>
          </cell>
          <cell r="I123" t="str">
            <v>ATM</v>
          </cell>
          <cell r="J123" t="str">
            <v>Denpasar</v>
          </cell>
          <cell r="K123" t="str">
            <v>Bali Nusra</v>
          </cell>
          <cell r="L123" t="str">
            <v xml:space="preserve">MON-SUN </v>
          </cell>
          <cell r="M123" t="str">
            <v>(00:00 - 23:59)</v>
          </cell>
          <cell r="N123">
            <v>0</v>
          </cell>
          <cell r="O123">
            <v>0</v>
          </cell>
          <cell r="P123">
            <v>0</v>
          </cell>
          <cell r="Q123">
            <v>1440</v>
          </cell>
        </row>
        <row r="124">
          <cell r="B124" t="str">
            <v>205H</v>
          </cell>
          <cell r="C124" t="str">
            <v>Muhammad Ngainun Najib</v>
          </cell>
          <cell r="D124" t="str">
            <v>Krisna Oleh Oleh Tuban</v>
          </cell>
          <cell r="E124" t="str">
            <v>ABACUS BALI</v>
          </cell>
          <cell r="F124">
            <v>1</v>
          </cell>
          <cell r="G124" t="str">
            <v>04-Denpasar</v>
          </cell>
          <cell r="H124" t="str">
            <v>B</v>
          </cell>
          <cell r="I124" t="str">
            <v>ATM</v>
          </cell>
          <cell r="J124" t="str">
            <v>Denpasar</v>
          </cell>
          <cell r="K124" t="str">
            <v>Bali Nusra</v>
          </cell>
          <cell r="L124" t="str">
            <v xml:space="preserve">MON-SUN </v>
          </cell>
          <cell r="M124" t="str">
            <v>(00:00 - 23:59)</v>
          </cell>
          <cell r="N124">
            <v>0</v>
          </cell>
          <cell r="O124">
            <v>0</v>
          </cell>
          <cell r="P124">
            <v>0</v>
          </cell>
          <cell r="Q124">
            <v>1440</v>
          </cell>
        </row>
        <row r="125">
          <cell r="B125" t="str">
            <v>226K</v>
          </cell>
          <cell r="C125" t="str">
            <v>Farozan Ali Fahmi</v>
          </cell>
          <cell r="D125" t="str">
            <v>Dapur Lebih Gianyar</v>
          </cell>
          <cell r="E125" t="str">
            <v>ABACUS BALI</v>
          </cell>
          <cell r="F125">
            <v>1</v>
          </cell>
          <cell r="G125" t="str">
            <v>04-Denpasar</v>
          </cell>
          <cell r="H125" t="str">
            <v>B</v>
          </cell>
          <cell r="I125" t="str">
            <v>ATM</v>
          </cell>
          <cell r="J125" t="str">
            <v>Denpasar</v>
          </cell>
          <cell r="K125" t="str">
            <v>Bali Nusra</v>
          </cell>
          <cell r="L125" t="str">
            <v xml:space="preserve">MON-SUN </v>
          </cell>
          <cell r="M125" t="str">
            <v>(00:00 - 23:59)</v>
          </cell>
          <cell r="N125">
            <v>1</v>
          </cell>
          <cell r="O125">
            <v>37</v>
          </cell>
          <cell r="P125">
            <v>2.57</v>
          </cell>
          <cell r="Q125">
            <v>1440</v>
          </cell>
        </row>
        <row r="126">
          <cell r="B126" t="str">
            <v>226L</v>
          </cell>
          <cell r="C126" t="str">
            <v>I Putu Dendy Pratama</v>
          </cell>
          <cell r="D126" t="str">
            <v>Boshe Club</v>
          </cell>
          <cell r="E126" t="str">
            <v>ABACUS BALI</v>
          </cell>
          <cell r="F126">
            <v>1</v>
          </cell>
          <cell r="G126" t="str">
            <v>04-Denpasar</v>
          </cell>
          <cell r="H126" t="str">
            <v>B</v>
          </cell>
          <cell r="I126" t="str">
            <v>ATM</v>
          </cell>
          <cell r="J126" t="str">
            <v>Denpasar</v>
          </cell>
          <cell r="K126" t="str">
            <v>Bali Nusra</v>
          </cell>
          <cell r="L126" t="str">
            <v xml:space="preserve">MON-SUN </v>
          </cell>
          <cell r="M126" t="str">
            <v>(00:00 - 23:59)</v>
          </cell>
          <cell r="N126">
            <v>0</v>
          </cell>
          <cell r="O126">
            <v>0</v>
          </cell>
          <cell r="P126">
            <v>0</v>
          </cell>
          <cell r="Q126">
            <v>1440</v>
          </cell>
        </row>
        <row r="127">
          <cell r="B127" t="str">
            <v>238X</v>
          </cell>
          <cell r="C127" t="str">
            <v>Leonardo A Ruly</v>
          </cell>
          <cell r="D127" t="str">
            <v>Hotel Cendana</v>
          </cell>
          <cell r="E127" t="str">
            <v>ADVANTAGE KUPANG</v>
          </cell>
          <cell r="F127">
            <v>1</v>
          </cell>
          <cell r="G127" t="str">
            <v>04-Denpasar</v>
          </cell>
          <cell r="H127" t="str">
            <v>B</v>
          </cell>
          <cell r="I127" t="str">
            <v>ATM</v>
          </cell>
          <cell r="J127" t="str">
            <v>Kupang</v>
          </cell>
          <cell r="K127" t="str">
            <v>Bali Nusra</v>
          </cell>
          <cell r="L127" t="str">
            <v xml:space="preserve">MON-SUN </v>
          </cell>
          <cell r="M127" t="str">
            <v>(00:00 - 23:59)</v>
          </cell>
          <cell r="N127">
            <v>0</v>
          </cell>
          <cell r="O127">
            <v>0</v>
          </cell>
          <cell r="P127">
            <v>0</v>
          </cell>
          <cell r="Q127">
            <v>1440</v>
          </cell>
        </row>
        <row r="128">
          <cell r="B128" t="str">
            <v>253H</v>
          </cell>
          <cell r="C128" t="str">
            <v>Muhammad Gufron Sofyan</v>
          </cell>
          <cell r="D128" t="str">
            <v>Hotel Adi Asri</v>
          </cell>
          <cell r="E128" t="str">
            <v>ABACUS BALI</v>
          </cell>
          <cell r="F128">
            <v>2</v>
          </cell>
          <cell r="G128" t="str">
            <v>04-Denpasar</v>
          </cell>
          <cell r="H128" t="str">
            <v>B</v>
          </cell>
          <cell r="I128" t="str">
            <v>ATM</v>
          </cell>
          <cell r="J128" t="str">
            <v>Negara</v>
          </cell>
          <cell r="K128" t="str">
            <v>Bali Nusra</v>
          </cell>
          <cell r="L128" t="str">
            <v xml:space="preserve">MON-SUN </v>
          </cell>
          <cell r="M128" t="str">
            <v>(00:00 - 23:59)</v>
          </cell>
          <cell r="N128">
            <v>0</v>
          </cell>
          <cell r="O128">
            <v>0</v>
          </cell>
          <cell r="P128">
            <v>0</v>
          </cell>
          <cell r="Q128">
            <v>1440</v>
          </cell>
        </row>
        <row r="129">
          <cell r="B129" t="str">
            <v>2574</v>
          </cell>
          <cell r="C129" t="str">
            <v>I Putu Dendy Pratama</v>
          </cell>
          <cell r="D129" t="str">
            <v>CK 151 Pulau Bungin</v>
          </cell>
          <cell r="E129" t="str">
            <v>ABACUS BALI</v>
          </cell>
          <cell r="F129">
            <v>1</v>
          </cell>
          <cell r="G129" t="str">
            <v>04-Denpasar</v>
          </cell>
          <cell r="H129" t="str">
            <v>B</v>
          </cell>
          <cell r="I129" t="str">
            <v>ATM</v>
          </cell>
          <cell r="J129" t="str">
            <v>Denpasar</v>
          </cell>
          <cell r="K129" t="str">
            <v>Bali Nusra</v>
          </cell>
          <cell r="L129" t="str">
            <v xml:space="preserve">MON-SUN </v>
          </cell>
          <cell r="M129" t="str">
            <v>(00:00 - 23:59)</v>
          </cell>
          <cell r="N129">
            <v>0</v>
          </cell>
          <cell r="O129">
            <v>0</v>
          </cell>
          <cell r="P129">
            <v>0</v>
          </cell>
          <cell r="Q129">
            <v>1440</v>
          </cell>
        </row>
        <row r="130">
          <cell r="B130" t="str">
            <v>2578</v>
          </cell>
          <cell r="C130" t="str">
            <v>Farozan Ali Fahmi</v>
          </cell>
          <cell r="D130" t="str">
            <v>Toko Sepatu Surabaya</v>
          </cell>
          <cell r="E130" t="str">
            <v>ANDALAN BALI</v>
          </cell>
          <cell r="F130">
            <v>1</v>
          </cell>
          <cell r="G130" t="str">
            <v>04-Denpasar</v>
          </cell>
          <cell r="H130" t="str">
            <v>B</v>
          </cell>
          <cell r="I130" t="str">
            <v>ATM</v>
          </cell>
          <cell r="J130" t="str">
            <v>Denpasar</v>
          </cell>
          <cell r="K130" t="str">
            <v>Bali Nusra</v>
          </cell>
          <cell r="L130" t="str">
            <v xml:space="preserve">MON-SUN </v>
          </cell>
          <cell r="M130" t="str">
            <v>(00:00 - 23:59)</v>
          </cell>
          <cell r="N130">
            <v>0</v>
          </cell>
          <cell r="O130">
            <v>0</v>
          </cell>
          <cell r="P130">
            <v>0</v>
          </cell>
          <cell r="Q130">
            <v>1440</v>
          </cell>
        </row>
        <row r="131">
          <cell r="B131" t="str">
            <v>262R</v>
          </cell>
          <cell r="C131" t="str">
            <v>Lalu Riswan Hadi</v>
          </cell>
          <cell r="D131" t="str">
            <v>SPBU Bengkel</v>
          </cell>
          <cell r="E131" t="str">
            <v>ADVANTAGE CAKRANEGARA</v>
          </cell>
          <cell r="F131">
            <v>1</v>
          </cell>
          <cell r="G131" t="str">
            <v>04-Denpasar</v>
          </cell>
          <cell r="H131" t="str">
            <v>B</v>
          </cell>
          <cell r="I131" t="str">
            <v>ATM</v>
          </cell>
          <cell r="J131" t="str">
            <v>Mataram</v>
          </cell>
          <cell r="K131" t="str">
            <v>Bali Nusra</v>
          </cell>
          <cell r="L131" t="str">
            <v xml:space="preserve">MON-SUN </v>
          </cell>
          <cell r="M131" t="str">
            <v>(00:00 - 23:59)</v>
          </cell>
          <cell r="N131">
            <v>0</v>
          </cell>
          <cell r="O131">
            <v>0</v>
          </cell>
          <cell r="P131">
            <v>0</v>
          </cell>
          <cell r="Q131">
            <v>1440</v>
          </cell>
        </row>
        <row r="132">
          <cell r="B132" t="str">
            <v>263L</v>
          </cell>
          <cell r="C132" t="str">
            <v>Bambang Yuniarko</v>
          </cell>
          <cell r="D132" t="str">
            <v>Circle K 113 Bal 0227 Waturenggong</v>
          </cell>
          <cell r="E132" t="str">
            <v>ANDALAN BALI</v>
          </cell>
          <cell r="F132">
            <v>1</v>
          </cell>
          <cell r="G132" t="str">
            <v>04-Denpasar</v>
          </cell>
          <cell r="H132" t="str">
            <v>B</v>
          </cell>
          <cell r="I132" t="str">
            <v>ATM</v>
          </cell>
          <cell r="J132" t="str">
            <v>Denpasar</v>
          </cell>
          <cell r="K132" t="str">
            <v>Bali Nusra</v>
          </cell>
          <cell r="L132" t="str">
            <v xml:space="preserve">MON-SUN </v>
          </cell>
          <cell r="M132" t="str">
            <v>(00:00 - 23:59)</v>
          </cell>
          <cell r="N132">
            <v>0</v>
          </cell>
          <cell r="O132">
            <v>0</v>
          </cell>
          <cell r="P132">
            <v>0</v>
          </cell>
          <cell r="Q132">
            <v>1440</v>
          </cell>
        </row>
        <row r="133">
          <cell r="B133" t="str">
            <v>273J</v>
          </cell>
          <cell r="C133" t="str">
            <v>Arif Rahman Hakim</v>
          </cell>
          <cell r="D133" t="str">
            <v>Minimarket Udayana</v>
          </cell>
          <cell r="E133" t="str">
            <v>ABACUS BALI</v>
          </cell>
          <cell r="F133">
            <v>1</v>
          </cell>
          <cell r="G133" t="str">
            <v>04-Denpasar</v>
          </cell>
          <cell r="H133" t="str">
            <v>B</v>
          </cell>
          <cell r="I133" t="str">
            <v>ATM</v>
          </cell>
          <cell r="J133" t="str">
            <v>Denpasar</v>
          </cell>
          <cell r="K133" t="str">
            <v>Bali Nusra</v>
          </cell>
          <cell r="L133" t="str">
            <v xml:space="preserve">MON-SUN </v>
          </cell>
          <cell r="M133" t="str">
            <v>(00:00 - 23:59)</v>
          </cell>
          <cell r="N133">
            <v>0</v>
          </cell>
          <cell r="O133">
            <v>0</v>
          </cell>
          <cell r="P133">
            <v>0</v>
          </cell>
          <cell r="Q133">
            <v>1440</v>
          </cell>
        </row>
        <row r="134">
          <cell r="B134" t="str">
            <v>273K</v>
          </cell>
          <cell r="C134" t="str">
            <v>Arif Rahman Hakim</v>
          </cell>
          <cell r="D134" t="str">
            <v>Pepito Express Uluwatu</v>
          </cell>
          <cell r="E134" t="str">
            <v>ABACUS BALI</v>
          </cell>
          <cell r="F134">
            <v>1</v>
          </cell>
          <cell r="G134" t="str">
            <v>04-Denpasar</v>
          </cell>
          <cell r="H134" t="str">
            <v>B</v>
          </cell>
          <cell r="I134" t="str">
            <v>ATM</v>
          </cell>
          <cell r="J134" t="str">
            <v>Denpasar</v>
          </cell>
          <cell r="K134" t="str">
            <v>Bali Nusra</v>
          </cell>
          <cell r="L134" t="str">
            <v xml:space="preserve">MON-SUN </v>
          </cell>
          <cell r="M134" t="str">
            <v>(00:00 - 23:59)</v>
          </cell>
          <cell r="N134">
            <v>0</v>
          </cell>
          <cell r="O134">
            <v>0</v>
          </cell>
          <cell r="P134">
            <v>0</v>
          </cell>
          <cell r="Q134">
            <v>1440</v>
          </cell>
        </row>
        <row r="135">
          <cell r="B135" t="str">
            <v>273M</v>
          </cell>
          <cell r="C135" t="str">
            <v>I Putu Dendy Pratama</v>
          </cell>
          <cell r="D135" t="str">
            <v>Minimarket Pantai Kuta ( JLP III )</v>
          </cell>
          <cell r="E135" t="str">
            <v>ABACUS BALI</v>
          </cell>
          <cell r="F135">
            <v>1</v>
          </cell>
          <cell r="G135" t="str">
            <v>04-Denpasar</v>
          </cell>
          <cell r="H135" t="str">
            <v>B</v>
          </cell>
          <cell r="I135" t="str">
            <v>ATM</v>
          </cell>
          <cell r="J135" t="str">
            <v>Denpasar</v>
          </cell>
          <cell r="K135" t="str">
            <v>Bali Nusra</v>
          </cell>
          <cell r="L135" t="str">
            <v xml:space="preserve">MON-SUN </v>
          </cell>
          <cell r="M135" t="str">
            <v>(00:00 - 23:59)</v>
          </cell>
          <cell r="N135">
            <v>0</v>
          </cell>
          <cell r="O135">
            <v>0</v>
          </cell>
          <cell r="P135">
            <v>0</v>
          </cell>
          <cell r="Q135">
            <v>1440</v>
          </cell>
        </row>
        <row r="136">
          <cell r="B136" t="str">
            <v>285L</v>
          </cell>
          <cell r="C136" t="str">
            <v>Leonardo A Ruly</v>
          </cell>
          <cell r="D136" t="str">
            <v>Bandara Eltari Kupang</v>
          </cell>
          <cell r="E136" t="str">
            <v>ADVANTAGE KUPANG</v>
          </cell>
          <cell r="F136">
            <v>1</v>
          </cell>
          <cell r="G136" t="str">
            <v>04-Denpasar</v>
          </cell>
          <cell r="H136" t="str">
            <v>B</v>
          </cell>
          <cell r="I136" t="str">
            <v>ATM</v>
          </cell>
          <cell r="J136" t="str">
            <v>Kupang</v>
          </cell>
          <cell r="K136" t="str">
            <v>Bali Nusra</v>
          </cell>
          <cell r="L136" t="str">
            <v xml:space="preserve">MON-SUN </v>
          </cell>
          <cell r="M136" t="str">
            <v>(04:00 - 23:00)</v>
          </cell>
          <cell r="N136">
            <v>0</v>
          </cell>
          <cell r="O136">
            <v>0</v>
          </cell>
          <cell r="P136">
            <v>0</v>
          </cell>
          <cell r="Q136">
            <v>1140</v>
          </cell>
        </row>
        <row r="137">
          <cell r="B137" t="str">
            <v>2900</v>
          </cell>
          <cell r="C137" t="str">
            <v>Suhel Risdianto</v>
          </cell>
          <cell r="D137" t="str">
            <v>Ryosi Japanese Restaurant</v>
          </cell>
          <cell r="E137" t="str">
            <v>ABACUS BALI</v>
          </cell>
          <cell r="F137">
            <v>1</v>
          </cell>
          <cell r="G137" t="str">
            <v>04-Denpasar</v>
          </cell>
          <cell r="H137" t="str">
            <v>B</v>
          </cell>
          <cell r="I137" t="str">
            <v>ATM</v>
          </cell>
          <cell r="J137" t="str">
            <v>Denpasar</v>
          </cell>
          <cell r="K137" t="str">
            <v>Bali Nusra</v>
          </cell>
          <cell r="L137" t="str">
            <v xml:space="preserve">MON-SUN </v>
          </cell>
          <cell r="M137" t="str">
            <v>(00:00 - 23:59)</v>
          </cell>
          <cell r="N137">
            <v>2</v>
          </cell>
          <cell r="O137">
            <v>200</v>
          </cell>
          <cell r="P137">
            <v>13.89</v>
          </cell>
          <cell r="Q137">
            <v>1440</v>
          </cell>
        </row>
        <row r="138">
          <cell r="B138" t="str">
            <v>2980</v>
          </cell>
          <cell r="C138" t="str">
            <v>Suhel Risdianto</v>
          </cell>
          <cell r="D138" t="str">
            <v>LotteM Denpasar</v>
          </cell>
          <cell r="E138" t="str">
            <v>ABACUS BALI</v>
          </cell>
          <cell r="F138">
            <v>1</v>
          </cell>
          <cell r="G138" t="str">
            <v>04-Denpasar</v>
          </cell>
          <cell r="H138" t="str">
            <v>B</v>
          </cell>
          <cell r="I138" t="str">
            <v>ATM</v>
          </cell>
          <cell r="J138" t="str">
            <v>Denpasar</v>
          </cell>
          <cell r="K138" t="str">
            <v>Bali Nusra</v>
          </cell>
          <cell r="L138" t="str">
            <v xml:space="preserve">MON-SUN </v>
          </cell>
          <cell r="M138" t="str">
            <v>(07:00 - 22:00)</v>
          </cell>
          <cell r="N138">
            <v>0</v>
          </cell>
          <cell r="O138">
            <v>0</v>
          </cell>
          <cell r="P138">
            <v>0</v>
          </cell>
          <cell r="Q138">
            <v>900</v>
          </cell>
        </row>
        <row r="139">
          <cell r="B139" t="str">
            <v>305P</v>
          </cell>
          <cell r="C139" t="str">
            <v>Revaldi Resha Wardhana</v>
          </cell>
          <cell r="D139" t="str">
            <v>CK 0244 Gunung Sanghyang</v>
          </cell>
          <cell r="E139" t="str">
            <v>ABACUS BALI</v>
          </cell>
          <cell r="F139">
            <v>1</v>
          </cell>
          <cell r="G139" t="str">
            <v>04-Denpasar</v>
          </cell>
          <cell r="H139" t="str">
            <v>B</v>
          </cell>
          <cell r="I139" t="str">
            <v>ATM</v>
          </cell>
          <cell r="J139" t="str">
            <v>Denpasar</v>
          </cell>
          <cell r="K139" t="str">
            <v>Bali Nusra</v>
          </cell>
          <cell r="L139" t="str">
            <v xml:space="preserve">MON-SUN </v>
          </cell>
          <cell r="M139" t="str">
            <v>(00:00 - 23:59)</v>
          </cell>
          <cell r="N139">
            <v>0</v>
          </cell>
          <cell r="O139">
            <v>0</v>
          </cell>
          <cell r="P139">
            <v>0</v>
          </cell>
          <cell r="Q139">
            <v>1440</v>
          </cell>
        </row>
        <row r="140">
          <cell r="B140" t="str">
            <v>305Q</v>
          </cell>
          <cell r="C140" t="str">
            <v>Eko Adi Sugiyantoro</v>
          </cell>
          <cell r="D140" t="str">
            <v>CK 0405 Munggu Mengwi</v>
          </cell>
          <cell r="E140" t="str">
            <v>ABACUS BALI</v>
          </cell>
          <cell r="F140">
            <v>1</v>
          </cell>
          <cell r="G140" t="str">
            <v>04-Denpasar</v>
          </cell>
          <cell r="H140" t="str">
            <v>B</v>
          </cell>
          <cell r="I140" t="str">
            <v>ATM</v>
          </cell>
          <cell r="J140" t="str">
            <v>Denpasar</v>
          </cell>
          <cell r="K140" t="str">
            <v>Bali Nusra</v>
          </cell>
          <cell r="L140" t="str">
            <v xml:space="preserve">MON-SUN </v>
          </cell>
          <cell r="M140" t="str">
            <v>(00:00 - 23:59)</v>
          </cell>
          <cell r="N140">
            <v>1</v>
          </cell>
          <cell r="O140">
            <v>55</v>
          </cell>
          <cell r="P140">
            <v>3.82</v>
          </cell>
          <cell r="Q140">
            <v>1440</v>
          </cell>
        </row>
        <row r="141">
          <cell r="B141" t="str">
            <v>315E</v>
          </cell>
          <cell r="C141" t="str">
            <v>Muhammad Ngainun Najib</v>
          </cell>
          <cell r="D141" t="str">
            <v>Alfa Uluwatu V</v>
          </cell>
          <cell r="E141" t="str">
            <v>ABACUS BALI</v>
          </cell>
          <cell r="F141">
            <v>1</v>
          </cell>
          <cell r="G141" t="str">
            <v>04-Denpasar</v>
          </cell>
          <cell r="H141" t="str">
            <v>B</v>
          </cell>
          <cell r="I141" t="str">
            <v>ATM</v>
          </cell>
          <cell r="J141" t="str">
            <v>Denpasar</v>
          </cell>
          <cell r="K141" t="str">
            <v>Bali Nusra</v>
          </cell>
          <cell r="L141" t="str">
            <v xml:space="preserve">MON-SUN </v>
          </cell>
          <cell r="M141" t="str">
            <v>(00:00 - 23:59)</v>
          </cell>
          <cell r="N141">
            <v>1</v>
          </cell>
          <cell r="O141">
            <v>30</v>
          </cell>
          <cell r="P141">
            <v>2.08</v>
          </cell>
          <cell r="Q141">
            <v>1440</v>
          </cell>
        </row>
        <row r="142">
          <cell r="B142" t="str">
            <v>320T</v>
          </cell>
          <cell r="C142" t="str">
            <v>Muhammad Ngainun Najib</v>
          </cell>
          <cell r="D142" t="str">
            <v>Ayana Resort Spa Bali</v>
          </cell>
          <cell r="E142" t="str">
            <v>ABACUS BALI</v>
          </cell>
          <cell r="F142">
            <v>1</v>
          </cell>
          <cell r="G142" t="str">
            <v>04-Denpasar</v>
          </cell>
          <cell r="H142" t="str">
            <v>B</v>
          </cell>
          <cell r="I142" t="str">
            <v>ATM</v>
          </cell>
          <cell r="J142" t="str">
            <v>Denpasar</v>
          </cell>
          <cell r="K142" t="str">
            <v>Bali Nusra</v>
          </cell>
          <cell r="L142" t="str">
            <v xml:space="preserve">MON-SUN </v>
          </cell>
          <cell r="M142" t="str">
            <v>(00:00 - 23:59)</v>
          </cell>
          <cell r="N142">
            <v>0</v>
          </cell>
          <cell r="O142">
            <v>0</v>
          </cell>
          <cell r="P142">
            <v>0</v>
          </cell>
          <cell r="Q142">
            <v>1440</v>
          </cell>
        </row>
        <row r="143">
          <cell r="B143" t="str">
            <v>334R</v>
          </cell>
          <cell r="C143" t="str">
            <v>Arif Rahman Hakim</v>
          </cell>
          <cell r="D143" t="str">
            <v>Pepito Express Pecatu</v>
          </cell>
          <cell r="E143" t="str">
            <v>ABACUS BALI</v>
          </cell>
          <cell r="F143">
            <v>1</v>
          </cell>
          <cell r="G143" t="str">
            <v>04-Denpasar</v>
          </cell>
          <cell r="H143" t="str">
            <v>B</v>
          </cell>
          <cell r="I143" t="str">
            <v>ATM</v>
          </cell>
          <cell r="J143" t="str">
            <v>Denpasar</v>
          </cell>
          <cell r="K143" t="str">
            <v>Bali Nusra</v>
          </cell>
          <cell r="L143" t="str">
            <v xml:space="preserve">MON-SUN </v>
          </cell>
          <cell r="M143" t="str">
            <v>(00:00 - 23:59)</v>
          </cell>
          <cell r="N143">
            <v>0</v>
          </cell>
          <cell r="O143">
            <v>0</v>
          </cell>
          <cell r="P143">
            <v>0</v>
          </cell>
          <cell r="Q143">
            <v>1440</v>
          </cell>
        </row>
        <row r="144">
          <cell r="B144" t="str">
            <v>334U</v>
          </cell>
          <cell r="C144" t="str">
            <v>Bambang Yuniarko</v>
          </cell>
          <cell r="D144" t="str">
            <v>Pepito Petitenget</v>
          </cell>
          <cell r="E144" t="str">
            <v>ABACUS BALI</v>
          </cell>
          <cell r="F144">
            <v>1</v>
          </cell>
          <cell r="G144" t="str">
            <v>04-Denpasar</v>
          </cell>
          <cell r="H144" t="str">
            <v>B</v>
          </cell>
          <cell r="I144" t="str">
            <v>ATM</v>
          </cell>
          <cell r="J144" t="str">
            <v>Denpasar</v>
          </cell>
          <cell r="K144" t="str">
            <v>Bali Nusra</v>
          </cell>
          <cell r="L144" t="str">
            <v xml:space="preserve">MON-SUN </v>
          </cell>
          <cell r="M144" t="str">
            <v>(00:00 - 23:59)</v>
          </cell>
          <cell r="N144">
            <v>0</v>
          </cell>
          <cell r="O144">
            <v>0</v>
          </cell>
          <cell r="P144">
            <v>0</v>
          </cell>
          <cell r="Q144">
            <v>1440</v>
          </cell>
        </row>
        <row r="145">
          <cell r="B145" t="str">
            <v>334V</v>
          </cell>
          <cell r="C145" t="str">
            <v>Farozan Ali Fahmi</v>
          </cell>
          <cell r="D145" t="str">
            <v>Minimart Sanur</v>
          </cell>
          <cell r="E145" t="str">
            <v>ANDALAN BALI</v>
          </cell>
          <cell r="F145">
            <v>1</v>
          </cell>
          <cell r="G145" t="str">
            <v>04-Denpasar</v>
          </cell>
          <cell r="H145" t="str">
            <v>B</v>
          </cell>
          <cell r="I145" t="str">
            <v>ATM</v>
          </cell>
          <cell r="J145" t="str">
            <v>Denpasar</v>
          </cell>
          <cell r="K145" t="str">
            <v>Bali Nusra</v>
          </cell>
          <cell r="L145" t="str">
            <v xml:space="preserve">MON-SUN </v>
          </cell>
          <cell r="M145" t="str">
            <v>(00:00 - 23:59)</v>
          </cell>
          <cell r="N145">
            <v>0</v>
          </cell>
          <cell r="O145">
            <v>0</v>
          </cell>
          <cell r="P145">
            <v>0</v>
          </cell>
          <cell r="Q145">
            <v>1440</v>
          </cell>
        </row>
        <row r="146">
          <cell r="B146" t="str">
            <v>334Z</v>
          </cell>
          <cell r="C146" t="str">
            <v>Muhammad Ngainun Najib</v>
          </cell>
          <cell r="D146" t="str">
            <v>Minimart By Pass Jimbaran</v>
          </cell>
          <cell r="E146" t="str">
            <v>ABACUS BALI</v>
          </cell>
          <cell r="F146">
            <v>1</v>
          </cell>
          <cell r="G146" t="str">
            <v>04-Denpasar</v>
          </cell>
          <cell r="H146" t="str">
            <v>B</v>
          </cell>
          <cell r="I146" t="str">
            <v>ATM</v>
          </cell>
          <cell r="J146" t="str">
            <v>Denpasar</v>
          </cell>
          <cell r="K146" t="str">
            <v>Bali Nusra</v>
          </cell>
          <cell r="L146" t="str">
            <v xml:space="preserve">MON-SUN </v>
          </cell>
          <cell r="M146" t="str">
            <v>(00:00 - 23:59)</v>
          </cell>
          <cell r="N146">
            <v>0</v>
          </cell>
          <cell r="O146">
            <v>0</v>
          </cell>
          <cell r="P146">
            <v>0</v>
          </cell>
          <cell r="Q146">
            <v>1440</v>
          </cell>
        </row>
        <row r="147">
          <cell r="B147" t="str">
            <v>3353</v>
          </cell>
          <cell r="C147" t="str">
            <v>Muhammad Ngainun Najib</v>
          </cell>
          <cell r="D147" t="str">
            <v>Pepito Supermarket</v>
          </cell>
          <cell r="E147" t="str">
            <v>ABACUS BALI</v>
          </cell>
          <cell r="F147">
            <v>1</v>
          </cell>
          <cell r="G147" t="str">
            <v>04-Denpasar</v>
          </cell>
          <cell r="H147" t="str">
            <v>B</v>
          </cell>
          <cell r="I147" t="str">
            <v>ATM</v>
          </cell>
          <cell r="J147" t="str">
            <v>Denpasar</v>
          </cell>
          <cell r="K147" t="str">
            <v>Bali Nusra</v>
          </cell>
          <cell r="L147" t="str">
            <v xml:space="preserve">MON-SUN </v>
          </cell>
          <cell r="M147" t="str">
            <v>(00:00 - 23:59)</v>
          </cell>
          <cell r="N147">
            <v>0</v>
          </cell>
          <cell r="O147">
            <v>0</v>
          </cell>
          <cell r="P147">
            <v>0</v>
          </cell>
          <cell r="Q147">
            <v>1440</v>
          </cell>
        </row>
        <row r="148">
          <cell r="B148" t="str">
            <v>345R</v>
          </cell>
          <cell r="C148" t="str">
            <v>Muhammad Hidayatullah</v>
          </cell>
          <cell r="D148" t="str">
            <v>Alfa M Yamin Selong</v>
          </cell>
          <cell r="E148" t="str">
            <v>ADVANTAGE CAKRANEGARA</v>
          </cell>
          <cell r="F148">
            <v>1</v>
          </cell>
          <cell r="G148" t="str">
            <v>04-Denpasar</v>
          </cell>
          <cell r="H148" t="str">
            <v>B</v>
          </cell>
          <cell r="I148" t="str">
            <v>ATM</v>
          </cell>
          <cell r="J148" t="str">
            <v>Lombok Timur</v>
          </cell>
          <cell r="K148" t="str">
            <v>Bali Nusra</v>
          </cell>
          <cell r="L148" t="str">
            <v xml:space="preserve">MON-SUN </v>
          </cell>
          <cell r="M148" t="str">
            <v>(07:00 - 22:00)</v>
          </cell>
          <cell r="N148">
            <v>0</v>
          </cell>
          <cell r="O148">
            <v>0</v>
          </cell>
          <cell r="P148">
            <v>0</v>
          </cell>
          <cell r="Q148">
            <v>900</v>
          </cell>
        </row>
        <row r="149">
          <cell r="B149" t="str">
            <v>353D</v>
          </cell>
          <cell r="C149" t="str">
            <v>Revaldi Resha Wardhana</v>
          </cell>
          <cell r="D149" t="str">
            <v>Bank Indonesia Denpasar</v>
          </cell>
          <cell r="E149" t="str">
            <v>ANDALAN BALI</v>
          </cell>
          <cell r="F149">
            <v>1</v>
          </cell>
          <cell r="G149" t="str">
            <v>04-Denpasar</v>
          </cell>
          <cell r="H149" t="str">
            <v>B</v>
          </cell>
          <cell r="I149" t="str">
            <v>ATM</v>
          </cell>
          <cell r="J149" t="str">
            <v>Denpasar</v>
          </cell>
          <cell r="K149" t="str">
            <v>Bali Nusra</v>
          </cell>
          <cell r="L149" t="str">
            <v xml:space="preserve">MON-FRI </v>
          </cell>
          <cell r="M149" t="str">
            <v>(08:00 - 17:00)</v>
          </cell>
          <cell r="N149">
            <v>0</v>
          </cell>
          <cell r="O149">
            <v>0</v>
          </cell>
          <cell r="P149">
            <v>0</v>
          </cell>
          <cell r="Q149">
            <v>540</v>
          </cell>
        </row>
        <row r="150">
          <cell r="B150" t="str">
            <v>355T</v>
          </cell>
          <cell r="C150" t="str">
            <v>Eko Adi Sugiyantoro</v>
          </cell>
          <cell r="D150" t="str">
            <v>Alfa Q073 Canggu</v>
          </cell>
          <cell r="E150" t="str">
            <v>ABACUS BALI</v>
          </cell>
          <cell r="F150">
            <v>1</v>
          </cell>
          <cell r="G150" t="str">
            <v>04-Denpasar</v>
          </cell>
          <cell r="H150" t="str">
            <v>B</v>
          </cell>
          <cell r="I150" t="str">
            <v>ATM</v>
          </cell>
          <cell r="J150" t="str">
            <v>Denpasar</v>
          </cell>
          <cell r="K150" t="str">
            <v>Bali Nusra</v>
          </cell>
          <cell r="L150" t="str">
            <v xml:space="preserve">MON-SUN </v>
          </cell>
          <cell r="M150" t="str">
            <v>(07:00 - 23:00)</v>
          </cell>
          <cell r="N150">
            <v>0</v>
          </cell>
          <cell r="O150">
            <v>0</v>
          </cell>
          <cell r="P150">
            <v>0</v>
          </cell>
          <cell r="Q150">
            <v>960</v>
          </cell>
        </row>
        <row r="151">
          <cell r="B151" t="str">
            <v>355U</v>
          </cell>
          <cell r="C151" t="str">
            <v>Suhel Risdianto</v>
          </cell>
          <cell r="D151" t="str">
            <v>Alfa Q215 Teuku Umar Brt</v>
          </cell>
          <cell r="E151" t="str">
            <v>ABACUS BALI</v>
          </cell>
          <cell r="F151">
            <v>1</v>
          </cell>
          <cell r="G151" t="str">
            <v>04-Denpasar</v>
          </cell>
          <cell r="H151" t="str">
            <v>B</v>
          </cell>
          <cell r="I151" t="str">
            <v>ATM</v>
          </cell>
          <cell r="J151" t="str">
            <v>Denpasar</v>
          </cell>
          <cell r="K151" t="str">
            <v>Bali Nusra</v>
          </cell>
          <cell r="L151" t="str">
            <v xml:space="preserve">MON-SUN </v>
          </cell>
          <cell r="M151" t="str">
            <v>(07:00 - 22:00)</v>
          </cell>
          <cell r="N151">
            <v>0</v>
          </cell>
          <cell r="O151">
            <v>0</v>
          </cell>
          <cell r="P151">
            <v>0</v>
          </cell>
          <cell r="Q151">
            <v>900</v>
          </cell>
        </row>
        <row r="152">
          <cell r="B152" t="str">
            <v>355V</v>
          </cell>
          <cell r="C152" t="str">
            <v>Revaldi Resha Wardhana</v>
          </cell>
          <cell r="D152" t="str">
            <v>Alfa Q231 Mambal</v>
          </cell>
          <cell r="E152" t="str">
            <v>ABACUS BALI</v>
          </cell>
          <cell r="F152">
            <v>1</v>
          </cell>
          <cell r="G152" t="str">
            <v>04-Denpasar</v>
          </cell>
          <cell r="H152" t="str">
            <v>B</v>
          </cell>
          <cell r="I152" t="str">
            <v>ATM</v>
          </cell>
          <cell r="J152" t="str">
            <v>Denpasar</v>
          </cell>
          <cell r="K152" t="str">
            <v>Bali Nusra</v>
          </cell>
          <cell r="L152" t="str">
            <v xml:space="preserve">MON-SUN </v>
          </cell>
          <cell r="M152" t="str">
            <v>(00:00 - 23:59)</v>
          </cell>
          <cell r="N152">
            <v>0</v>
          </cell>
          <cell r="O152">
            <v>0</v>
          </cell>
          <cell r="P152">
            <v>0</v>
          </cell>
          <cell r="Q152">
            <v>1440</v>
          </cell>
        </row>
        <row r="153">
          <cell r="B153" t="str">
            <v>355X</v>
          </cell>
          <cell r="C153" t="str">
            <v>Revaldi Resha Wardhana</v>
          </cell>
          <cell r="D153" t="str">
            <v>Alfa Q290 Darmasaba</v>
          </cell>
          <cell r="E153" t="str">
            <v>ABACUS BALI</v>
          </cell>
          <cell r="F153">
            <v>1</v>
          </cell>
          <cell r="G153" t="str">
            <v>04-Denpasar</v>
          </cell>
          <cell r="H153" t="str">
            <v>B</v>
          </cell>
          <cell r="I153" t="str">
            <v>ATM</v>
          </cell>
          <cell r="J153" t="str">
            <v>Denpasar</v>
          </cell>
          <cell r="K153" t="str">
            <v>Bali Nusra</v>
          </cell>
          <cell r="L153" t="str">
            <v xml:space="preserve">MON-SUN </v>
          </cell>
          <cell r="M153" t="str">
            <v>(00:00 - 23:59)</v>
          </cell>
          <cell r="N153">
            <v>0</v>
          </cell>
          <cell r="O153">
            <v>0</v>
          </cell>
          <cell r="P153">
            <v>0</v>
          </cell>
          <cell r="Q153">
            <v>1440</v>
          </cell>
        </row>
        <row r="154">
          <cell r="B154" t="str">
            <v>355Z</v>
          </cell>
          <cell r="C154" t="str">
            <v>Farozan Ali Fahmi</v>
          </cell>
          <cell r="D154" t="str">
            <v>Alfa Q312 Pejeng</v>
          </cell>
          <cell r="E154" t="str">
            <v>ABACUS BALI</v>
          </cell>
          <cell r="F154">
            <v>2</v>
          </cell>
          <cell r="G154" t="str">
            <v>04-Denpasar</v>
          </cell>
          <cell r="H154" t="str">
            <v>B</v>
          </cell>
          <cell r="I154" t="str">
            <v>ATM</v>
          </cell>
          <cell r="J154" t="str">
            <v>Denpasar</v>
          </cell>
          <cell r="K154" t="str">
            <v>Bali Nusra</v>
          </cell>
          <cell r="L154" t="str">
            <v xml:space="preserve">MON-SUN </v>
          </cell>
          <cell r="M154" t="str">
            <v>(07:00 - 22:00)</v>
          </cell>
          <cell r="N154">
            <v>0</v>
          </cell>
          <cell r="O154">
            <v>0</v>
          </cell>
          <cell r="P154">
            <v>0</v>
          </cell>
          <cell r="Q154">
            <v>900</v>
          </cell>
        </row>
        <row r="155">
          <cell r="B155" t="str">
            <v>356A</v>
          </cell>
          <cell r="C155" t="str">
            <v>Eko Adi Sugiyantoro</v>
          </cell>
          <cell r="D155" t="str">
            <v>Alfa Q318 Tibung Sari</v>
          </cell>
          <cell r="E155" t="str">
            <v>ABACUS BALI</v>
          </cell>
          <cell r="F155">
            <v>1</v>
          </cell>
          <cell r="G155" t="str">
            <v>04-Denpasar</v>
          </cell>
          <cell r="H155" t="str">
            <v>B</v>
          </cell>
          <cell r="I155" t="str">
            <v>ATM</v>
          </cell>
          <cell r="J155" t="str">
            <v>Denpasar</v>
          </cell>
          <cell r="K155" t="str">
            <v>Bali Nusra</v>
          </cell>
          <cell r="L155" t="str">
            <v xml:space="preserve">MON-SUN </v>
          </cell>
          <cell r="M155" t="str">
            <v>(07:00 - 23:00)</v>
          </cell>
          <cell r="N155">
            <v>0</v>
          </cell>
          <cell r="O155">
            <v>0</v>
          </cell>
          <cell r="P155">
            <v>0</v>
          </cell>
          <cell r="Q155">
            <v>960</v>
          </cell>
        </row>
        <row r="156">
          <cell r="B156" t="str">
            <v>365K</v>
          </cell>
          <cell r="C156" t="str">
            <v>Muhammad Ngainun Najib</v>
          </cell>
          <cell r="D156" t="str">
            <v>IDM Dewi Sartika Bali</v>
          </cell>
          <cell r="E156" t="str">
            <v>ABACUS BALI</v>
          </cell>
          <cell r="F156">
            <v>1</v>
          </cell>
          <cell r="G156" t="str">
            <v>04-Denpasar</v>
          </cell>
          <cell r="H156" t="str">
            <v>B</v>
          </cell>
          <cell r="I156" t="str">
            <v>ATM</v>
          </cell>
          <cell r="J156" t="str">
            <v>Denpasar</v>
          </cell>
          <cell r="K156" t="str">
            <v>Bali Nusra</v>
          </cell>
          <cell r="L156" t="str">
            <v xml:space="preserve">MON-SUN </v>
          </cell>
          <cell r="M156" t="str">
            <v>(00:00 - 23:59)</v>
          </cell>
          <cell r="N156">
            <v>0</v>
          </cell>
          <cell r="O156">
            <v>0</v>
          </cell>
          <cell r="P156">
            <v>0</v>
          </cell>
          <cell r="Q156">
            <v>1440</v>
          </cell>
        </row>
        <row r="157">
          <cell r="B157" t="str">
            <v>365L</v>
          </cell>
          <cell r="C157" t="str">
            <v>Suhel Risdianto</v>
          </cell>
          <cell r="D157" t="str">
            <v>IDM Mertanadi Badung</v>
          </cell>
          <cell r="E157" t="str">
            <v>ABACUS BALI</v>
          </cell>
          <cell r="F157">
            <v>1</v>
          </cell>
          <cell r="G157" t="str">
            <v>04-Denpasar</v>
          </cell>
          <cell r="H157" t="str">
            <v>B</v>
          </cell>
          <cell r="I157" t="str">
            <v>ATM</v>
          </cell>
          <cell r="J157" t="str">
            <v>Denpasar</v>
          </cell>
          <cell r="K157" t="str">
            <v>Bali Nusra</v>
          </cell>
          <cell r="L157" t="str">
            <v xml:space="preserve">MON-SUN </v>
          </cell>
          <cell r="M157" t="str">
            <v>(00:00 - 23:59)</v>
          </cell>
          <cell r="N157">
            <v>0</v>
          </cell>
          <cell r="O157">
            <v>0</v>
          </cell>
          <cell r="P157">
            <v>0</v>
          </cell>
          <cell r="Q157">
            <v>1440</v>
          </cell>
        </row>
        <row r="158">
          <cell r="B158" t="str">
            <v>365N</v>
          </cell>
          <cell r="C158" t="str">
            <v>Bambang Yuniarko</v>
          </cell>
          <cell r="D158" t="str">
            <v>IDM Tukad Pakerisan Bali</v>
          </cell>
          <cell r="E158" t="str">
            <v>ANDALAN BALI</v>
          </cell>
          <cell r="F158">
            <v>1</v>
          </cell>
          <cell r="G158" t="str">
            <v>04-Denpasar</v>
          </cell>
          <cell r="H158" t="str">
            <v>B</v>
          </cell>
          <cell r="I158" t="str">
            <v>ATM</v>
          </cell>
          <cell r="J158" t="str">
            <v>Denpasar</v>
          </cell>
          <cell r="K158" t="str">
            <v>Bali Nusra</v>
          </cell>
          <cell r="L158" t="str">
            <v xml:space="preserve">MON-SUN </v>
          </cell>
          <cell r="M158" t="str">
            <v>(00:00 - 23:59)</v>
          </cell>
          <cell r="N158">
            <v>0</v>
          </cell>
          <cell r="O158">
            <v>0</v>
          </cell>
          <cell r="P158">
            <v>0</v>
          </cell>
          <cell r="Q158">
            <v>1440</v>
          </cell>
        </row>
        <row r="159">
          <cell r="B159" t="str">
            <v>371X</v>
          </cell>
          <cell r="C159" t="str">
            <v>Revaldi Resha Wardhana</v>
          </cell>
          <cell r="D159" t="str">
            <v>Alfa Q243 Gunung Agung</v>
          </cell>
          <cell r="E159" t="str">
            <v>ABACUS BALI</v>
          </cell>
          <cell r="F159">
            <v>1</v>
          </cell>
          <cell r="G159" t="str">
            <v>04-Denpasar</v>
          </cell>
          <cell r="H159" t="str">
            <v>B</v>
          </cell>
          <cell r="I159" t="str">
            <v>ATM</v>
          </cell>
          <cell r="J159" t="str">
            <v>Denpasar</v>
          </cell>
          <cell r="K159" t="str">
            <v>Bali Nusra</v>
          </cell>
          <cell r="L159" t="str">
            <v xml:space="preserve">MON-SUN </v>
          </cell>
          <cell r="M159" t="str">
            <v>(06:00 - 22:00)</v>
          </cell>
          <cell r="N159">
            <v>0</v>
          </cell>
          <cell r="O159">
            <v>0</v>
          </cell>
          <cell r="P159">
            <v>0</v>
          </cell>
          <cell r="Q159">
            <v>960</v>
          </cell>
        </row>
        <row r="160">
          <cell r="B160" t="str">
            <v>374T</v>
          </cell>
          <cell r="C160" t="str">
            <v>Eko Adi Sugiyantoro</v>
          </cell>
          <cell r="D160" t="str">
            <v>IDM Ir Soekarno Bali</v>
          </cell>
          <cell r="E160" t="str">
            <v>ABACUS BALI</v>
          </cell>
          <cell r="F160">
            <v>1</v>
          </cell>
          <cell r="G160" t="str">
            <v>04-Denpasar</v>
          </cell>
          <cell r="H160" t="str">
            <v>B</v>
          </cell>
          <cell r="I160" t="str">
            <v>ATM</v>
          </cell>
          <cell r="J160" t="str">
            <v>Denpasar</v>
          </cell>
          <cell r="K160" t="str">
            <v>Bali Nusra</v>
          </cell>
          <cell r="L160" t="str">
            <v xml:space="preserve">MON-SUN </v>
          </cell>
          <cell r="M160" t="str">
            <v>(00:00 - 23:59)</v>
          </cell>
          <cell r="N160">
            <v>0</v>
          </cell>
          <cell r="O160">
            <v>0</v>
          </cell>
          <cell r="P160">
            <v>0</v>
          </cell>
          <cell r="Q160">
            <v>1440</v>
          </cell>
        </row>
        <row r="161">
          <cell r="B161" t="str">
            <v>383P</v>
          </cell>
          <cell r="C161" t="str">
            <v>Arif Rahman Hakim</v>
          </cell>
          <cell r="D161" t="str">
            <v>Coco Mart Goa Gong</v>
          </cell>
          <cell r="E161" t="str">
            <v>ABACUS BALI</v>
          </cell>
          <cell r="F161">
            <v>1</v>
          </cell>
          <cell r="G161" t="str">
            <v>04-Denpasar</v>
          </cell>
          <cell r="H161" t="str">
            <v>B</v>
          </cell>
          <cell r="I161" t="str">
            <v>ATM</v>
          </cell>
          <cell r="J161" t="str">
            <v>Denpasar</v>
          </cell>
          <cell r="K161" t="str">
            <v>Bali Nusra</v>
          </cell>
          <cell r="L161" t="str">
            <v xml:space="preserve">MON-SUN </v>
          </cell>
          <cell r="M161" t="str">
            <v>(00:00 - 23:59)</v>
          </cell>
          <cell r="N161">
            <v>0</v>
          </cell>
          <cell r="O161">
            <v>0</v>
          </cell>
          <cell r="P161">
            <v>0</v>
          </cell>
          <cell r="Q161">
            <v>1440</v>
          </cell>
        </row>
        <row r="162">
          <cell r="B162" t="str">
            <v>383Q</v>
          </cell>
          <cell r="C162" t="str">
            <v>Arif Rahman Hakim</v>
          </cell>
          <cell r="D162" t="str">
            <v>Coco Mart Mumbul</v>
          </cell>
          <cell r="E162" t="str">
            <v>ABACUS BALI</v>
          </cell>
          <cell r="F162">
            <v>1</v>
          </cell>
          <cell r="G162" t="str">
            <v>04-Denpasar</v>
          </cell>
          <cell r="H162" t="str">
            <v>B</v>
          </cell>
          <cell r="I162" t="str">
            <v>ATM</v>
          </cell>
          <cell r="J162" t="str">
            <v>Denpasar</v>
          </cell>
          <cell r="K162" t="str">
            <v>Bali Nusra</v>
          </cell>
          <cell r="L162" t="str">
            <v xml:space="preserve">MON-SUN </v>
          </cell>
          <cell r="M162" t="str">
            <v>(00:00 - 23:59)</v>
          </cell>
          <cell r="N162">
            <v>0</v>
          </cell>
          <cell r="O162">
            <v>0</v>
          </cell>
          <cell r="P162">
            <v>0</v>
          </cell>
          <cell r="Q162">
            <v>1440</v>
          </cell>
        </row>
        <row r="163">
          <cell r="B163" t="str">
            <v>383T</v>
          </cell>
          <cell r="C163" t="str">
            <v>Arif Rahman Hakim</v>
          </cell>
          <cell r="D163" t="str">
            <v>Coco Mart Taman Giri</v>
          </cell>
          <cell r="E163" t="str">
            <v>ABACUS BALI</v>
          </cell>
          <cell r="F163">
            <v>1</v>
          </cell>
          <cell r="G163" t="str">
            <v>04-Denpasar</v>
          </cell>
          <cell r="H163" t="str">
            <v>B</v>
          </cell>
          <cell r="I163" t="str">
            <v>ATM</v>
          </cell>
          <cell r="J163" t="str">
            <v>Denpasar</v>
          </cell>
          <cell r="K163" t="str">
            <v>Bali Nusra</v>
          </cell>
          <cell r="L163" t="str">
            <v xml:space="preserve">MON-SUN </v>
          </cell>
          <cell r="M163" t="str">
            <v>(00:00 - 23:59)</v>
          </cell>
          <cell r="N163">
            <v>0</v>
          </cell>
          <cell r="O163">
            <v>0</v>
          </cell>
          <cell r="P163">
            <v>0</v>
          </cell>
          <cell r="Q163">
            <v>1440</v>
          </cell>
        </row>
        <row r="164">
          <cell r="B164" t="str">
            <v>391N</v>
          </cell>
          <cell r="C164" t="str">
            <v>Bambang Yuniarko</v>
          </cell>
          <cell r="D164" t="str">
            <v>CK98 Pakerisan BAL0218</v>
          </cell>
          <cell r="E164" t="str">
            <v>ANDALAN BALI</v>
          </cell>
          <cell r="F164">
            <v>1</v>
          </cell>
          <cell r="G164" t="str">
            <v>04-Denpasar</v>
          </cell>
          <cell r="H164" t="str">
            <v>B</v>
          </cell>
          <cell r="I164" t="str">
            <v>ATM</v>
          </cell>
          <cell r="J164" t="str">
            <v>Denpasar</v>
          </cell>
          <cell r="K164" t="str">
            <v>Bali Nusra</v>
          </cell>
          <cell r="L164" t="str">
            <v xml:space="preserve">MON-SUN </v>
          </cell>
          <cell r="M164" t="str">
            <v>(00:00 - 23:59)</v>
          </cell>
          <cell r="N164">
            <v>0</v>
          </cell>
          <cell r="O164">
            <v>0</v>
          </cell>
          <cell r="P164">
            <v>0</v>
          </cell>
          <cell r="Q164">
            <v>1440</v>
          </cell>
        </row>
        <row r="165">
          <cell r="B165" t="str">
            <v>401D</v>
          </cell>
          <cell r="C165" t="str">
            <v>Rio Erdiansyah</v>
          </cell>
          <cell r="D165" t="str">
            <v>Krisna Oleh Oleh Sgrj</v>
          </cell>
          <cell r="E165" t="str">
            <v>ABACUS BALI</v>
          </cell>
          <cell r="F165">
            <v>1</v>
          </cell>
          <cell r="G165" t="str">
            <v>04-Denpasar</v>
          </cell>
          <cell r="H165" t="str">
            <v>B</v>
          </cell>
          <cell r="I165" t="str">
            <v>ATM</v>
          </cell>
          <cell r="J165" t="str">
            <v>Singaraja</v>
          </cell>
          <cell r="K165" t="str">
            <v>Bali Nusra</v>
          </cell>
          <cell r="L165" t="str">
            <v xml:space="preserve">MON-SUN </v>
          </cell>
          <cell r="M165" t="str">
            <v>(00:00 - 23:59)</v>
          </cell>
          <cell r="N165">
            <v>0</v>
          </cell>
          <cell r="O165">
            <v>0</v>
          </cell>
          <cell r="P165">
            <v>0</v>
          </cell>
          <cell r="Q165">
            <v>1440</v>
          </cell>
        </row>
        <row r="166">
          <cell r="B166" t="str">
            <v>405F</v>
          </cell>
          <cell r="C166" t="str">
            <v>Bambang Yuniarko</v>
          </cell>
          <cell r="D166" t="str">
            <v>Koperasi Mitra Karya</v>
          </cell>
          <cell r="E166" t="str">
            <v>ANDALAN BALI</v>
          </cell>
          <cell r="F166">
            <v>1</v>
          </cell>
          <cell r="G166" t="str">
            <v>04-Denpasar</v>
          </cell>
          <cell r="H166" t="str">
            <v>B</v>
          </cell>
          <cell r="I166" t="str">
            <v>ATM</v>
          </cell>
          <cell r="J166" t="str">
            <v>Denpasar</v>
          </cell>
          <cell r="K166" t="str">
            <v>Bali Nusra</v>
          </cell>
          <cell r="L166" t="str">
            <v xml:space="preserve">MON-SUN </v>
          </cell>
          <cell r="M166" t="str">
            <v>(00:00 - 23:59)</v>
          </cell>
          <cell r="N166">
            <v>0</v>
          </cell>
          <cell r="O166">
            <v>0</v>
          </cell>
          <cell r="P166">
            <v>0</v>
          </cell>
          <cell r="Q166">
            <v>1440</v>
          </cell>
        </row>
        <row r="167">
          <cell r="B167" t="str">
            <v>4078</v>
          </cell>
          <cell r="C167" t="str">
            <v>Suhel Risdianto</v>
          </cell>
          <cell r="D167" t="str">
            <v>Delta Dewata</v>
          </cell>
          <cell r="E167" t="str">
            <v>ABACUS BALI</v>
          </cell>
          <cell r="F167">
            <v>1</v>
          </cell>
          <cell r="G167" t="str">
            <v>04-Denpasar</v>
          </cell>
          <cell r="H167" t="str">
            <v>B</v>
          </cell>
          <cell r="I167" t="str">
            <v>ATM</v>
          </cell>
          <cell r="J167" t="str">
            <v>Denpasar</v>
          </cell>
          <cell r="K167" t="str">
            <v>Bali Nusra</v>
          </cell>
          <cell r="L167" t="str">
            <v xml:space="preserve">MON-SUN </v>
          </cell>
          <cell r="M167" t="str">
            <v>(00:00 - 23:59)</v>
          </cell>
          <cell r="N167">
            <v>0</v>
          </cell>
          <cell r="O167">
            <v>0</v>
          </cell>
          <cell r="P167">
            <v>0</v>
          </cell>
          <cell r="Q167">
            <v>1440</v>
          </cell>
        </row>
        <row r="168">
          <cell r="B168" t="str">
            <v>4079</v>
          </cell>
          <cell r="C168" t="str">
            <v>I Putu Dendy Pratama</v>
          </cell>
          <cell r="D168" t="str">
            <v>Gosha</v>
          </cell>
          <cell r="E168" t="str">
            <v>ABACUS BALI</v>
          </cell>
          <cell r="F168">
            <v>1</v>
          </cell>
          <cell r="G168" t="str">
            <v>04-Denpasar</v>
          </cell>
          <cell r="H168" t="str">
            <v>B</v>
          </cell>
          <cell r="I168" t="str">
            <v>ATM</v>
          </cell>
          <cell r="J168" t="str">
            <v>Denpasar</v>
          </cell>
          <cell r="K168" t="str">
            <v>Bali Nusra</v>
          </cell>
          <cell r="L168" t="str">
            <v xml:space="preserve">MON-SUN </v>
          </cell>
          <cell r="M168" t="str">
            <v>(00:00 - 23:59)</v>
          </cell>
          <cell r="N168">
            <v>0</v>
          </cell>
          <cell r="O168">
            <v>0</v>
          </cell>
          <cell r="P168">
            <v>0</v>
          </cell>
          <cell r="Q168">
            <v>1440</v>
          </cell>
        </row>
        <row r="169">
          <cell r="B169" t="str">
            <v>407D</v>
          </cell>
          <cell r="C169" t="str">
            <v>Suhel Risdianto</v>
          </cell>
          <cell r="D169" t="str">
            <v>Four Season Ubud</v>
          </cell>
          <cell r="E169" t="str">
            <v>ABACUS BALI</v>
          </cell>
          <cell r="F169">
            <v>1</v>
          </cell>
          <cell r="G169" t="str">
            <v>04-Denpasar</v>
          </cell>
          <cell r="H169" t="str">
            <v>B</v>
          </cell>
          <cell r="I169" t="str">
            <v>ATM</v>
          </cell>
          <cell r="J169" t="str">
            <v>Denpasar</v>
          </cell>
          <cell r="K169" t="str">
            <v>Bali Nusra</v>
          </cell>
          <cell r="L169" t="str">
            <v xml:space="preserve">MON-SUN </v>
          </cell>
          <cell r="M169" t="str">
            <v>(00:00 - 23:59)</v>
          </cell>
          <cell r="N169">
            <v>0</v>
          </cell>
          <cell r="O169">
            <v>0</v>
          </cell>
          <cell r="P169">
            <v>0</v>
          </cell>
          <cell r="Q169">
            <v>1440</v>
          </cell>
        </row>
        <row r="170">
          <cell r="B170" t="str">
            <v>4081</v>
          </cell>
          <cell r="C170" t="str">
            <v>Muhammad Ngainun Najib</v>
          </cell>
          <cell r="D170" t="str">
            <v>Bandung Collection Kedonganan</v>
          </cell>
          <cell r="E170" t="str">
            <v>ABACUS BALI</v>
          </cell>
          <cell r="F170">
            <v>1</v>
          </cell>
          <cell r="G170" t="str">
            <v>04-Denpasar</v>
          </cell>
          <cell r="H170" t="str">
            <v>B</v>
          </cell>
          <cell r="I170" t="str">
            <v>ATM</v>
          </cell>
          <cell r="J170" t="str">
            <v>Denpasar</v>
          </cell>
          <cell r="K170" t="str">
            <v>Bali Nusra</v>
          </cell>
          <cell r="L170" t="str">
            <v xml:space="preserve">MON-SUN </v>
          </cell>
          <cell r="M170" t="str">
            <v>(00:00 - 23:59)</v>
          </cell>
          <cell r="N170">
            <v>0</v>
          </cell>
          <cell r="O170">
            <v>0</v>
          </cell>
          <cell r="P170">
            <v>0</v>
          </cell>
          <cell r="Q170">
            <v>1440</v>
          </cell>
        </row>
        <row r="171">
          <cell r="B171" t="str">
            <v>4102</v>
          </cell>
          <cell r="C171" t="str">
            <v>Arif Rahman Hakim</v>
          </cell>
          <cell r="D171" t="str">
            <v>CV Mita Nusa Dua</v>
          </cell>
          <cell r="E171" t="str">
            <v>ABACUS BALI</v>
          </cell>
          <cell r="F171">
            <v>1</v>
          </cell>
          <cell r="G171" t="str">
            <v>04-Denpasar</v>
          </cell>
          <cell r="H171" t="str">
            <v>B</v>
          </cell>
          <cell r="I171" t="str">
            <v>ATM</v>
          </cell>
          <cell r="J171" t="str">
            <v>Denpasar</v>
          </cell>
          <cell r="K171" t="str">
            <v>Bali Nusra</v>
          </cell>
          <cell r="L171" t="str">
            <v xml:space="preserve">MON-SUN </v>
          </cell>
          <cell r="M171" t="str">
            <v>(00:00 - 23:59)</v>
          </cell>
          <cell r="N171">
            <v>0</v>
          </cell>
          <cell r="O171">
            <v>0</v>
          </cell>
          <cell r="P171">
            <v>0</v>
          </cell>
          <cell r="Q171">
            <v>1440</v>
          </cell>
        </row>
        <row r="172">
          <cell r="B172" t="str">
            <v>4108</v>
          </cell>
          <cell r="C172" t="str">
            <v>Yunarius Raynold Gege</v>
          </cell>
          <cell r="D172" t="str">
            <v>Ramayana Kupang</v>
          </cell>
          <cell r="E172" t="str">
            <v>ADVANTAGE KUPANG</v>
          </cell>
          <cell r="F172">
            <v>1</v>
          </cell>
          <cell r="G172" t="str">
            <v>04-Denpasar</v>
          </cell>
          <cell r="H172" t="str">
            <v>B</v>
          </cell>
          <cell r="I172" t="str">
            <v>ATM</v>
          </cell>
          <cell r="J172" t="str">
            <v>Kupang</v>
          </cell>
          <cell r="K172" t="str">
            <v>Bali Nusra</v>
          </cell>
          <cell r="L172" t="str">
            <v xml:space="preserve">MON-SUN </v>
          </cell>
          <cell r="M172" t="str">
            <v>(00:00 - 23:59)</v>
          </cell>
          <cell r="N172">
            <v>0</v>
          </cell>
          <cell r="O172">
            <v>0</v>
          </cell>
          <cell r="P172">
            <v>0</v>
          </cell>
          <cell r="Q172">
            <v>1440</v>
          </cell>
        </row>
        <row r="173">
          <cell r="B173" t="str">
            <v>418P</v>
          </cell>
          <cell r="C173" t="str">
            <v>Arif Rahman Hakim</v>
          </cell>
          <cell r="D173" t="str">
            <v>CK 238 Siligita BAL0412</v>
          </cell>
          <cell r="E173" t="str">
            <v>ABACUS BALI</v>
          </cell>
          <cell r="F173">
            <v>1</v>
          </cell>
          <cell r="G173" t="str">
            <v>04-Denpasar</v>
          </cell>
          <cell r="H173" t="str">
            <v>B</v>
          </cell>
          <cell r="I173" t="str">
            <v>ATM</v>
          </cell>
          <cell r="J173" t="str">
            <v>Denpasar</v>
          </cell>
          <cell r="K173" t="str">
            <v>Bali Nusra</v>
          </cell>
          <cell r="L173" t="str">
            <v xml:space="preserve">MON-SUN </v>
          </cell>
          <cell r="M173" t="str">
            <v>(00:00 - 23:59)</v>
          </cell>
          <cell r="N173">
            <v>0</v>
          </cell>
          <cell r="O173">
            <v>0</v>
          </cell>
          <cell r="P173">
            <v>0</v>
          </cell>
          <cell r="Q173">
            <v>1440</v>
          </cell>
        </row>
        <row r="174">
          <cell r="B174" t="str">
            <v>418Q</v>
          </cell>
          <cell r="C174" t="str">
            <v>Muhammad Gufron Sofyan</v>
          </cell>
          <cell r="D174" t="str">
            <v>Melaya Gilimanuk</v>
          </cell>
          <cell r="E174" t="str">
            <v>ABACUS BALI</v>
          </cell>
          <cell r="F174">
            <v>2</v>
          </cell>
          <cell r="G174" t="str">
            <v>04-Denpasar</v>
          </cell>
          <cell r="H174" t="str">
            <v>B</v>
          </cell>
          <cell r="I174" t="str">
            <v>ATM</v>
          </cell>
          <cell r="J174" t="str">
            <v>Negara</v>
          </cell>
          <cell r="K174" t="str">
            <v>Bali Nusra</v>
          </cell>
          <cell r="L174" t="str">
            <v xml:space="preserve">MON-SUN </v>
          </cell>
          <cell r="M174" t="str">
            <v>(00:00 - 23:59)</v>
          </cell>
          <cell r="N174">
            <v>0</v>
          </cell>
          <cell r="O174">
            <v>0</v>
          </cell>
          <cell r="P174">
            <v>0</v>
          </cell>
          <cell r="Q174">
            <v>1440</v>
          </cell>
        </row>
        <row r="175">
          <cell r="B175" t="str">
            <v>431L</v>
          </cell>
          <cell r="C175" t="str">
            <v>Suhel Risdianto</v>
          </cell>
          <cell r="D175" t="str">
            <v>IDM Tkd Balian Momi Bali</v>
          </cell>
          <cell r="E175" t="str">
            <v>ANDALAN BALI</v>
          </cell>
          <cell r="F175">
            <v>1</v>
          </cell>
          <cell r="G175" t="str">
            <v>04-Denpasar</v>
          </cell>
          <cell r="H175" t="str">
            <v>B</v>
          </cell>
          <cell r="I175" t="str">
            <v>ATM</v>
          </cell>
          <cell r="J175" t="str">
            <v>Denpasar</v>
          </cell>
          <cell r="K175" t="str">
            <v>Bali Nusra</v>
          </cell>
          <cell r="L175" t="str">
            <v xml:space="preserve">MON-SUN </v>
          </cell>
          <cell r="M175" t="str">
            <v>(06:00 - 23:00)</v>
          </cell>
          <cell r="N175">
            <v>0</v>
          </cell>
          <cell r="O175">
            <v>0</v>
          </cell>
          <cell r="P175">
            <v>0</v>
          </cell>
          <cell r="Q175">
            <v>1020</v>
          </cell>
        </row>
        <row r="176">
          <cell r="B176" t="str">
            <v>439K</v>
          </cell>
          <cell r="C176" t="str">
            <v>Eko Adi Sugiyantoro</v>
          </cell>
          <cell r="D176" t="str">
            <v>IDM F26U Dalung II</v>
          </cell>
          <cell r="E176" t="str">
            <v>ABACUS BALI</v>
          </cell>
          <cell r="F176">
            <v>1</v>
          </cell>
          <cell r="G176" t="str">
            <v>04-Denpasar</v>
          </cell>
          <cell r="H176" t="str">
            <v>B</v>
          </cell>
          <cell r="I176" t="str">
            <v>ATM</v>
          </cell>
          <cell r="J176" t="str">
            <v>Denpasar</v>
          </cell>
          <cell r="K176" t="str">
            <v>Bali Nusra</v>
          </cell>
          <cell r="L176" t="str">
            <v xml:space="preserve">MON-SUN </v>
          </cell>
          <cell r="M176" t="str">
            <v>(06:00 - 23:00)</v>
          </cell>
          <cell r="N176">
            <v>0</v>
          </cell>
          <cell r="O176">
            <v>0</v>
          </cell>
          <cell r="P176">
            <v>0</v>
          </cell>
          <cell r="Q176">
            <v>1020</v>
          </cell>
        </row>
        <row r="177">
          <cell r="B177" t="str">
            <v>444B</v>
          </cell>
          <cell r="C177" t="str">
            <v>Revaldi Resha Wardhana</v>
          </cell>
          <cell r="D177" t="str">
            <v>Alfa Kebo Iwa II</v>
          </cell>
          <cell r="E177" t="str">
            <v>ABACUS BALI</v>
          </cell>
          <cell r="F177">
            <v>1</v>
          </cell>
          <cell r="G177" t="str">
            <v>04-Denpasar</v>
          </cell>
          <cell r="H177" t="str">
            <v>B</v>
          </cell>
          <cell r="I177" t="str">
            <v>ATM</v>
          </cell>
          <cell r="J177" t="str">
            <v>Denpasar</v>
          </cell>
          <cell r="K177" t="str">
            <v>Bali Nusra</v>
          </cell>
          <cell r="L177" t="str">
            <v xml:space="preserve">MON-SUN </v>
          </cell>
          <cell r="M177" t="str">
            <v>(07:00 - 23:00)</v>
          </cell>
          <cell r="N177">
            <v>0</v>
          </cell>
          <cell r="O177">
            <v>0</v>
          </cell>
          <cell r="P177">
            <v>0</v>
          </cell>
          <cell r="Q177">
            <v>960</v>
          </cell>
        </row>
        <row r="178">
          <cell r="B178" t="str">
            <v>454Q</v>
          </cell>
          <cell r="C178" t="str">
            <v>Muhammad Hidayatullah</v>
          </cell>
          <cell r="D178" t="str">
            <v>IDM Paok Motong Lbk Timur</v>
          </cell>
          <cell r="E178" t="str">
            <v>ADVANTAGE CAKRANEGARA</v>
          </cell>
          <cell r="F178">
            <v>1</v>
          </cell>
          <cell r="G178" t="str">
            <v>04-Denpasar</v>
          </cell>
          <cell r="H178" t="str">
            <v>B</v>
          </cell>
          <cell r="I178" t="str">
            <v>ATM</v>
          </cell>
          <cell r="J178" t="str">
            <v>Lombok Timur</v>
          </cell>
          <cell r="K178" t="str">
            <v>Bali Nusra</v>
          </cell>
          <cell r="L178" t="str">
            <v xml:space="preserve">MON-SUN </v>
          </cell>
          <cell r="M178" t="str">
            <v>(00:00 - 23:59)</v>
          </cell>
          <cell r="N178">
            <v>0</v>
          </cell>
          <cell r="O178">
            <v>0</v>
          </cell>
          <cell r="P178">
            <v>0</v>
          </cell>
          <cell r="Q178">
            <v>1440</v>
          </cell>
        </row>
        <row r="179">
          <cell r="B179" t="str">
            <v>470E</v>
          </cell>
          <cell r="C179" t="str">
            <v>Arif Rahman Hakim</v>
          </cell>
          <cell r="D179" t="str">
            <v>Minimart Kampial</v>
          </cell>
          <cell r="E179" t="str">
            <v>ABACUS BALI</v>
          </cell>
          <cell r="F179">
            <v>1</v>
          </cell>
          <cell r="G179" t="str">
            <v>04-Denpasar</v>
          </cell>
          <cell r="H179" t="str">
            <v>B</v>
          </cell>
          <cell r="I179" t="str">
            <v>ATM</v>
          </cell>
          <cell r="J179" t="str">
            <v>Denpasar</v>
          </cell>
          <cell r="K179" t="str">
            <v>Bali Nusra</v>
          </cell>
          <cell r="L179" t="str">
            <v xml:space="preserve">MON-SUN </v>
          </cell>
          <cell r="M179" t="str">
            <v>(00:00 - 23:59)</v>
          </cell>
          <cell r="N179">
            <v>0</v>
          </cell>
          <cell r="O179">
            <v>0</v>
          </cell>
          <cell r="P179">
            <v>0</v>
          </cell>
          <cell r="Q179">
            <v>1440</v>
          </cell>
        </row>
        <row r="180">
          <cell r="B180" t="str">
            <v>472Y</v>
          </cell>
          <cell r="C180" t="str">
            <v>Bambang Yuniarko</v>
          </cell>
          <cell r="D180" t="str">
            <v>CK Beraban Kuta</v>
          </cell>
          <cell r="E180" t="str">
            <v>ABACUS BALI</v>
          </cell>
          <cell r="F180">
            <v>1</v>
          </cell>
          <cell r="G180" t="str">
            <v>04-Denpasar</v>
          </cell>
          <cell r="H180" t="str">
            <v>B</v>
          </cell>
          <cell r="I180" t="str">
            <v>ATM</v>
          </cell>
          <cell r="J180" t="str">
            <v>Denpasar</v>
          </cell>
          <cell r="K180" t="str">
            <v>Bali Nusra</v>
          </cell>
          <cell r="L180" t="str">
            <v xml:space="preserve">MON-SUN </v>
          </cell>
          <cell r="M180" t="str">
            <v>(00:00 - 23:59)</v>
          </cell>
          <cell r="N180">
            <v>0</v>
          </cell>
          <cell r="O180">
            <v>0</v>
          </cell>
          <cell r="P180">
            <v>0</v>
          </cell>
          <cell r="Q180">
            <v>1440</v>
          </cell>
        </row>
        <row r="181">
          <cell r="B181" t="str">
            <v>492W</v>
          </cell>
          <cell r="C181" t="str">
            <v>Yunarius Raynold Gege</v>
          </cell>
          <cell r="D181" t="str">
            <v>Hotel Amaris Kupang</v>
          </cell>
          <cell r="E181" t="str">
            <v>ADVANTAGE KUPANG</v>
          </cell>
          <cell r="F181">
            <v>1</v>
          </cell>
          <cell r="G181" t="str">
            <v>04-Denpasar</v>
          </cell>
          <cell r="H181" t="str">
            <v>B</v>
          </cell>
          <cell r="I181" t="str">
            <v>ATM</v>
          </cell>
          <cell r="J181" t="str">
            <v>Kupang</v>
          </cell>
          <cell r="K181" t="str">
            <v>Bali Nusra</v>
          </cell>
          <cell r="L181" t="str">
            <v xml:space="preserve">MON-SUN </v>
          </cell>
          <cell r="M181" t="str">
            <v>(00:00 - 23:59)</v>
          </cell>
          <cell r="N181">
            <v>0</v>
          </cell>
          <cell r="O181">
            <v>0</v>
          </cell>
          <cell r="P181">
            <v>0</v>
          </cell>
          <cell r="Q181">
            <v>1440</v>
          </cell>
        </row>
        <row r="182">
          <cell r="B182" t="str">
            <v>494J</v>
          </cell>
          <cell r="C182" t="str">
            <v>Arif Rahman Hakim</v>
          </cell>
          <cell r="D182" t="str">
            <v>Garuda Wisnu Kencana</v>
          </cell>
          <cell r="E182" t="str">
            <v>ABACUS BALI</v>
          </cell>
          <cell r="F182">
            <v>1</v>
          </cell>
          <cell r="G182" t="str">
            <v>04-Denpasar</v>
          </cell>
          <cell r="H182" t="str">
            <v>B</v>
          </cell>
          <cell r="I182" t="str">
            <v>ATM</v>
          </cell>
          <cell r="J182" t="str">
            <v>Denpasar</v>
          </cell>
          <cell r="K182" t="str">
            <v>Bali Nusra</v>
          </cell>
          <cell r="L182" t="str">
            <v xml:space="preserve">MON-SUN </v>
          </cell>
          <cell r="M182" t="str">
            <v>(07:00 - 22:00)</v>
          </cell>
          <cell r="N182">
            <v>0</v>
          </cell>
          <cell r="O182">
            <v>0</v>
          </cell>
          <cell r="P182">
            <v>0</v>
          </cell>
          <cell r="Q182">
            <v>900</v>
          </cell>
        </row>
        <row r="183">
          <cell r="B183" t="str">
            <v>494N</v>
          </cell>
          <cell r="C183" t="str">
            <v>Muhammad Hidayatullah</v>
          </cell>
          <cell r="D183" t="str">
            <v>IDM Kelayu Lombok Timur</v>
          </cell>
          <cell r="E183" t="str">
            <v>ADVANTAGE CAKRANEGARA</v>
          </cell>
          <cell r="F183">
            <v>1</v>
          </cell>
          <cell r="G183" t="str">
            <v>04-Denpasar</v>
          </cell>
          <cell r="H183" t="str">
            <v>B</v>
          </cell>
          <cell r="I183" t="str">
            <v>ATM</v>
          </cell>
          <cell r="J183" t="str">
            <v>Lombok Timur</v>
          </cell>
          <cell r="K183" t="str">
            <v>Bali Nusra</v>
          </cell>
          <cell r="L183" t="str">
            <v xml:space="preserve">MON-SUN </v>
          </cell>
          <cell r="M183" t="str">
            <v>(07:00 - 22:00)</v>
          </cell>
          <cell r="N183">
            <v>1</v>
          </cell>
          <cell r="O183">
            <v>31</v>
          </cell>
          <cell r="P183">
            <v>3.44</v>
          </cell>
          <cell r="Q183">
            <v>900</v>
          </cell>
        </row>
        <row r="184">
          <cell r="B184" t="str">
            <v>497F</v>
          </cell>
          <cell r="C184" t="str">
            <v>Bambang Yuniarko</v>
          </cell>
          <cell r="D184" t="str">
            <v>CK Tjok Agung Tresna</v>
          </cell>
          <cell r="E184" t="str">
            <v>ANDALAN BALI</v>
          </cell>
          <cell r="F184">
            <v>1</v>
          </cell>
          <cell r="G184" t="str">
            <v>04-Denpasar</v>
          </cell>
          <cell r="H184" t="str">
            <v>B</v>
          </cell>
          <cell r="I184" t="str">
            <v>ATM</v>
          </cell>
          <cell r="J184" t="str">
            <v>Denpasar</v>
          </cell>
          <cell r="K184" t="str">
            <v>Bali Nusra</v>
          </cell>
          <cell r="L184" t="str">
            <v xml:space="preserve">MON-SUN </v>
          </cell>
          <cell r="M184" t="str">
            <v>(00:00 - 23:59)</v>
          </cell>
          <cell r="N184">
            <v>0</v>
          </cell>
          <cell r="O184">
            <v>0</v>
          </cell>
          <cell r="P184">
            <v>0</v>
          </cell>
          <cell r="Q184">
            <v>1440</v>
          </cell>
        </row>
        <row r="185">
          <cell r="B185" t="str">
            <v>498T</v>
          </cell>
          <cell r="C185" t="str">
            <v>Eko Adi Sugiyantoro</v>
          </cell>
          <cell r="D185" t="str">
            <v>Secret Garden Village</v>
          </cell>
          <cell r="E185" t="str">
            <v>ABACUS BALI</v>
          </cell>
          <cell r="F185">
            <v>2</v>
          </cell>
          <cell r="G185" t="str">
            <v>04-Denpasar</v>
          </cell>
          <cell r="H185" t="str">
            <v>B</v>
          </cell>
          <cell r="I185" t="str">
            <v>ATM</v>
          </cell>
          <cell r="J185" t="str">
            <v>Denpasar</v>
          </cell>
          <cell r="K185" t="str">
            <v>Bali Nusra</v>
          </cell>
          <cell r="L185" t="str">
            <v xml:space="preserve">MON-SUN </v>
          </cell>
          <cell r="M185" t="str">
            <v>(00:00 - 23:59)</v>
          </cell>
          <cell r="N185">
            <v>0</v>
          </cell>
          <cell r="O185">
            <v>0</v>
          </cell>
          <cell r="P185">
            <v>0</v>
          </cell>
          <cell r="Q185">
            <v>1440</v>
          </cell>
        </row>
        <row r="186">
          <cell r="B186" t="str">
            <v>5015</v>
          </cell>
          <cell r="C186" t="str">
            <v>I Putu Dendy Pratama</v>
          </cell>
          <cell r="D186" t="str">
            <v>Mitra 10 ByPass NgurahRai</v>
          </cell>
          <cell r="E186" t="str">
            <v>ABACUS BALI</v>
          </cell>
          <cell r="F186">
            <v>1</v>
          </cell>
          <cell r="G186" t="str">
            <v>04-Denpasar</v>
          </cell>
          <cell r="H186" t="str">
            <v>B</v>
          </cell>
          <cell r="I186" t="str">
            <v>ATM</v>
          </cell>
          <cell r="J186" t="str">
            <v>Denpasar</v>
          </cell>
          <cell r="K186" t="str">
            <v>Bali Nusra</v>
          </cell>
          <cell r="L186" t="str">
            <v xml:space="preserve">MON-SUN </v>
          </cell>
          <cell r="M186" t="str">
            <v>(00:00 - 23:59)</v>
          </cell>
          <cell r="N186">
            <v>0</v>
          </cell>
          <cell r="O186">
            <v>0</v>
          </cell>
          <cell r="P186">
            <v>0</v>
          </cell>
          <cell r="Q186">
            <v>1440</v>
          </cell>
        </row>
        <row r="187">
          <cell r="B187" t="str">
            <v>5022</v>
          </cell>
          <cell r="C187" t="str">
            <v>Bambang Yuniarko</v>
          </cell>
          <cell r="D187" t="str">
            <v>CK 131 Tukad Yeh Aya</v>
          </cell>
          <cell r="E187" t="str">
            <v>ANDALAN BALI</v>
          </cell>
          <cell r="F187">
            <v>1</v>
          </cell>
          <cell r="G187" t="str">
            <v>04-Denpasar</v>
          </cell>
          <cell r="H187" t="str">
            <v>B</v>
          </cell>
          <cell r="I187" t="str">
            <v>ATM</v>
          </cell>
          <cell r="J187" t="str">
            <v>Denpasar</v>
          </cell>
          <cell r="K187" t="str">
            <v>Bali Nusra</v>
          </cell>
          <cell r="L187" t="str">
            <v xml:space="preserve">MON-SUN </v>
          </cell>
          <cell r="M187" t="str">
            <v>(00:00 - 23:59)</v>
          </cell>
          <cell r="N187">
            <v>0</v>
          </cell>
          <cell r="O187">
            <v>0</v>
          </cell>
          <cell r="P187">
            <v>0</v>
          </cell>
          <cell r="Q187">
            <v>1440</v>
          </cell>
        </row>
        <row r="188">
          <cell r="B188" t="str">
            <v>5029</v>
          </cell>
          <cell r="C188" t="str">
            <v>Bambang Yuniarko</v>
          </cell>
          <cell r="D188" t="str">
            <v>CK 108 Kopi Bali Sanur</v>
          </cell>
          <cell r="E188" t="str">
            <v>ANDALAN BALI</v>
          </cell>
          <cell r="F188">
            <v>1</v>
          </cell>
          <cell r="G188" t="str">
            <v>04-Denpasar</v>
          </cell>
          <cell r="H188" t="str">
            <v>B</v>
          </cell>
          <cell r="I188" t="str">
            <v>ATM</v>
          </cell>
          <cell r="J188" t="str">
            <v>Denpasar</v>
          </cell>
          <cell r="K188" t="str">
            <v>Bali Nusra</v>
          </cell>
          <cell r="L188" t="str">
            <v xml:space="preserve">MON-SUN </v>
          </cell>
          <cell r="M188" t="str">
            <v>(00:00 - 23:59)</v>
          </cell>
          <cell r="N188">
            <v>0</v>
          </cell>
          <cell r="O188">
            <v>0</v>
          </cell>
          <cell r="P188">
            <v>0</v>
          </cell>
          <cell r="Q188">
            <v>1440</v>
          </cell>
        </row>
        <row r="189">
          <cell r="B189" t="str">
            <v>5059</v>
          </cell>
          <cell r="C189" t="str">
            <v>Revaldi Resha Wardhana</v>
          </cell>
          <cell r="D189" t="str">
            <v>CK 100 Cokro Aminoto</v>
          </cell>
          <cell r="E189" t="str">
            <v>ABACUS BALI</v>
          </cell>
          <cell r="F189">
            <v>1</v>
          </cell>
          <cell r="G189" t="str">
            <v>04-Denpasar</v>
          </cell>
          <cell r="H189" t="str">
            <v>B</v>
          </cell>
          <cell r="I189" t="str">
            <v>ATM</v>
          </cell>
          <cell r="J189" t="str">
            <v>Denpasar</v>
          </cell>
          <cell r="K189" t="str">
            <v>Bali Nusra</v>
          </cell>
          <cell r="L189" t="str">
            <v xml:space="preserve">MON-SUN </v>
          </cell>
          <cell r="M189" t="str">
            <v>(00:00 - 23:59)</v>
          </cell>
          <cell r="N189">
            <v>0</v>
          </cell>
          <cell r="O189">
            <v>0</v>
          </cell>
          <cell r="P189">
            <v>0</v>
          </cell>
          <cell r="Q189">
            <v>1440</v>
          </cell>
        </row>
        <row r="190">
          <cell r="B190" t="str">
            <v>513N</v>
          </cell>
          <cell r="C190" t="str">
            <v>Lalu Riswan Hadi</v>
          </cell>
          <cell r="D190" t="str">
            <v>Alfa Brawijaya Mataram</v>
          </cell>
          <cell r="E190" t="str">
            <v>ADVANTAGE CAKRANEGARA</v>
          </cell>
          <cell r="F190">
            <v>1</v>
          </cell>
          <cell r="G190" t="str">
            <v>04-Denpasar</v>
          </cell>
          <cell r="H190" t="str">
            <v>B</v>
          </cell>
          <cell r="I190" t="str">
            <v>ATM</v>
          </cell>
          <cell r="J190" t="str">
            <v>Mataram</v>
          </cell>
          <cell r="K190" t="str">
            <v>Bali Nusra</v>
          </cell>
          <cell r="L190" t="str">
            <v xml:space="preserve">MON-SUN </v>
          </cell>
          <cell r="M190" t="str">
            <v>(00:00 - 23:59)</v>
          </cell>
          <cell r="N190">
            <v>1</v>
          </cell>
          <cell r="O190">
            <v>36</v>
          </cell>
          <cell r="P190">
            <v>2.5</v>
          </cell>
          <cell r="Q190">
            <v>1440</v>
          </cell>
        </row>
        <row r="191">
          <cell r="B191" t="str">
            <v>516M</v>
          </cell>
          <cell r="C191" t="str">
            <v>Revaldi Resha Wardhana</v>
          </cell>
          <cell r="D191" t="str">
            <v>Citraland Waterpark</v>
          </cell>
          <cell r="E191" t="str">
            <v>ABACUS BALI</v>
          </cell>
          <cell r="F191">
            <v>1</v>
          </cell>
          <cell r="G191" t="str">
            <v>04-Denpasar</v>
          </cell>
          <cell r="H191" t="str">
            <v>B</v>
          </cell>
          <cell r="I191" t="str">
            <v>ATM</v>
          </cell>
          <cell r="J191" t="str">
            <v>Denpasar</v>
          </cell>
          <cell r="K191" t="str">
            <v>Bali Nusra</v>
          </cell>
          <cell r="L191" t="str">
            <v xml:space="preserve">MON-SUN </v>
          </cell>
          <cell r="M191" t="str">
            <v>(00:00 - 23:59)</v>
          </cell>
          <cell r="N191">
            <v>0</v>
          </cell>
          <cell r="O191">
            <v>0</v>
          </cell>
          <cell r="P191">
            <v>0</v>
          </cell>
          <cell r="Q191">
            <v>1440</v>
          </cell>
        </row>
        <row r="192">
          <cell r="B192" t="str">
            <v>5174</v>
          </cell>
          <cell r="C192" t="str">
            <v>Rio Erdiansyah</v>
          </cell>
          <cell r="D192" t="str">
            <v>Pusat Kesenian Lovina 2</v>
          </cell>
          <cell r="E192" t="str">
            <v>ABACUS BALI</v>
          </cell>
          <cell r="F192">
            <v>1</v>
          </cell>
          <cell r="G192" t="str">
            <v>04-Denpasar</v>
          </cell>
          <cell r="H192" t="str">
            <v>B</v>
          </cell>
          <cell r="I192" t="str">
            <v>ATM</v>
          </cell>
          <cell r="J192" t="str">
            <v>Singaraja</v>
          </cell>
          <cell r="K192" t="str">
            <v>Bali Nusra</v>
          </cell>
          <cell r="L192" t="str">
            <v xml:space="preserve">MON-SUN </v>
          </cell>
          <cell r="M192" t="str">
            <v>(00:00 - 23:59)</v>
          </cell>
          <cell r="N192">
            <v>0</v>
          </cell>
          <cell r="O192">
            <v>0</v>
          </cell>
          <cell r="P192">
            <v>0</v>
          </cell>
          <cell r="Q192">
            <v>1440</v>
          </cell>
        </row>
        <row r="193">
          <cell r="B193" t="str">
            <v>519C</v>
          </cell>
          <cell r="C193" t="str">
            <v>Eko Adi Sugiyantoro</v>
          </cell>
          <cell r="D193" t="str">
            <v>IDM Pandu Badung Kuta</v>
          </cell>
          <cell r="E193" t="str">
            <v>ABACUS BALI</v>
          </cell>
          <cell r="F193">
            <v>1</v>
          </cell>
          <cell r="G193" t="str">
            <v>04-Denpasar</v>
          </cell>
          <cell r="H193" t="str">
            <v>B</v>
          </cell>
          <cell r="I193" t="str">
            <v>ATM</v>
          </cell>
          <cell r="J193" t="str">
            <v>Denpasar</v>
          </cell>
          <cell r="K193" t="str">
            <v>Bali Nusra</v>
          </cell>
          <cell r="L193" t="str">
            <v xml:space="preserve">MON-SUN </v>
          </cell>
          <cell r="M193" t="str">
            <v>(07:00 - 22:00)</v>
          </cell>
          <cell r="N193">
            <v>0</v>
          </cell>
          <cell r="O193">
            <v>0</v>
          </cell>
          <cell r="P193">
            <v>0</v>
          </cell>
          <cell r="Q193">
            <v>900</v>
          </cell>
        </row>
        <row r="194">
          <cell r="B194" t="str">
            <v>532D</v>
          </cell>
          <cell r="C194" t="str">
            <v>Revaldi Resha Wardhana</v>
          </cell>
          <cell r="D194" t="str">
            <v>Alfa Suradipa</v>
          </cell>
          <cell r="E194" t="str">
            <v>ABACUS BALI</v>
          </cell>
          <cell r="F194">
            <v>1</v>
          </cell>
          <cell r="G194" t="str">
            <v>04-Denpasar</v>
          </cell>
          <cell r="H194" t="str">
            <v>B</v>
          </cell>
          <cell r="I194" t="str">
            <v>ATM</v>
          </cell>
          <cell r="J194" t="str">
            <v>Denpasar</v>
          </cell>
          <cell r="K194" t="str">
            <v>Bali Nusra</v>
          </cell>
          <cell r="L194" t="str">
            <v xml:space="preserve">MON-SUN </v>
          </cell>
          <cell r="M194" t="str">
            <v>(00:00 - 23:59)</v>
          </cell>
          <cell r="N194">
            <v>2</v>
          </cell>
          <cell r="O194">
            <v>81</v>
          </cell>
          <cell r="P194">
            <v>5.63</v>
          </cell>
          <cell r="Q194">
            <v>1440</v>
          </cell>
        </row>
        <row r="195">
          <cell r="B195" t="str">
            <v>536X</v>
          </cell>
          <cell r="C195" t="str">
            <v>Bambang Yuniarko</v>
          </cell>
          <cell r="D195" t="str">
            <v>CK BAL0416 Batu Belig II</v>
          </cell>
          <cell r="E195" t="str">
            <v>ABACUS BALI</v>
          </cell>
          <cell r="F195">
            <v>1</v>
          </cell>
          <cell r="G195" t="str">
            <v>04-Denpasar</v>
          </cell>
          <cell r="H195" t="str">
            <v>B</v>
          </cell>
          <cell r="I195" t="str">
            <v>ATM</v>
          </cell>
          <cell r="J195" t="str">
            <v>Denpasar</v>
          </cell>
          <cell r="K195" t="str">
            <v>Bali Nusra</v>
          </cell>
          <cell r="L195" t="str">
            <v xml:space="preserve">MON-SUN </v>
          </cell>
          <cell r="M195" t="str">
            <v>(00:00 - 23:59)</v>
          </cell>
          <cell r="N195">
            <v>0</v>
          </cell>
          <cell r="O195">
            <v>0</v>
          </cell>
          <cell r="P195">
            <v>0</v>
          </cell>
          <cell r="Q195">
            <v>1440</v>
          </cell>
        </row>
        <row r="196">
          <cell r="B196" t="str">
            <v>544D</v>
          </cell>
          <cell r="C196" t="str">
            <v>Bambang Yuniarko</v>
          </cell>
          <cell r="D196" t="str">
            <v>Plaza Renon 1</v>
          </cell>
          <cell r="E196" t="str">
            <v>ANDALAN BALI</v>
          </cell>
          <cell r="F196">
            <v>1</v>
          </cell>
          <cell r="G196" t="str">
            <v>04-Denpasar</v>
          </cell>
          <cell r="H196" t="str">
            <v>B</v>
          </cell>
          <cell r="I196" t="str">
            <v>ATM</v>
          </cell>
          <cell r="J196" t="str">
            <v>Denpasar</v>
          </cell>
          <cell r="K196" t="str">
            <v>Bali Nusra</v>
          </cell>
          <cell r="L196" t="str">
            <v xml:space="preserve">MON-SUN </v>
          </cell>
          <cell r="M196" t="str">
            <v>(07:00 - 22:00)</v>
          </cell>
          <cell r="N196">
            <v>0</v>
          </cell>
          <cell r="O196">
            <v>0</v>
          </cell>
          <cell r="P196">
            <v>0</v>
          </cell>
          <cell r="Q196">
            <v>900</v>
          </cell>
        </row>
        <row r="197">
          <cell r="B197" t="str">
            <v>554H</v>
          </cell>
          <cell r="C197" t="str">
            <v>Farozan Ali Fahmi</v>
          </cell>
          <cell r="D197" t="str">
            <v>Bale Udang Ubud 1</v>
          </cell>
          <cell r="E197" t="str">
            <v>ABACUS BALI</v>
          </cell>
          <cell r="F197">
            <v>1</v>
          </cell>
          <cell r="G197" t="str">
            <v>04-Denpasar</v>
          </cell>
          <cell r="H197" t="str">
            <v>B</v>
          </cell>
          <cell r="I197" t="str">
            <v>ATM</v>
          </cell>
          <cell r="J197" t="str">
            <v>Denpasar</v>
          </cell>
          <cell r="K197" t="str">
            <v>Bali Nusra</v>
          </cell>
          <cell r="L197" t="str">
            <v xml:space="preserve">MON-SUN </v>
          </cell>
          <cell r="M197" t="str">
            <v>(00:00 - 23:59)</v>
          </cell>
          <cell r="N197">
            <v>1</v>
          </cell>
          <cell r="O197">
            <v>156</v>
          </cell>
          <cell r="P197">
            <v>10.83</v>
          </cell>
          <cell r="Q197">
            <v>1440</v>
          </cell>
        </row>
        <row r="198">
          <cell r="B198" t="str">
            <v>556E</v>
          </cell>
          <cell r="C198" t="str">
            <v>Eko Adi Sugiyantoro</v>
          </cell>
          <cell r="D198" t="str">
            <v>CK Batu Bolong Badung</v>
          </cell>
          <cell r="E198" t="str">
            <v>ABACUS BALI</v>
          </cell>
          <cell r="F198">
            <v>1</v>
          </cell>
          <cell r="G198" t="str">
            <v>04-Denpasar</v>
          </cell>
          <cell r="H198" t="str">
            <v>B</v>
          </cell>
          <cell r="I198" t="str">
            <v>ATM</v>
          </cell>
          <cell r="J198" t="str">
            <v>Denpasar</v>
          </cell>
          <cell r="K198" t="str">
            <v>Bali Nusra</v>
          </cell>
          <cell r="L198" t="str">
            <v xml:space="preserve">MON-SUN </v>
          </cell>
          <cell r="M198" t="str">
            <v>(00:00 - 23:59)</v>
          </cell>
          <cell r="N198">
            <v>0</v>
          </cell>
          <cell r="O198">
            <v>0</v>
          </cell>
          <cell r="P198">
            <v>0</v>
          </cell>
          <cell r="Q198">
            <v>1440</v>
          </cell>
        </row>
        <row r="199">
          <cell r="B199" t="str">
            <v>561J</v>
          </cell>
          <cell r="C199" t="str">
            <v>Muhammad Ngainun Najib</v>
          </cell>
          <cell r="D199" t="str">
            <v>Samasta Jimbaran 1</v>
          </cell>
          <cell r="E199" t="str">
            <v>ABACUS BALI</v>
          </cell>
          <cell r="F199">
            <v>1</v>
          </cell>
          <cell r="G199" t="str">
            <v>04-Denpasar</v>
          </cell>
          <cell r="H199" t="str">
            <v>B</v>
          </cell>
          <cell r="I199" t="str">
            <v>ATM</v>
          </cell>
          <cell r="J199" t="str">
            <v>Denpasar</v>
          </cell>
          <cell r="K199" t="str">
            <v>Bali Nusra</v>
          </cell>
          <cell r="L199" t="str">
            <v xml:space="preserve">MON-SUN </v>
          </cell>
          <cell r="M199" t="str">
            <v>(00:00 - 23:59)</v>
          </cell>
          <cell r="N199">
            <v>0</v>
          </cell>
          <cell r="O199">
            <v>0</v>
          </cell>
          <cell r="P199">
            <v>0</v>
          </cell>
          <cell r="Q199">
            <v>1440</v>
          </cell>
        </row>
        <row r="200">
          <cell r="B200" t="str">
            <v>5753</v>
          </cell>
          <cell r="C200" t="str">
            <v>Suhel Risdianto</v>
          </cell>
          <cell r="D200" t="str">
            <v>Super Ekonomi Malboro</v>
          </cell>
          <cell r="E200" t="str">
            <v>ABACUS BALI</v>
          </cell>
          <cell r="F200">
            <v>1</v>
          </cell>
          <cell r="G200" t="str">
            <v>04-Denpasar</v>
          </cell>
          <cell r="H200" t="str">
            <v>B</v>
          </cell>
          <cell r="I200" t="str">
            <v>ATM</v>
          </cell>
          <cell r="J200" t="str">
            <v>Denpasar</v>
          </cell>
          <cell r="K200" t="str">
            <v>Bali Nusra</v>
          </cell>
          <cell r="L200" t="str">
            <v xml:space="preserve">MON-SUN </v>
          </cell>
          <cell r="M200" t="str">
            <v>(00:00 - 23:59)</v>
          </cell>
          <cell r="N200">
            <v>0</v>
          </cell>
          <cell r="O200">
            <v>0</v>
          </cell>
          <cell r="P200">
            <v>0</v>
          </cell>
          <cell r="Q200">
            <v>1440</v>
          </cell>
        </row>
        <row r="201">
          <cell r="B201" t="str">
            <v>5762</v>
          </cell>
          <cell r="C201" t="str">
            <v>Arif Rahman Hakim</v>
          </cell>
          <cell r="D201" t="str">
            <v>CK Uluwatu</v>
          </cell>
          <cell r="E201" t="str">
            <v>ABACUS BALI</v>
          </cell>
          <cell r="F201">
            <v>1</v>
          </cell>
          <cell r="G201" t="str">
            <v>04-Denpasar</v>
          </cell>
          <cell r="H201" t="str">
            <v>B</v>
          </cell>
          <cell r="I201" t="str">
            <v>ATM</v>
          </cell>
          <cell r="J201" t="str">
            <v>Denpasar</v>
          </cell>
          <cell r="K201" t="str">
            <v>Bali Nusra</v>
          </cell>
          <cell r="L201" t="str">
            <v xml:space="preserve">MON-SUN </v>
          </cell>
          <cell r="M201" t="str">
            <v>(00:00 - 23:59)</v>
          </cell>
          <cell r="N201">
            <v>0</v>
          </cell>
          <cell r="O201">
            <v>0</v>
          </cell>
          <cell r="P201">
            <v>0</v>
          </cell>
          <cell r="Q201">
            <v>1440</v>
          </cell>
        </row>
        <row r="202">
          <cell r="B202" t="str">
            <v>5867</v>
          </cell>
          <cell r="C202" t="str">
            <v>Farozan Ali Fahmi</v>
          </cell>
          <cell r="D202" t="str">
            <v>Pertokoan Delta Mas</v>
          </cell>
          <cell r="E202" t="str">
            <v>ABACUS BALI</v>
          </cell>
          <cell r="F202">
            <v>1</v>
          </cell>
          <cell r="G202" t="str">
            <v>04-Denpasar</v>
          </cell>
          <cell r="H202" t="str">
            <v>B</v>
          </cell>
          <cell r="I202" t="str">
            <v>ATM</v>
          </cell>
          <cell r="J202" t="str">
            <v>Denpasar</v>
          </cell>
          <cell r="K202" t="str">
            <v>Bali Nusra</v>
          </cell>
          <cell r="L202" t="str">
            <v xml:space="preserve">MON-SUN </v>
          </cell>
          <cell r="M202" t="str">
            <v>(00:00 - 23:59)</v>
          </cell>
          <cell r="N202">
            <v>2</v>
          </cell>
          <cell r="O202">
            <v>378</v>
          </cell>
          <cell r="P202">
            <v>26.25</v>
          </cell>
          <cell r="Q202">
            <v>1440</v>
          </cell>
        </row>
        <row r="203">
          <cell r="B203" t="str">
            <v>5874</v>
          </cell>
          <cell r="C203" t="str">
            <v>Farozan Ali Fahmi</v>
          </cell>
          <cell r="D203" t="str">
            <v>CK Sanur</v>
          </cell>
          <cell r="E203" t="str">
            <v>ANDALAN BALI</v>
          </cell>
          <cell r="F203">
            <v>1</v>
          </cell>
          <cell r="G203" t="str">
            <v>04-Denpasar</v>
          </cell>
          <cell r="H203" t="str">
            <v>B</v>
          </cell>
          <cell r="I203" t="str">
            <v>ATM</v>
          </cell>
          <cell r="J203" t="str">
            <v>Denpasar</v>
          </cell>
          <cell r="K203" t="str">
            <v>Bali Nusra</v>
          </cell>
          <cell r="L203" t="str">
            <v xml:space="preserve">MON-SUN </v>
          </cell>
          <cell r="M203" t="str">
            <v>(00:00 - 23:59)</v>
          </cell>
          <cell r="N203">
            <v>1</v>
          </cell>
          <cell r="O203">
            <v>62</v>
          </cell>
          <cell r="P203">
            <v>4.3099999999999996</v>
          </cell>
          <cell r="Q203">
            <v>1440</v>
          </cell>
        </row>
        <row r="204">
          <cell r="B204" t="str">
            <v>587C</v>
          </cell>
          <cell r="C204" t="str">
            <v>Leonardo A Ruly</v>
          </cell>
          <cell r="D204" t="str">
            <v>SPBU Mitra 01</v>
          </cell>
          <cell r="E204" t="str">
            <v>ADVANTAGE KUPANG</v>
          </cell>
          <cell r="F204">
            <v>1</v>
          </cell>
          <cell r="G204" t="str">
            <v>04-Denpasar</v>
          </cell>
          <cell r="H204" t="str">
            <v>B</v>
          </cell>
          <cell r="I204" t="str">
            <v>ATM</v>
          </cell>
          <cell r="J204" t="str">
            <v>Kupang</v>
          </cell>
          <cell r="K204" t="str">
            <v>Bali Nusra</v>
          </cell>
          <cell r="L204" t="str">
            <v xml:space="preserve">MON-SUN </v>
          </cell>
          <cell r="M204" t="str">
            <v>(00:00 - 23:59)</v>
          </cell>
          <cell r="N204">
            <v>0</v>
          </cell>
          <cell r="O204">
            <v>0</v>
          </cell>
          <cell r="P204">
            <v>0</v>
          </cell>
          <cell r="Q204">
            <v>1440</v>
          </cell>
        </row>
        <row r="205">
          <cell r="B205" t="str">
            <v>5918</v>
          </cell>
          <cell r="C205" t="str">
            <v>Adi Irawan</v>
          </cell>
          <cell r="D205" t="str">
            <v>RS Bersalin Tresna Mtrm</v>
          </cell>
          <cell r="E205" t="str">
            <v>ADVANTAGE CAKRANEGARA</v>
          </cell>
          <cell r="F205">
            <v>1</v>
          </cell>
          <cell r="G205" t="str">
            <v>04-Denpasar</v>
          </cell>
          <cell r="H205" t="str">
            <v>B</v>
          </cell>
          <cell r="I205" t="str">
            <v>ATM</v>
          </cell>
          <cell r="J205" t="str">
            <v>Mataram</v>
          </cell>
          <cell r="K205" t="str">
            <v>Bali Nusra</v>
          </cell>
          <cell r="L205" t="str">
            <v xml:space="preserve">MON-SUN </v>
          </cell>
          <cell r="M205" t="str">
            <v>(00:00 - 23:59)</v>
          </cell>
          <cell r="N205">
            <v>0</v>
          </cell>
          <cell r="O205">
            <v>0</v>
          </cell>
          <cell r="P205">
            <v>0</v>
          </cell>
          <cell r="Q205">
            <v>1440</v>
          </cell>
        </row>
        <row r="206">
          <cell r="B206" t="str">
            <v>602U</v>
          </cell>
          <cell r="C206" t="str">
            <v>Rio Erdiansyah</v>
          </cell>
          <cell r="D206" t="str">
            <v>Alfa Gerokgak</v>
          </cell>
          <cell r="E206" t="str">
            <v>ABACUS BALI</v>
          </cell>
          <cell r="F206">
            <v>2</v>
          </cell>
          <cell r="G206" t="str">
            <v>04-Denpasar</v>
          </cell>
          <cell r="H206" t="str">
            <v>B</v>
          </cell>
          <cell r="I206" t="str">
            <v>ATM</v>
          </cell>
          <cell r="J206" t="str">
            <v>Singaraja</v>
          </cell>
          <cell r="K206" t="str">
            <v>Bali Nusra</v>
          </cell>
          <cell r="L206" t="str">
            <v xml:space="preserve">MON-SUN </v>
          </cell>
          <cell r="M206" t="str">
            <v>(07:00 - 23:00)</v>
          </cell>
          <cell r="N206">
            <v>0</v>
          </cell>
          <cell r="O206">
            <v>0</v>
          </cell>
          <cell r="P206">
            <v>0</v>
          </cell>
          <cell r="Q206">
            <v>960</v>
          </cell>
        </row>
        <row r="207">
          <cell r="B207" t="str">
            <v>602Y</v>
          </cell>
          <cell r="C207" t="str">
            <v>Bambang Yuniarko</v>
          </cell>
          <cell r="D207" t="str">
            <v>Prima Medika Hospital</v>
          </cell>
          <cell r="E207" t="str">
            <v>ABACUS BALI</v>
          </cell>
          <cell r="F207">
            <v>1</v>
          </cell>
          <cell r="G207" t="str">
            <v>04-Denpasar</v>
          </cell>
          <cell r="H207" t="str">
            <v>B</v>
          </cell>
          <cell r="I207" t="str">
            <v>ATM</v>
          </cell>
          <cell r="J207" t="str">
            <v>Denpasar</v>
          </cell>
          <cell r="K207" t="str">
            <v>Bali Nusra</v>
          </cell>
          <cell r="L207" t="str">
            <v xml:space="preserve">MON-SUN </v>
          </cell>
          <cell r="M207" t="str">
            <v>(00:00 - 23:59)</v>
          </cell>
          <cell r="N207">
            <v>0</v>
          </cell>
          <cell r="O207">
            <v>0</v>
          </cell>
          <cell r="P207">
            <v>0</v>
          </cell>
          <cell r="Q207">
            <v>1440</v>
          </cell>
        </row>
        <row r="208">
          <cell r="B208" t="str">
            <v>602Z</v>
          </cell>
          <cell r="C208" t="str">
            <v>Suhel Risdianto</v>
          </cell>
          <cell r="D208" t="str">
            <v>Toko Ayu Denpasar Bali 1</v>
          </cell>
          <cell r="E208" t="str">
            <v>ABACUS BALI</v>
          </cell>
          <cell r="F208">
            <v>1</v>
          </cell>
          <cell r="G208" t="str">
            <v>04-Denpasar</v>
          </cell>
          <cell r="H208" t="str">
            <v>B</v>
          </cell>
          <cell r="I208" t="str">
            <v>ATM</v>
          </cell>
          <cell r="J208" t="str">
            <v>Denpasar</v>
          </cell>
          <cell r="K208" t="str">
            <v>Bali Nusra</v>
          </cell>
          <cell r="L208" t="str">
            <v xml:space="preserve">MON-SUN </v>
          </cell>
          <cell r="M208" t="str">
            <v>(00:00 - 23:59)</v>
          </cell>
          <cell r="N208">
            <v>0</v>
          </cell>
          <cell r="O208">
            <v>0</v>
          </cell>
          <cell r="P208">
            <v>0</v>
          </cell>
          <cell r="Q208">
            <v>1440</v>
          </cell>
        </row>
        <row r="209">
          <cell r="B209" t="str">
            <v>607B</v>
          </cell>
          <cell r="C209" t="str">
            <v>Bambang Yuniarko</v>
          </cell>
          <cell r="D209" t="str">
            <v>IDM Hayam Wuruk Denpasar</v>
          </cell>
          <cell r="E209" t="str">
            <v>ANDALAN BALI</v>
          </cell>
          <cell r="F209">
            <v>1</v>
          </cell>
          <cell r="G209" t="str">
            <v>04-Denpasar</v>
          </cell>
          <cell r="H209" t="str">
            <v>B</v>
          </cell>
          <cell r="I209" t="str">
            <v>ATM</v>
          </cell>
          <cell r="J209" t="str">
            <v>Denpasar</v>
          </cell>
          <cell r="K209" t="str">
            <v>Bali Nusra</v>
          </cell>
          <cell r="L209" t="str">
            <v xml:space="preserve">MON-SUN </v>
          </cell>
          <cell r="M209" t="str">
            <v>(00:00 - 23:59)</v>
          </cell>
          <cell r="N209">
            <v>0</v>
          </cell>
          <cell r="O209">
            <v>0</v>
          </cell>
          <cell r="P209">
            <v>0</v>
          </cell>
          <cell r="Q209">
            <v>1440</v>
          </cell>
        </row>
        <row r="210">
          <cell r="B210" t="str">
            <v>609W</v>
          </cell>
          <cell r="C210" t="str">
            <v>Alparizi</v>
          </cell>
          <cell r="D210" t="str">
            <v>IDM Raya Senggigi Lombok</v>
          </cell>
          <cell r="E210" t="str">
            <v>ADVANTAGE CAKRANEGARA</v>
          </cell>
          <cell r="F210">
            <v>1</v>
          </cell>
          <cell r="G210" t="str">
            <v>04-Denpasar</v>
          </cell>
          <cell r="H210" t="str">
            <v>B</v>
          </cell>
          <cell r="I210" t="str">
            <v>ATM</v>
          </cell>
          <cell r="J210" t="str">
            <v>Mataram</v>
          </cell>
          <cell r="K210" t="str">
            <v>Bali Nusra</v>
          </cell>
          <cell r="L210" t="str">
            <v xml:space="preserve">MON-SUN </v>
          </cell>
          <cell r="M210" t="str">
            <v>(00:00 - 23:59)</v>
          </cell>
          <cell r="N210">
            <v>0</v>
          </cell>
          <cell r="O210">
            <v>0</v>
          </cell>
          <cell r="P210">
            <v>0</v>
          </cell>
          <cell r="Q210">
            <v>1440</v>
          </cell>
        </row>
        <row r="211">
          <cell r="B211" t="str">
            <v>611Z</v>
          </cell>
          <cell r="C211" t="str">
            <v>Suhel Risdianto</v>
          </cell>
          <cell r="D211" t="str">
            <v>Alfa Kerobokan III</v>
          </cell>
          <cell r="E211" t="str">
            <v>ABACUS BALI</v>
          </cell>
          <cell r="F211">
            <v>1</v>
          </cell>
          <cell r="G211" t="str">
            <v>04-Denpasar</v>
          </cell>
          <cell r="H211" t="str">
            <v>B</v>
          </cell>
          <cell r="I211" t="str">
            <v>ATM</v>
          </cell>
          <cell r="J211" t="str">
            <v>Denpasar</v>
          </cell>
          <cell r="K211" t="str">
            <v>Bali Nusra</v>
          </cell>
          <cell r="L211" t="str">
            <v xml:space="preserve">MON-SUN </v>
          </cell>
          <cell r="M211" t="str">
            <v>(07:00 - 22:00)</v>
          </cell>
          <cell r="N211">
            <v>0</v>
          </cell>
          <cell r="O211">
            <v>0</v>
          </cell>
          <cell r="P211">
            <v>0</v>
          </cell>
          <cell r="Q211">
            <v>900</v>
          </cell>
        </row>
        <row r="212">
          <cell r="B212" t="str">
            <v>614Y</v>
          </cell>
          <cell r="C212" t="str">
            <v>Farozan Ali Fahmi</v>
          </cell>
          <cell r="D212" t="str">
            <v>CK Kamboja BAL0270</v>
          </cell>
          <cell r="E212" t="str">
            <v>ANDALAN BALI</v>
          </cell>
          <cell r="F212">
            <v>1</v>
          </cell>
          <cell r="G212" t="str">
            <v>04-Denpasar</v>
          </cell>
          <cell r="H212" t="str">
            <v>B</v>
          </cell>
          <cell r="I212" t="str">
            <v>ATM</v>
          </cell>
          <cell r="J212" t="str">
            <v>Denpasar</v>
          </cell>
          <cell r="K212" t="str">
            <v>Bali Nusra</v>
          </cell>
          <cell r="L212" t="str">
            <v xml:space="preserve">MON-SUN </v>
          </cell>
          <cell r="M212" t="str">
            <v>(00:00 - 23:59)</v>
          </cell>
          <cell r="N212">
            <v>0</v>
          </cell>
          <cell r="O212">
            <v>0</v>
          </cell>
          <cell r="P212">
            <v>0</v>
          </cell>
          <cell r="Q212">
            <v>1440</v>
          </cell>
        </row>
        <row r="213">
          <cell r="B213" t="str">
            <v>617B</v>
          </cell>
          <cell r="C213" t="str">
            <v>Lalu Riswan Hadi</v>
          </cell>
          <cell r="D213" t="str">
            <v>SPBU 5483508 bypas BIL</v>
          </cell>
          <cell r="E213" t="str">
            <v>ADVANTAGE CAKRANEGARA</v>
          </cell>
          <cell r="F213">
            <v>2</v>
          </cell>
          <cell r="G213" t="str">
            <v>04-Denpasar</v>
          </cell>
          <cell r="H213" t="str">
            <v>B</v>
          </cell>
          <cell r="I213" t="str">
            <v>ATM</v>
          </cell>
          <cell r="J213" t="str">
            <v>Mataram</v>
          </cell>
          <cell r="K213" t="str">
            <v>Bali Nusra</v>
          </cell>
          <cell r="L213" t="str">
            <v xml:space="preserve">MON-SUN </v>
          </cell>
          <cell r="M213" t="str">
            <v>(00:00 - 23:59)</v>
          </cell>
          <cell r="N213">
            <v>0</v>
          </cell>
          <cell r="O213">
            <v>0</v>
          </cell>
          <cell r="P213">
            <v>0</v>
          </cell>
          <cell r="Q213">
            <v>1440</v>
          </cell>
        </row>
        <row r="214">
          <cell r="B214" t="str">
            <v>617C</v>
          </cell>
          <cell r="C214" t="str">
            <v>Alparizi</v>
          </cell>
          <cell r="D214" t="str">
            <v>RM Taliwang II Pemenang</v>
          </cell>
          <cell r="E214" t="str">
            <v>ADVANTAGE CAKRANEGARA</v>
          </cell>
          <cell r="F214">
            <v>2</v>
          </cell>
          <cell r="G214" t="str">
            <v>04-Denpasar</v>
          </cell>
          <cell r="H214" t="str">
            <v>B</v>
          </cell>
          <cell r="I214" t="str">
            <v>ATM</v>
          </cell>
          <cell r="J214" t="str">
            <v>Mataram</v>
          </cell>
          <cell r="K214" t="str">
            <v>Bali Nusra</v>
          </cell>
          <cell r="L214" t="str">
            <v xml:space="preserve">MON-SUN </v>
          </cell>
          <cell r="M214" t="str">
            <v>(00:00 - 23:59)</v>
          </cell>
          <cell r="N214">
            <v>0</v>
          </cell>
          <cell r="O214">
            <v>0</v>
          </cell>
          <cell r="P214">
            <v>0</v>
          </cell>
          <cell r="Q214">
            <v>1440</v>
          </cell>
        </row>
        <row r="215">
          <cell r="B215" t="str">
            <v>619A</v>
          </cell>
          <cell r="C215" t="str">
            <v>Arif Rahman Hakim</v>
          </cell>
          <cell r="D215" t="str">
            <v>Taman Rama Jimbaran</v>
          </cell>
          <cell r="E215" t="str">
            <v>ABACUS BALI</v>
          </cell>
          <cell r="F215">
            <v>1</v>
          </cell>
          <cell r="G215" t="str">
            <v>04-Denpasar</v>
          </cell>
          <cell r="H215" t="str">
            <v>B</v>
          </cell>
          <cell r="I215" t="str">
            <v>ATM</v>
          </cell>
          <cell r="J215" t="str">
            <v>Denpasar</v>
          </cell>
          <cell r="K215" t="str">
            <v>Bali Nusra</v>
          </cell>
          <cell r="L215" t="str">
            <v xml:space="preserve">MON-SUN </v>
          </cell>
          <cell r="M215" t="str">
            <v>(07:00 - 22:00)</v>
          </cell>
          <cell r="N215">
            <v>0</v>
          </cell>
          <cell r="O215">
            <v>0</v>
          </cell>
          <cell r="P215">
            <v>0</v>
          </cell>
          <cell r="Q215">
            <v>900</v>
          </cell>
        </row>
        <row r="216">
          <cell r="B216" t="str">
            <v>619E</v>
          </cell>
          <cell r="C216" t="str">
            <v>Suhel Risdianto</v>
          </cell>
          <cell r="D216" t="str">
            <v>Minimarket Kembar Artha</v>
          </cell>
          <cell r="E216" t="str">
            <v>ABACUS BALI</v>
          </cell>
          <cell r="F216">
            <v>1</v>
          </cell>
          <cell r="G216" t="str">
            <v>04-Denpasar</v>
          </cell>
          <cell r="H216" t="str">
            <v>B</v>
          </cell>
          <cell r="I216" t="str">
            <v>ATM</v>
          </cell>
          <cell r="J216" t="str">
            <v>Denpasar</v>
          </cell>
          <cell r="K216" t="str">
            <v>Bali Nusra</v>
          </cell>
          <cell r="L216" t="str">
            <v xml:space="preserve">MON-SUN </v>
          </cell>
          <cell r="M216" t="str">
            <v>(00:00 - 23:59)</v>
          </cell>
          <cell r="N216">
            <v>0</v>
          </cell>
          <cell r="O216">
            <v>0</v>
          </cell>
          <cell r="P216">
            <v>0</v>
          </cell>
          <cell r="Q216">
            <v>1440</v>
          </cell>
        </row>
        <row r="217">
          <cell r="B217" t="str">
            <v>621J</v>
          </cell>
          <cell r="C217" t="str">
            <v>Suhel Risdianto</v>
          </cell>
          <cell r="D217" t="str">
            <v>IDM Sidakarya Denpasar</v>
          </cell>
          <cell r="E217" t="str">
            <v>ANDALAN BALI</v>
          </cell>
          <cell r="F217">
            <v>1</v>
          </cell>
          <cell r="G217" t="str">
            <v>04-Denpasar</v>
          </cell>
          <cell r="H217" t="str">
            <v>B</v>
          </cell>
          <cell r="I217" t="str">
            <v>ATM</v>
          </cell>
          <cell r="J217" t="str">
            <v>Denpasar</v>
          </cell>
          <cell r="K217" t="str">
            <v>Bali Nusra</v>
          </cell>
          <cell r="L217" t="str">
            <v xml:space="preserve">MON-SUN </v>
          </cell>
          <cell r="M217" t="str">
            <v>(00:00 - 23:59)</v>
          </cell>
          <cell r="N217">
            <v>0</v>
          </cell>
          <cell r="O217">
            <v>0</v>
          </cell>
          <cell r="P217">
            <v>0</v>
          </cell>
          <cell r="Q217">
            <v>1440</v>
          </cell>
        </row>
        <row r="218">
          <cell r="B218" t="str">
            <v>622H</v>
          </cell>
          <cell r="C218" t="str">
            <v>Suhel Risdianto</v>
          </cell>
          <cell r="D218" t="str">
            <v>IDM Pulau Saelus Denpasar</v>
          </cell>
          <cell r="E218" t="str">
            <v>ABACUS BALI</v>
          </cell>
          <cell r="F218">
            <v>1</v>
          </cell>
          <cell r="G218" t="str">
            <v>04-Denpasar</v>
          </cell>
          <cell r="H218" t="str">
            <v>B</v>
          </cell>
          <cell r="I218" t="str">
            <v>ATM</v>
          </cell>
          <cell r="J218" t="str">
            <v>Denpasar</v>
          </cell>
          <cell r="K218" t="str">
            <v>Bali Nusra</v>
          </cell>
          <cell r="L218" t="str">
            <v xml:space="preserve">MON-SUN </v>
          </cell>
          <cell r="M218" t="str">
            <v>(07:00 - 22:00)</v>
          </cell>
          <cell r="N218">
            <v>0</v>
          </cell>
          <cell r="O218">
            <v>0</v>
          </cell>
          <cell r="P218">
            <v>0</v>
          </cell>
          <cell r="Q218">
            <v>900</v>
          </cell>
        </row>
        <row r="219">
          <cell r="B219" t="str">
            <v>624F</v>
          </cell>
          <cell r="C219" t="str">
            <v>Muhammad Ngainun Najib</v>
          </cell>
          <cell r="D219" t="str">
            <v>Minimart Kediri III Bdg</v>
          </cell>
          <cell r="E219" t="str">
            <v>ABACUS BALI</v>
          </cell>
          <cell r="F219">
            <v>1</v>
          </cell>
          <cell r="G219" t="str">
            <v>04-Denpasar</v>
          </cell>
          <cell r="H219" t="str">
            <v>B</v>
          </cell>
          <cell r="I219" t="str">
            <v>ATM</v>
          </cell>
          <cell r="J219" t="str">
            <v>Denpasar</v>
          </cell>
          <cell r="K219" t="str">
            <v>Bali Nusra</v>
          </cell>
          <cell r="L219" t="str">
            <v xml:space="preserve">MON-SUN </v>
          </cell>
          <cell r="M219" t="str">
            <v>(00:00 - 23:59)</v>
          </cell>
          <cell r="N219">
            <v>0</v>
          </cell>
          <cell r="O219">
            <v>0</v>
          </cell>
          <cell r="P219">
            <v>0</v>
          </cell>
          <cell r="Q219">
            <v>1440</v>
          </cell>
        </row>
        <row r="220">
          <cell r="B220" t="str">
            <v>624T</v>
          </cell>
          <cell r="C220" t="str">
            <v>Yunarius Raynold Gege</v>
          </cell>
          <cell r="D220" t="str">
            <v>SPBU TuakDaunMerah Kupang</v>
          </cell>
          <cell r="E220" t="str">
            <v>ADVANTAGE KUPANG</v>
          </cell>
          <cell r="F220">
            <v>1</v>
          </cell>
          <cell r="G220" t="str">
            <v>04-Denpasar</v>
          </cell>
          <cell r="H220" t="str">
            <v>B</v>
          </cell>
          <cell r="I220" t="str">
            <v>ATM</v>
          </cell>
          <cell r="J220" t="str">
            <v>Kupang</v>
          </cell>
          <cell r="K220" t="str">
            <v>Bali Nusra</v>
          </cell>
          <cell r="L220" t="str">
            <v xml:space="preserve">MON-SUN </v>
          </cell>
          <cell r="M220" t="str">
            <v>(00:00 - 23:59)</v>
          </cell>
          <cell r="N220">
            <v>0</v>
          </cell>
          <cell r="O220">
            <v>0</v>
          </cell>
          <cell r="P220">
            <v>0</v>
          </cell>
          <cell r="Q220">
            <v>1440</v>
          </cell>
        </row>
        <row r="221">
          <cell r="B221" t="str">
            <v>625H</v>
          </cell>
          <cell r="C221" t="str">
            <v>Eko Adi Sugiyantoro</v>
          </cell>
          <cell r="D221" t="str">
            <v>Minimart TAB 3 Kediri Tbn</v>
          </cell>
          <cell r="E221" t="str">
            <v>ABACUS BALI</v>
          </cell>
          <cell r="F221">
            <v>1</v>
          </cell>
          <cell r="G221" t="str">
            <v>04-Denpasar</v>
          </cell>
          <cell r="H221" t="str">
            <v>B</v>
          </cell>
          <cell r="I221" t="str">
            <v>ATM</v>
          </cell>
          <cell r="J221" t="str">
            <v>Denpasar</v>
          </cell>
          <cell r="K221" t="str">
            <v>Bali Nusra</v>
          </cell>
          <cell r="L221" t="str">
            <v xml:space="preserve">MON-SUN </v>
          </cell>
          <cell r="M221" t="str">
            <v>(07:00 - 22:00)</v>
          </cell>
          <cell r="N221">
            <v>0</v>
          </cell>
          <cell r="O221">
            <v>0</v>
          </cell>
          <cell r="P221">
            <v>0</v>
          </cell>
          <cell r="Q221">
            <v>900</v>
          </cell>
        </row>
        <row r="222">
          <cell r="B222" t="str">
            <v>630X</v>
          </cell>
          <cell r="C222" t="str">
            <v>Adi Irawan</v>
          </cell>
          <cell r="D222" t="str">
            <v>Aston Inn Hotel Mataram</v>
          </cell>
          <cell r="E222" t="str">
            <v>ADVANTAGE CAKRANEGARA</v>
          </cell>
          <cell r="F222">
            <v>1</v>
          </cell>
          <cell r="G222" t="str">
            <v>04-Denpasar</v>
          </cell>
          <cell r="H222" t="str">
            <v>B</v>
          </cell>
          <cell r="I222" t="str">
            <v>ATM</v>
          </cell>
          <cell r="J222" t="str">
            <v>Mataram</v>
          </cell>
          <cell r="K222" t="str">
            <v>Bali Nusra</v>
          </cell>
          <cell r="L222" t="str">
            <v xml:space="preserve">MON-SUN </v>
          </cell>
          <cell r="M222" t="str">
            <v>(00:00 - 23:59)</v>
          </cell>
          <cell r="N222">
            <v>0</v>
          </cell>
          <cell r="O222">
            <v>0</v>
          </cell>
          <cell r="P222">
            <v>0</v>
          </cell>
          <cell r="Q222">
            <v>1440</v>
          </cell>
        </row>
        <row r="223">
          <cell r="B223" t="str">
            <v>633J</v>
          </cell>
          <cell r="C223" t="str">
            <v>Lalu Riswan Hadi</v>
          </cell>
          <cell r="D223" t="str">
            <v>IDM By Pass BIL IV</v>
          </cell>
          <cell r="E223" t="str">
            <v>ADVANTAGE CAKRANEGARA</v>
          </cell>
          <cell r="F223">
            <v>1</v>
          </cell>
          <cell r="G223" t="str">
            <v>04-Denpasar</v>
          </cell>
          <cell r="H223" t="str">
            <v>B</v>
          </cell>
          <cell r="I223" t="str">
            <v>ATM</v>
          </cell>
          <cell r="J223" t="str">
            <v>Mataram</v>
          </cell>
          <cell r="K223" t="str">
            <v>Bali Nusra</v>
          </cell>
          <cell r="L223" t="str">
            <v xml:space="preserve">MON-SUN </v>
          </cell>
          <cell r="M223" t="str">
            <v>(00:00 - 23:59)</v>
          </cell>
          <cell r="N223">
            <v>0</v>
          </cell>
          <cell r="O223">
            <v>0</v>
          </cell>
          <cell r="P223">
            <v>0</v>
          </cell>
          <cell r="Q223">
            <v>1440</v>
          </cell>
        </row>
        <row r="224">
          <cell r="B224" t="str">
            <v>634B</v>
          </cell>
          <cell r="C224" t="str">
            <v>Adi Irawan</v>
          </cell>
          <cell r="D224" t="str">
            <v>Alfamart Jendral Sudirman</v>
          </cell>
          <cell r="E224" t="str">
            <v>ADVANTAGE CAKRANEGARA</v>
          </cell>
          <cell r="F224">
            <v>1</v>
          </cell>
          <cell r="G224" t="str">
            <v>04-Denpasar</v>
          </cell>
          <cell r="H224" t="str">
            <v>B</v>
          </cell>
          <cell r="I224" t="str">
            <v>ATM</v>
          </cell>
          <cell r="J224" t="str">
            <v>Mataram</v>
          </cell>
          <cell r="K224" t="str">
            <v>Bali Nusra</v>
          </cell>
          <cell r="L224" t="str">
            <v xml:space="preserve">MON-SUN </v>
          </cell>
          <cell r="M224" t="str">
            <v>(00:00 - 23:59)</v>
          </cell>
          <cell r="N224">
            <v>0</v>
          </cell>
          <cell r="O224">
            <v>0</v>
          </cell>
          <cell r="P224">
            <v>0</v>
          </cell>
          <cell r="Q224">
            <v>1440</v>
          </cell>
        </row>
        <row r="225">
          <cell r="B225" t="str">
            <v>634J</v>
          </cell>
          <cell r="C225" t="str">
            <v>Lalu Riswan Hadi</v>
          </cell>
          <cell r="D225" t="str">
            <v>Alfa Puyung Lombok</v>
          </cell>
          <cell r="E225" t="str">
            <v>ADVANTAGE CAKRANEGARA</v>
          </cell>
          <cell r="F225">
            <v>2</v>
          </cell>
          <cell r="G225" t="str">
            <v>04-Denpasar</v>
          </cell>
          <cell r="H225" t="str">
            <v>B</v>
          </cell>
          <cell r="I225" t="str">
            <v>ATM</v>
          </cell>
          <cell r="J225" t="str">
            <v>Mataram</v>
          </cell>
          <cell r="K225" t="str">
            <v>Bali Nusra</v>
          </cell>
          <cell r="L225" t="str">
            <v xml:space="preserve">MON-SUN </v>
          </cell>
          <cell r="M225" t="str">
            <v>(00:00 - 23:59)</v>
          </cell>
          <cell r="N225">
            <v>0</v>
          </cell>
          <cell r="O225">
            <v>0</v>
          </cell>
          <cell r="P225">
            <v>0</v>
          </cell>
          <cell r="Q225">
            <v>1440</v>
          </cell>
        </row>
        <row r="226">
          <cell r="B226" t="str">
            <v>639D</v>
          </cell>
          <cell r="C226" t="str">
            <v>Farozan Ali Fahmi</v>
          </cell>
          <cell r="D226" t="str">
            <v>RS Ari Canti Mas Ubud 1</v>
          </cell>
          <cell r="E226" t="str">
            <v>ABACUS BALI</v>
          </cell>
          <cell r="F226">
            <v>1</v>
          </cell>
          <cell r="G226" t="str">
            <v>04-Denpasar</v>
          </cell>
          <cell r="H226" t="str">
            <v>B</v>
          </cell>
          <cell r="I226" t="str">
            <v>ATM</v>
          </cell>
          <cell r="J226" t="str">
            <v>Denpasar</v>
          </cell>
          <cell r="K226" t="str">
            <v>Bali Nusra</v>
          </cell>
          <cell r="L226" t="str">
            <v xml:space="preserve">MON-SUN </v>
          </cell>
          <cell r="M226" t="str">
            <v>(00:00 - 23:59)</v>
          </cell>
          <cell r="N226">
            <v>0</v>
          </cell>
          <cell r="O226">
            <v>0</v>
          </cell>
          <cell r="P226">
            <v>0</v>
          </cell>
          <cell r="Q226">
            <v>1440</v>
          </cell>
        </row>
        <row r="227">
          <cell r="B227" t="str">
            <v>646W</v>
          </cell>
          <cell r="C227" t="str">
            <v>Eko Adi Sugiyantoro</v>
          </cell>
          <cell r="D227" t="str">
            <v>CK Padonan Canggu</v>
          </cell>
          <cell r="E227" t="str">
            <v>ABACUS BALI</v>
          </cell>
          <cell r="F227">
            <v>1</v>
          </cell>
          <cell r="G227" t="str">
            <v>04-Denpasar</v>
          </cell>
          <cell r="H227" t="str">
            <v>B</v>
          </cell>
          <cell r="I227" t="str">
            <v>ATM</v>
          </cell>
          <cell r="J227" t="str">
            <v>Denpasar</v>
          </cell>
          <cell r="K227" t="str">
            <v>Bali Nusra</v>
          </cell>
          <cell r="L227" t="str">
            <v xml:space="preserve">MON-SUN </v>
          </cell>
          <cell r="M227" t="str">
            <v>(00:00 - 23:59)</v>
          </cell>
          <cell r="N227">
            <v>0</v>
          </cell>
          <cell r="O227">
            <v>0</v>
          </cell>
          <cell r="P227">
            <v>0</v>
          </cell>
          <cell r="Q227">
            <v>1440</v>
          </cell>
        </row>
        <row r="228">
          <cell r="B228" t="str">
            <v>649Y</v>
          </cell>
          <cell r="C228" t="str">
            <v>Bambang Yuniarko</v>
          </cell>
          <cell r="D228" t="str">
            <v>Alfa Batanghari 1</v>
          </cell>
          <cell r="E228" t="str">
            <v>ANDALAN BALI</v>
          </cell>
          <cell r="F228">
            <v>1</v>
          </cell>
          <cell r="G228" t="str">
            <v>04-Denpasar</v>
          </cell>
          <cell r="H228" t="str">
            <v>B</v>
          </cell>
          <cell r="I228" t="str">
            <v>ATM</v>
          </cell>
          <cell r="J228" t="str">
            <v>Denpasar</v>
          </cell>
          <cell r="K228" t="str">
            <v>Bali Nusra</v>
          </cell>
          <cell r="L228" t="str">
            <v xml:space="preserve">MON-SUN </v>
          </cell>
          <cell r="M228" t="str">
            <v>(07:00 - 22:00)</v>
          </cell>
          <cell r="N228">
            <v>0</v>
          </cell>
          <cell r="O228">
            <v>0</v>
          </cell>
          <cell r="P228">
            <v>0</v>
          </cell>
          <cell r="Q228">
            <v>900</v>
          </cell>
        </row>
        <row r="229">
          <cell r="B229" t="str">
            <v>650K</v>
          </cell>
          <cell r="C229" t="str">
            <v>Farozan Ali Fahmi</v>
          </cell>
          <cell r="D229" t="str">
            <v>OJK Denpasar 1</v>
          </cell>
          <cell r="E229" t="str">
            <v>ANDALAN BALI</v>
          </cell>
          <cell r="F229">
            <v>1</v>
          </cell>
          <cell r="G229" t="str">
            <v>04-Denpasar</v>
          </cell>
          <cell r="H229" t="str">
            <v>B</v>
          </cell>
          <cell r="I229" t="str">
            <v>ATM</v>
          </cell>
          <cell r="J229" t="str">
            <v>Denpasar</v>
          </cell>
          <cell r="K229" t="str">
            <v>Bali Nusra</v>
          </cell>
          <cell r="L229" t="str">
            <v xml:space="preserve">MON-SUN </v>
          </cell>
          <cell r="M229" t="str">
            <v>(00:00 - 23:59)</v>
          </cell>
          <cell r="N229">
            <v>0</v>
          </cell>
          <cell r="O229">
            <v>0</v>
          </cell>
          <cell r="P229">
            <v>0</v>
          </cell>
          <cell r="Q229">
            <v>1440</v>
          </cell>
        </row>
        <row r="230">
          <cell r="B230" t="str">
            <v>6519</v>
          </cell>
          <cell r="C230" t="str">
            <v>Revaldi Resha Wardhana</v>
          </cell>
          <cell r="D230" t="str">
            <v>Guntur Sport</v>
          </cell>
          <cell r="E230" t="str">
            <v>ABACUS BALI</v>
          </cell>
          <cell r="F230">
            <v>1</v>
          </cell>
          <cell r="G230" t="str">
            <v>04-Denpasar</v>
          </cell>
          <cell r="H230" t="str">
            <v>B</v>
          </cell>
          <cell r="I230" t="str">
            <v>ATM</v>
          </cell>
          <cell r="J230" t="str">
            <v>Denpasar</v>
          </cell>
          <cell r="K230" t="str">
            <v>Bali Nusra</v>
          </cell>
          <cell r="L230" t="str">
            <v xml:space="preserve">MON-SUN </v>
          </cell>
          <cell r="M230" t="str">
            <v>(00:00 - 23:59)</v>
          </cell>
          <cell r="N230">
            <v>0</v>
          </cell>
          <cell r="O230">
            <v>0</v>
          </cell>
          <cell r="P230">
            <v>0</v>
          </cell>
          <cell r="Q230">
            <v>1440</v>
          </cell>
        </row>
        <row r="231">
          <cell r="B231" t="str">
            <v>651H</v>
          </cell>
          <cell r="C231" t="str">
            <v>Suhel Risdianto</v>
          </cell>
          <cell r="D231" t="str">
            <v>CK Imam Bonjol Denpasar</v>
          </cell>
          <cell r="E231" t="str">
            <v>ABACUS BALI</v>
          </cell>
          <cell r="F231">
            <v>1</v>
          </cell>
          <cell r="G231" t="str">
            <v>04-Denpasar</v>
          </cell>
          <cell r="H231" t="str">
            <v>B</v>
          </cell>
          <cell r="I231" t="str">
            <v>ATM</v>
          </cell>
          <cell r="J231" t="str">
            <v>Denpasar</v>
          </cell>
          <cell r="K231" t="str">
            <v>Bali Nusra</v>
          </cell>
          <cell r="L231" t="str">
            <v xml:space="preserve">MON-SUN </v>
          </cell>
          <cell r="M231" t="str">
            <v>(00:00 - 23:59)</v>
          </cell>
          <cell r="N231">
            <v>0</v>
          </cell>
          <cell r="O231">
            <v>0</v>
          </cell>
          <cell r="P231">
            <v>0</v>
          </cell>
          <cell r="Q231">
            <v>1440</v>
          </cell>
        </row>
        <row r="232">
          <cell r="B232" t="str">
            <v>651J</v>
          </cell>
          <cell r="C232" t="str">
            <v>Revaldi Resha Wardhana</v>
          </cell>
          <cell r="D232" t="str">
            <v>CK 129 Bal 0236 Gatsu</v>
          </cell>
          <cell r="E232" t="str">
            <v>ABACUS BALI</v>
          </cell>
          <cell r="F232">
            <v>1</v>
          </cell>
          <cell r="G232" t="str">
            <v>04-Denpasar</v>
          </cell>
          <cell r="H232" t="str">
            <v>B</v>
          </cell>
          <cell r="I232" t="str">
            <v>ATM</v>
          </cell>
          <cell r="J232" t="str">
            <v>Denpasar</v>
          </cell>
          <cell r="K232" t="str">
            <v>Bali Nusra</v>
          </cell>
          <cell r="L232" t="str">
            <v xml:space="preserve">MON-SUN </v>
          </cell>
          <cell r="M232" t="str">
            <v>(00:00 - 23:59)</v>
          </cell>
          <cell r="N232">
            <v>0</v>
          </cell>
          <cell r="O232">
            <v>0</v>
          </cell>
          <cell r="P232">
            <v>0</v>
          </cell>
          <cell r="Q232">
            <v>1440</v>
          </cell>
        </row>
        <row r="233">
          <cell r="B233" t="str">
            <v>651L</v>
          </cell>
          <cell r="C233" t="str">
            <v>Suhel Risdianto</v>
          </cell>
          <cell r="D233" t="str">
            <v>CK 109 Bal 0244 TeukuUmar</v>
          </cell>
          <cell r="E233" t="str">
            <v>ABACUS BALI</v>
          </cell>
          <cell r="F233">
            <v>1</v>
          </cell>
          <cell r="G233" t="str">
            <v>04-Denpasar</v>
          </cell>
          <cell r="H233" t="str">
            <v>B</v>
          </cell>
          <cell r="I233" t="str">
            <v>ATM</v>
          </cell>
          <cell r="J233" t="str">
            <v>Denpasar</v>
          </cell>
          <cell r="K233" t="str">
            <v>Bali Nusra</v>
          </cell>
          <cell r="L233" t="str">
            <v xml:space="preserve">MON-SUN </v>
          </cell>
          <cell r="M233" t="str">
            <v>(00:00 - 23:59)</v>
          </cell>
          <cell r="N233">
            <v>0</v>
          </cell>
          <cell r="O233">
            <v>0</v>
          </cell>
          <cell r="P233">
            <v>0</v>
          </cell>
          <cell r="Q233">
            <v>1440</v>
          </cell>
        </row>
        <row r="234">
          <cell r="B234" t="str">
            <v>651M</v>
          </cell>
          <cell r="C234" t="str">
            <v>Farozan Ali Fahmi</v>
          </cell>
          <cell r="D234" t="str">
            <v>CK 111 Bal 0225 Tohpati</v>
          </cell>
          <cell r="E234" t="str">
            <v>ABACUS BALI</v>
          </cell>
          <cell r="F234">
            <v>1</v>
          </cell>
          <cell r="G234" t="str">
            <v>04-Denpasar</v>
          </cell>
          <cell r="H234" t="str">
            <v>B</v>
          </cell>
          <cell r="I234" t="str">
            <v>ATM</v>
          </cell>
          <cell r="J234" t="str">
            <v>Denpasar</v>
          </cell>
          <cell r="K234" t="str">
            <v>Bali Nusra</v>
          </cell>
          <cell r="L234" t="str">
            <v xml:space="preserve">MON-SUN </v>
          </cell>
          <cell r="M234" t="str">
            <v>(00:00 - 23:59)</v>
          </cell>
          <cell r="N234">
            <v>0</v>
          </cell>
          <cell r="O234">
            <v>0</v>
          </cell>
          <cell r="P234">
            <v>0</v>
          </cell>
          <cell r="Q234">
            <v>1440</v>
          </cell>
        </row>
        <row r="235">
          <cell r="B235" t="str">
            <v>651Q</v>
          </cell>
          <cell r="C235" t="str">
            <v>Suhel Risdianto</v>
          </cell>
          <cell r="D235" t="str">
            <v>CK 73 Bal0207 Teuku Umar</v>
          </cell>
          <cell r="E235" t="str">
            <v>ABACUS BALI</v>
          </cell>
          <cell r="F235">
            <v>1</v>
          </cell>
          <cell r="G235" t="str">
            <v>04-Denpasar</v>
          </cell>
          <cell r="H235" t="str">
            <v>B</v>
          </cell>
          <cell r="I235" t="str">
            <v>ATM</v>
          </cell>
          <cell r="J235" t="str">
            <v>Denpasar</v>
          </cell>
          <cell r="K235" t="str">
            <v>Bali Nusra</v>
          </cell>
          <cell r="L235" t="str">
            <v xml:space="preserve">MON-SUN </v>
          </cell>
          <cell r="M235" t="str">
            <v>(00:00 - 23:59)</v>
          </cell>
          <cell r="N235">
            <v>0</v>
          </cell>
          <cell r="O235">
            <v>0</v>
          </cell>
          <cell r="P235">
            <v>0</v>
          </cell>
          <cell r="Q235">
            <v>1440</v>
          </cell>
        </row>
        <row r="236">
          <cell r="B236" t="str">
            <v>6520</v>
          </cell>
          <cell r="C236" t="str">
            <v>Arif Rahman Hakim</v>
          </cell>
          <cell r="D236" t="str">
            <v>ST Regis</v>
          </cell>
          <cell r="E236" t="str">
            <v>ABACUS BALI</v>
          </cell>
          <cell r="F236">
            <v>1</v>
          </cell>
          <cell r="G236" t="str">
            <v>04-Denpasar</v>
          </cell>
          <cell r="H236" t="str">
            <v>B</v>
          </cell>
          <cell r="I236" t="str">
            <v>ATM</v>
          </cell>
          <cell r="J236" t="str">
            <v>Denpasar</v>
          </cell>
          <cell r="K236" t="str">
            <v>Bali Nusra</v>
          </cell>
          <cell r="L236" t="str">
            <v xml:space="preserve">MON-SUN </v>
          </cell>
          <cell r="M236" t="str">
            <v>(00:00 - 23:59)</v>
          </cell>
          <cell r="N236">
            <v>0</v>
          </cell>
          <cell r="O236">
            <v>0</v>
          </cell>
          <cell r="P236">
            <v>0</v>
          </cell>
          <cell r="Q236">
            <v>1440</v>
          </cell>
        </row>
        <row r="237">
          <cell r="B237" t="str">
            <v>6521</v>
          </cell>
          <cell r="C237" t="str">
            <v>Revaldi Resha Wardhana</v>
          </cell>
          <cell r="D237" t="str">
            <v>Mitra 10 Denpasar</v>
          </cell>
          <cell r="E237" t="str">
            <v>ABACUS BALI</v>
          </cell>
          <cell r="F237">
            <v>1</v>
          </cell>
          <cell r="G237" t="str">
            <v>04-Denpasar</v>
          </cell>
          <cell r="H237" t="str">
            <v>B</v>
          </cell>
          <cell r="I237" t="str">
            <v>ATM</v>
          </cell>
          <cell r="J237" t="str">
            <v>Denpasar</v>
          </cell>
          <cell r="K237" t="str">
            <v>Bali Nusra</v>
          </cell>
          <cell r="L237" t="str">
            <v xml:space="preserve">MON-SUN </v>
          </cell>
          <cell r="M237" t="str">
            <v>(07:00 - 22:00)</v>
          </cell>
          <cell r="N237">
            <v>0</v>
          </cell>
          <cell r="O237">
            <v>0</v>
          </cell>
          <cell r="P237">
            <v>0</v>
          </cell>
          <cell r="Q237">
            <v>900</v>
          </cell>
        </row>
        <row r="238">
          <cell r="B238" t="str">
            <v>652H</v>
          </cell>
          <cell r="C238" t="str">
            <v>Bambang Yuniarko</v>
          </cell>
          <cell r="D238" t="str">
            <v>Alfa Mudhita Tukad Barito</v>
          </cell>
          <cell r="E238" t="str">
            <v>ANDALAN BALI</v>
          </cell>
          <cell r="F238">
            <v>1</v>
          </cell>
          <cell r="G238" t="str">
            <v>04-Denpasar</v>
          </cell>
          <cell r="H238" t="str">
            <v>B</v>
          </cell>
          <cell r="I238" t="str">
            <v>ATM</v>
          </cell>
          <cell r="J238" t="str">
            <v>Denpasar</v>
          </cell>
          <cell r="K238" t="str">
            <v>Bali Nusra</v>
          </cell>
          <cell r="L238" t="str">
            <v xml:space="preserve">MON-SUN </v>
          </cell>
          <cell r="M238" t="str">
            <v>(07:00 - 22:00)</v>
          </cell>
          <cell r="N238">
            <v>0</v>
          </cell>
          <cell r="O238">
            <v>0</v>
          </cell>
          <cell r="P238">
            <v>0</v>
          </cell>
          <cell r="Q238">
            <v>900</v>
          </cell>
        </row>
        <row r="239">
          <cell r="B239" t="str">
            <v>653K</v>
          </cell>
          <cell r="C239" t="str">
            <v>Lalu Riswan Hadi</v>
          </cell>
          <cell r="D239" t="str">
            <v>LotteM Mataram</v>
          </cell>
          <cell r="E239" t="str">
            <v>ADVANTAGE CAKRANEGARA</v>
          </cell>
          <cell r="F239">
            <v>1</v>
          </cell>
          <cell r="G239" t="str">
            <v>04-Denpasar</v>
          </cell>
          <cell r="H239" t="str">
            <v>B</v>
          </cell>
          <cell r="I239" t="str">
            <v>ATM</v>
          </cell>
          <cell r="J239" t="str">
            <v>Mataram</v>
          </cell>
          <cell r="K239" t="str">
            <v>Bali Nusra</v>
          </cell>
          <cell r="L239" t="str">
            <v xml:space="preserve">MON-SUN </v>
          </cell>
          <cell r="M239" t="str">
            <v>(08:00 - 21:00)</v>
          </cell>
          <cell r="N239">
            <v>0</v>
          </cell>
          <cell r="O239">
            <v>0</v>
          </cell>
          <cell r="P239">
            <v>0</v>
          </cell>
          <cell r="Q239">
            <v>780</v>
          </cell>
        </row>
        <row r="240">
          <cell r="B240" t="str">
            <v>653L</v>
          </cell>
          <cell r="C240" t="str">
            <v>Yohanes Yeximus Tritanto</v>
          </cell>
          <cell r="D240" t="str">
            <v>Minimarket Pagi</v>
          </cell>
          <cell r="E240" t="str">
            <v>KUPANG</v>
          </cell>
          <cell r="F240">
            <v>4</v>
          </cell>
          <cell r="G240" t="str">
            <v>04-Denpasar</v>
          </cell>
          <cell r="H240" t="str">
            <v>B</v>
          </cell>
          <cell r="I240" t="str">
            <v>ATM</v>
          </cell>
          <cell r="J240" t="str">
            <v>Ende</v>
          </cell>
          <cell r="K240" t="str">
            <v>Bali Nusra</v>
          </cell>
          <cell r="L240" t="str">
            <v xml:space="preserve">MON-SUN </v>
          </cell>
          <cell r="M240" t="str">
            <v>(00:00 - 23:59)</v>
          </cell>
          <cell r="N240">
            <v>0</v>
          </cell>
          <cell r="O240">
            <v>0</v>
          </cell>
          <cell r="P240">
            <v>0</v>
          </cell>
          <cell r="Q240">
            <v>1440</v>
          </cell>
        </row>
        <row r="241">
          <cell r="B241" t="str">
            <v>653M</v>
          </cell>
          <cell r="C241" t="str">
            <v>Muhammad Hidayatullah</v>
          </cell>
          <cell r="D241" t="str">
            <v>Plaza Bangunan</v>
          </cell>
          <cell r="E241" t="str">
            <v>ADVANTAGE CAKRANEGARA</v>
          </cell>
          <cell r="F241">
            <v>1</v>
          </cell>
          <cell r="G241" t="str">
            <v>04-Denpasar</v>
          </cell>
          <cell r="H241" t="str">
            <v>B</v>
          </cell>
          <cell r="I241" t="str">
            <v>ATM</v>
          </cell>
          <cell r="J241" t="str">
            <v>Lombok Timur</v>
          </cell>
          <cell r="K241" t="str">
            <v>Bali Nusra</v>
          </cell>
          <cell r="L241" t="str">
            <v xml:space="preserve">MON-SUN </v>
          </cell>
          <cell r="M241" t="str">
            <v>(00:00 - 23:59)</v>
          </cell>
          <cell r="N241">
            <v>0</v>
          </cell>
          <cell r="O241">
            <v>0</v>
          </cell>
          <cell r="P241">
            <v>0</v>
          </cell>
          <cell r="Q241">
            <v>1440</v>
          </cell>
        </row>
        <row r="242">
          <cell r="B242" t="str">
            <v>656C</v>
          </cell>
          <cell r="C242" t="str">
            <v>I Putu Dendy Pratama</v>
          </cell>
          <cell r="D242" t="str">
            <v>CK Kunti Textile BAL0483</v>
          </cell>
          <cell r="E242" t="str">
            <v>ABACUS BALI</v>
          </cell>
          <cell r="F242">
            <v>1</v>
          </cell>
          <cell r="G242" t="str">
            <v>04-Denpasar</v>
          </cell>
          <cell r="H242" t="str">
            <v>B</v>
          </cell>
          <cell r="I242" t="str">
            <v>ATM</v>
          </cell>
          <cell r="J242" t="str">
            <v>Denpasar</v>
          </cell>
          <cell r="K242" t="str">
            <v>Bali Nusra</v>
          </cell>
          <cell r="L242" t="str">
            <v xml:space="preserve">MON-SUN </v>
          </cell>
          <cell r="M242" t="str">
            <v>(00:00 - 23:59)</v>
          </cell>
          <cell r="N242">
            <v>0</v>
          </cell>
          <cell r="O242">
            <v>0</v>
          </cell>
          <cell r="P242">
            <v>0</v>
          </cell>
          <cell r="Q242">
            <v>1440</v>
          </cell>
        </row>
        <row r="243">
          <cell r="B243" t="str">
            <v>657F</v>
          </cell>
          <cell r="C243" t="str">
            <v>Arif Rahman Hakim</v>
          </cell>
          <cell r="D243" t="str">
            <v>CK Uluwatu Square</v>
          </cell>
          <cell r="E243" t="str">
            <v>ABACUS BALI</v>
          </cell>
          <cell r="F243">
            <v>1</v>
          </cell>
          <cell r="G243" t="str">
            <v>04-Denpasar</v>
          </cell>
          <cell r="H243" t="str">
            <v>B</v>
          </cell>
          <cell r="I243" t="str">
            <v>ATM</v>
          </cell>
          <cell r="J243" t="str">
            <v>Denpasar</v>
          </cell>
          <cell r="K243" t="str">
            <v>Bali Nusra</v>
          </cell>
          <cell r="L243" t="str">
            <v xml:space="preserve">MON-SUN </v>
          </cell>
          <cell r="M243" t="str">
            <v>(00:00 - 23:59)</v>
          </cell>
          <cell r="N243">
            <v>0</v>
          </cell>
          <cell r="O243">
            <v>0</v>
          </cell>
          <cell r="P243">
            <v>0</v>
          </cell>
          <cell r="Q243">
            <v>1440</v>
          </cell>
        </row>
        <row r="244">
          <cell r="B244" t="str">
            <v>660D</v>
          </cell>
          <cell r="C244" t="str">
            <v>Farozan Ali Fahmi</v>
          </cell>
          <cell r="D244" t="str">
            <v>Bali Zoo 1</v>
          </cell>
          <cell r="E244" t="str">
            <v>ABACUS BALI</v>
          </cell>
          <cell r="F244">
            <v>1</v>
          </cell>
          <cell r="G244" t="str">
            <v>04-Denpasar</v>
          </cell>
          <cell r="H244" t="str">
            <v>B</v>
          </cell>
          <cell r="I244" t="str">
            <v>ATM</v>
          </cell>
          <cell r="J244" t="str">
            <v>Denpasar</v>
          </cell>
          <cell r="K244" t="str">
            <v>Bali Nusra</v>
          </cell>
          <cell r="L244" t="str">
            <v xml:space="preserve">MON-SUN </v>
          </cell>
          <cell r="M244" t="str">
            <v>(00:00 - 23:59)</v>
          </cell>
          <cell r="N244">
            <v>0</v>
          </cell>
          <cell r="O244">
            <v>0</v>
          </cell>
          <cell r="P244">
            <v>0</v>
          </cell>
          <cell r="Q244">
            <v>1440</v>
          </cell>
        </row>
        <row r="245">
          <cell r="B245" t="str">
            <v>663N</v>
          </cell>
          <cell r="C245" t="str">
            <v>I Putu Dendy Pratama</v>
          </cell>
          <cell r="D245" t="str">
            <v>CK 304 Nakula Timur</v>
          </cell>
          <cell r="E245" t="str">
            <v>ABACUS BALI</v>
          </cell>
          <cell r="F245">
            <v>1</v>
          </cell>
          <cell r="G245" t="str">
            <v>04-Denpasar</v>
          </cell>
          <cell r="H245" t="str">
            <v>B</v>
          </cell>
          <cell r="I245" t="str">
            <v>ATM</v>
          </cell>
          <cell r="J245" t="str">
            <v>Denpasar</v>
          </cell>
          <cell r="K245" t="str">
            <v>Bali Nusra</v>
          </cell>
          <cell r="L245" t="str">
            <v xml:space="preserve">MON-SUN </v>
          </cell>
          <cell r="M245" t="str">
            <v>(00:00 - 23:59)</v>
          </cell>
          <cell r="N245">
            <v>0</v>
          </cell>
          <cell r="O245">
            <v>0</v>
          </cell>
          <cell r="P245">
            <v>0</v>
          </cell>
          <cell r="Q245">
            <v>1440</v>
          </cell>
        </row>
        <row r="246">
          <cell r="B246" t="str">
            <v>664B</v>
          </cell>
          <cell r="C246" t="str">
            <v>Suhel Risdianto</v>
          </cell>
          <cell r="D246" t="str">
            <v>Minimarket Kembar Artha</v>
          </cell>
          <cell r="E246" t="str">
            <v>ABACUS BALI</v>
          </cell>
          <cell r="F246">
            <v>1</v>
          </cell>
          <cell r="G246" t="str">
            <v>04-Denpasar</v>
          </cell>
          <cell r="H246" t="str">
            <v>B</v>
          </cell>
          <cell r="I246" t="str">
            <v>ATM</v>
          </cell>
          <cell r="J246" t="str">
            <v>Denpasar</v>
          </cell>
          <cell r="K246" t="str">
            <v>Bali Nusra</v>
          </cell>
          <cell r="L246" t="str">
            <v xml:space="preserve">MON-SUN </v>
          </cell>
          <cell r="M246" t="str">
            <v>(00:00 - 23:59)</v>
          </cell>
          <cell r="N246">
            <v>0</v>
          </cell>
          <cell r="O246">
            <v>0</v>
          </cell>
          <cell r="P246">
            <v>0</v>
          </cell>
          <cell r="Q246">
            <v>1440</v>
          </cell>
        </row>
        <row r="247">
          <cell r="B247" t="str">
            <v>6651</v>
          </cell>
          <cell r="C247" t="str">
            <v>Suhel Risdianto</v>
          </cell>
          <cell r="D247" t="str">
            <v>Hotel Taman Suci</v>
          </cell>
          <cell r="E247" t="str">
            <v>ABACUS BALI</v>
          </cell>
          <cell r="F247">
            <v>1</v>
          </cell>
          <cell r="G247" t="str">
            <v>04-Denpasar</v>
          </cell>
          <cell r="H247" t="str">
            <v>B</v>
          </cell>
          <cell r="I247" t="str">
            <v>ATM</v>
          </cell>
          <cell r="J247" t="str">
            <v>Denpasar</v>
          </cell>
          <cell r="K247" t="str">
            <v>Bali Nusra</v>
          </cell>
          <cell r="L247" t="str">
            <v xml:space="preserve">MON-SUN </v>
          </cell>
          <cell r="M247" t="str">
            <v>(00:00 - 23:59)</v>
          </cell>
          <cell r="N247">
            <v>0</v>
          </cell>
          <cell r="O247">
            <v>0</v>
          </cell>
          <cell r="P247">
            <v>0</v>
          </cell>
          <cell r="Q247">
            <v>1440</v>
          </cell>
        </row>
        <row r="248">
          <cell r="B248" t="str">
            <v>665M</v>
          </cell>
          <cell r="C248" t="str">
            <v>I Putu Dendy Pratama</v>
          </cell>
          <cell r="D248" t="str">
            <v>Toko Ayu Pulau Galang 1</v>
          </cell>
          <cell r="E248" t="str">
            <v>ABACUS BALI</v>
          </cell>
          <cell r="F248">
            <v>1</v>
          </cell>
          <cell r="G248" t="str">
            <v>04-Denpasar</v>
          </cell>
          <cell r="H248" t="str">
            <v>B</v>
          </cell>
          <cell r="I248" t="str">
            <v>ATM</v>
          </cell>
          <cell r="J248" t="str">
            <v>Denpasar</v>
          </cell>
          <cell r="K248" t="str">
            <v>Bali Nusra</v>
          </cell>
          <cell r="L248" t="str">
            <v xml:space="preserve">MON-SUN </v>
          </cell>
          <cell r="M248" t="str">
            <v>(00:00 - 23:59)</v>
          </cell>
          <cell r="N248">
            <v>0</v>
          </cell>
          <cell r="O248">
            <v>0</v>
          </cell>
          <cell r="P248">
            <v>0</v>
          </cell>
          <cell r="Q248">
            <v>1440</v>
          </cell>
        </row>
        <row r="249">
          <cell r="B249" t="str">
            <v>6736</v>
          </cell>
          <cell r="C249" t="str">
            <v>I Putu Dendy Pratama</v>
          </cell>
          <cell r="D249" t="str">
            <v>Hard Rock Hotel Denpasar</v>
          </cell>
          <cell r="E249" t="str">
            <v>ABACUS BALI</v>
          </cell>
          <cell r="F249">
            <v>1</v>
          </cell>
          <cell r="G249" t="str">
            <v>04-Denpasar</v>
          </cell>
          <cell r="H249" t="str">
            <v>B</v>
          </cell>
          <cell r="I249" t="str">
            <v>ATM</v>
          </cell>
          <cell r="J249" t="str">
            <v>Denpasar</v>
          </cell>
          <cell r="K249" t="str">
            <v>Bali Nusra</v>
          </cell>
          <cell r="L249" t="str">
            <v xml:space="preserve">MON-SUN </v>
          </cell>
          <cell r="M249" t="str">
            <v>(00:00 - 23:59)</v>
          </cell>
          <cell r="N249">
            <v>0</v>
          </cell>
          <cell r="O249">
            <v>0</v>
          </cell>
          <cell r="P249">
            <v>0</v>
          </cell>
          <cell r="Q249">
            <v>1440</v>
          </cell>
        </row>
        <row r="250">
          <cell r="B250" t="str">
            <v>6738</v>
          </cell>
          <cell r="C250" t="str">
            <v>Bambang Yuniarko</v>
          </cell>
          <cell r="D250" t="str">
            <v>RSUP Sanglah</v>
          </cell>
          <cell r="E250" t="str">
            <v>ANDALAN BALI</v>
          </cell>
          <cell r="F250">
            <v>1</v>
          </cell>
          <cell r="G250" t="str">
            <v>04-Denpasar</v>
          </cell>
          <cell r="H250" t="str">
            <v>B</v>
          </cell>
          <cell r="I250" t="str">
            <v>ATM</v>
          </cell>
          <cell r="J250" t="str">
            <v>Denpasar</v>
          </cell>
          <cell r="K250" t="str">
            <v>Bali Nusra</v>
          </cell>
          <cell r="L250" t="str">
            <v xml:space="preserve">MON-SUN </v>
          </cell>
          <cell r="M250" t="str">
            <v>(00:00 - 23:59)</v>
          </cell>
          <cell r="N250">
            <v>0</v>
          </cell>
          <cell r="O250">
            <v>0</v>
          </cell>
          <cell r="P250">
            <v>0</v>
          </cell>
          <cell r="Q250">
            <v>1440</v>
          </cell>
        </row>
        <row r="251">
          <cell r="B251" t="str">
            <v>676Q</v>
          </cell>
          <cell r="C251" t="str">
            <v>Lalu Riswan Hadi</v>
          </cell>
          <cell r="D251" t="str">
            <v>Golden Palace Hotel</v>
          </cell>
          <cell r="E251" t="str">
            <v>ADVANTAGE CAKRANEGARA</v>
          </cell>
          <cell r="F251">
            <v>1</v>
          </cell>
          <cell r="G251" t="str">
            <v>04-Denpasar</v>
          </cell>
          <cell r="H251" t="str">
            <v>B</v>
          </cell>
          <cell r="I251" t="str">
            <v>ATM</v>
          </cell>
          <cell r="J251" t="str">
            <v>Mataram</v>
          </cell>
          <cell r="K251" t="str">
            <v>Bali Nusra</v>
          </cell>
          <cell r="L251" t="str">
            <v xml:space="preserve">MON-SUN </v>
          </cell>
          <cell r="M251" t="str">
            <v>(00:00 - 23:59)</v>
          </cell>
          <cell r="N251">
            <v>0</v>
          </cell>
          <cell r="O251">
            <v>0</v>
          </cell>
          <cell r="P251">
            <v>0</v>
          </cell>
          <cell r="Q251">
            <v>1440</v>
          </cell>
        </row>
        <row r="252">
          <cell r="B252" t="str">
            <v>681W</v>
          </cell>
          <cell r="C252" t="str">
            <v>Farozan Ali Fahmi</v>
          </cell>
          <cell r="D252" t="str">
            <v>IDM Intan Mart</v>
          </cell>
          <cell r="E252" t="str">
            <v>ABACUS BALI</v>
          </cell>
          <cell r="F252">
            <v>1</v>
          </cell>
          <cell r="G252" t="str">
            <v>04-Denpasar</v>
          </cell>
          <cell r="H252" t="str">
            <v>B</v>
          </cell>
          <cell r="I252" t="str">
            <v>ATM</v>
          </cell>
          <cell r="J252" t="str">
            <v>Denpasar</v>
          </cell>
          <cell r="K252" t="str">
            <v>Bali Nusra</v>
          </cell>
          <cell r="L252" t="str">
            <v xml:space="preserve">MON-SUN </v>
          </cell>
          <cell r="M252" t="str">
            <v>(07:00 - 22:00)</v>
          </cell>
          <cell r="N252">
            <v>2</v>
          </cell>
          <cell r="O252">
            <v>145</v>
          </cell>
          <cell r="P252">
            <v>16.11</v>
          </cell>
          <cell r="Q252">
            <v>900</v>
          </cell>
        </row>
        <row r="253">
          <cell r="B253" t="str">
            <v>681Z</v>
          </cell>
          <cell r="C253" t="str">
            <v>Arif Rahman Hakim</v>
          </cell>
          <cell r="D253" t="str">
            <v>The RitzCarlton Hotel</v>
          </cell>
          <cell r="E253" t="str">
            <v>ABACUS BALI</v>
          </cell>
          <cell r="F253">
            <v>1</v>
          </cell>
          <cell r="G253" t="str">
            <v>04-Denpasar</v>
          </cell>
          <cell r="H253" t="str">
            <v>B</v>
          </cell>
          <cell r="I253" t="str">
            <v>ATM</v>
          </cell>
          <cell r="J253" t="str">
            <v>Denpasar</v>
          </cell>
          <cell r="K253" t="str">
            <v>Bali Nusra</v>
          </cell>
          <cell r="L253" t="str">
            <v xml:space="preserve">MON-SUN </v>
          </cell>
          <cell r="M253" t="str">
            <v>(00:00 - 23:59)</v>
          </cell>
          <cell r="N253">
            <v>0</v>
          </cell>
          <cell r="O253">
            <v>0</v>
          </cell>
          <cell r="P253">
            <v>0</v>
          </cell>
          <cell r="Q253">
            <v>1440</v>
          </cell>
        </row>
        <row r="254">
          <cell r="B254" t="str">
            <v>683F</v>
          </cell>
          <cell r="C254" t="str">
            <v>Yunarius Raynold Gege</v>
          </cell>
          <cell r="D254" t="str">
            <v>Alfa Kolhua</v>
          </cell>
          <cell r="E254" t="str">
            <v>ADVANTAGE KUPANG</v>
          </cell>
          <cell r="F254">
            <v>1</v>
          </cell>
          <cell r="G254" t="str">
            <v>04-Denpasar</v>
          </cell>
          <cell r="H254" t="str">
            <v>B</v>
          </cell>
          <cell r="I254" t="str">
            <v>ATM</v>
          </cell>
          <cell r="J254" t="str">
            <v>Kupang</v>
          </cell>
          <cell r="K254" t="str">
            <v>Bali Nusra</v>
          </cell>
          <cell r="L254" t="str">
            <v xml:space="preserve">MON-SUN </v>
          </cell>
          <cell r="M254" t="str">
            <v>(00:00 - 23:59)</v>
          </cell>
          <cell r="N254">
            <v>0</v>
          </cell>
          <cell r="O254">
            <v>0</v>
          </cell>
          <cell r="P254">
            <v>0</v>
          </cell>
          <cell r="Q254">
            <v>1440</v>
          </cell>
        </row>
        <row r="255">
          <cell r="B255" t="str">
            <v>683X</v>
          </cell>
          <cell r="C255" t="str">
            <v>Bambang Yuniarko</v>
          </cell>
          <cell r="D255" t="str">
            <v>Koperasi 163 Mart</v>
          </cell>
          <cell r="E255" t="str">
            <v>ANDALAN BALI</v>
          </cell>
          <cell r="F255">
            <v>1</v>
          </cell>
          <cell r="G255" t="str">
            <v>04-Denpasar</v>
          </cell>
          <cell r="H255" t="str">
            <v>B</v>
          </cell>
          <cell r="I255" t="str">
            <v>ATM</v>
          </cell>
          <cell r="J255" t="str">
            <v>Denpasar</v>
          </cell>
          <cell r="K255" t="str">
            <v>Bali Nusra</v>
          </cell>
          <cell r="L255" t="str">
            <v xml:space="preserve">MON-SUN </v>
          </cell>
          <cell r="M255" t="str">
            <v>(08:00 - 21:00)</v>
          </cell>
          <cell r="N255">
            <v>0</v>
          </cell>
          <cell r="O255">
            <v>0</v>
          </cell>
          <cell r="P255">
            <v>0</v>
          </cell>
          <cell r="Q255">
            <v>780</v>
          </cell>
        </row>
        <row r="256">
          <cell r="B256" t="str">
            <v>685B</v>
          </cell>
          <cell r="C256" t="str">
            <v>Revaldi Resha Wardhana</v>
          </cell>
          <cell r="D256" t="str">
            <v>IDM Raya Sangeh</v>
          </cell>
          <cell r="E256" t="str">
            <v>ABACUS BALI</v>
          </cell>
          <cell r="F256">
            <v>1</v>
          </cell>
          <cell r="G256" t="str">
            <v>04-Denpasar</v>
          </cell>
          <cell r="H256" t="str">
            <v>B</v>
          </cell>
          <cell r="I256" t="str">
            <v>ATM</v>
          </cell>
          <cell r="J256" t="str">
            <v>Denpasar</v>
          </cell>
          <cell r="K256" t="str">
            <v>Bali Nusra</v>
          </cell>
          <cell r="L256" t="str">
            <v xml:space="preserve">MON-SUN </v>
          </cell>
          <cell r="M256" t="str">
            <v>(07:00 - 22:00)</v>
          </cell>
          <cell r="N256">
            <v>1</v>
          </cell>
          <cell r="O256">
            <v>63</v>
          </cell>
          <cell r="P256">
            <v>7</v>
          </cell>
          <cell r="Q256">
            <v>900</v>
          </cell>
        </row>
        <row r="257">
          <cell r="B257" t="str">
            <v>685E</v>
          </cell>
          <cell r="C257" t="str">
            <v>Arif Rahman Hakim</v>
          </cell>
          <cell r="D257" t="str">
            <v>Pepito Primaloka Kutuh</v>
          </cell>
          <cell r="E257" t="str">
            <v>ABACUS BALI</v>
          </cell>
          <cell r="F257">
            <v>1</v>
          </cell>
          <cell r="G257" t="str">
            <v>04-Denpasar</v>
          </cell>
          <cell r="H257" t="str">
            <v>B</v>
          </cell>
          <cell r="I257" t="str">
            <v>ATM</v>
          </cell>
          <cell r="J257" t="str">
            <v>Denpasar</v>
          </cell>
          <cell r="K257" t="str">
            <v>Bali Nusra</v>
          </cell>
          <cell r="L257" t="str">
            <v xml:space="preserve">MON-SUN </v>
          </cell>
          <cell r="M257" t="str">
            <v>(00:00 - 23:59)</v>
          </cell>
          <cell r="N257">
            <v>0</v>
          </cell>
          <cell r="O257">
            <v>0</v>
          </cell>
          <cell r="P257">
            <v>0</v>
          </cell>
          <cell r="Q257">
            <v>1440</v>
          </cell>
        </row>
        <row r="258">
          <cell r="B258" t="str">
            <v>686H</v>
          </cell>
          <cell r="C258" t="str">
            <v>Rio Erdiansyah</v>
          </cell>
          <cell r="D258" t="str">
            <v>IDM Kembang Mertha</v>
          </cell>
          <cell r="E258" t="str">
            <v>ABACUS BALI</v>
          </cell>
          <cell r="F258">
            <v>2</v>
          </cell>
          <cell r="G258" t="str">
            <v>04-Denpasar</v>
          </cell>
          <cell r="H258" t="str">
            <v>B</v>
          </cell>
          <cell r="I258" t="str">
            <v>ATM</v>
          </cell>
          <cell r="J258" t="str">
            <v>Singaraja</v>
          </cell>
          <cell r="K258" t="str">
            <v>Bali Nusra</v>
          </cell>
          <cell r="L258" t="str">
            <v xml:space="preserve">MON-SUN </v>
          </cell>
          <cell r="M258" t="str">
            <v>(06:00 - 22:00)</v>
          </cell>
          <cell r="N258">
            <v>0</v>
          </cell>
          <cell r="O258">
            <v>0</v>
          </cell>
          <cell r="P258">
            <v>0</v>
          </cell>
          <cell r="Q258">
            <v>960</v>
          </cell>
        </row>
        <row r="259">
          <cell r="B259" t="str">
            <v>686M</v>
          </cell>
          <cell r="C259" t="str">
            <v>Eko Adi Sugiyantoro</v>
          </cell>
          <cell r="D259" t="str">
            <v>CK Tridaya Canggu</v>
          </cell>
          <cell r="E259" t="str">
            <v>ABACUS BALI</v>
          </cell>
          <cell r="F259">
            <v>1</v>
          </cell>
          <cell r="G259" t="str">
            <v>04-Denpasar</v>
          </cell>
          <cell r="H259" t="str">
            <v>B</v>
          </cell>
          <cell r="I259" t="str">
            <v>ATM</v>
          </cell>
          <cell r="J259" t="str">
            <v>Denpasar</v>
          </cell>
          <cell r="K259" t="str">
            <v>Bali Nusra</v>
          </cell>
          <cell r="L259" t="str">
            <v xml:space="preserve">MON-SUN </v>
          </cell>
          <cell r="M259" t="str">
            <v>(00:00 - 23:59)</v>
          </cell>
          <cell r="N259">
            <v>0</v>
          </cell>
          <cell r="O259">
            <v>0</v>
          </cell>
          <cell r="P259">
            <v>0</v>
          </cell>
          <cell r="Q259">
            <v>1440</v>
          </cell>
        </row>
        <row r="260">
          <cell r="B260" t="str">
            <v>686R</v>
          </cell>
          <cell r="C260" t="str">
            <v>Suhel Risdianto</v>
          </cell>
          <cell r="D260" t="str">
            <v>Alfa Wida Bali</v>
          </cell>
          <cell r="E260" t="str">
            <v>ABACUS BALI</v>
          </cell>
          <cell r="F260">
            <v>1</v>
          </cell>
          <cell r="G260" t="str">
            <v>04-Denpasar</v>
          </cell>
          <cell r="H260" t="str">
            <v>B</v>
          </cell>
          <cell r="I260" t="str">
            <v>ATM</v>
          </cell>
          <cell r="J260" t="str">
            <v>Denpasar</v>
          </cell>
          <cell r="K260" t="str">
            <v>Bali Nusra</v>
          </cell>
          <cell r="L260" t="str">
            <v xml:space="preserve">MON-SUN </v>
          </cell>
          <cell r="M260" t="str">
            <v>(07:00 - 22:00)</v>
          </cell>
          <cell r="N260">
            <v>0</v>
          </cell>
          <cell r="O260">
            <v>0</v>
          </cell>
          <cell r="P260">
            <v>0</v>
          </cell>
          <cell r="Q260">
            <v>900</v>
          </cell>
        </row>
        <row r="261">
          <cell r="B261" t="str">
            <v>686V</v>
          </cell>
          <cell r="C261" t="str">
            <v>Muhammad Ngainun Najib</v>
          </cell>
          <cell r="D261" t="str">
            <v>RS Murni Teguh</v>
          </cell>
          <cell r="E261" t="str">
            <v>ABACUS BALI</v>
          </cell>
          <cell r="F261">
            <v>1</v>
          </cell>
          <cell r="G261" t="str">
            <v>04-Denpasar</v>
          </cell>
          <cell r="H261" t="str">
            <v>B</v>
          </cell>
          <cell r="I261" t="str">
            <v>ATM</v>
          </cell>
          <cell r="J261" t="str">
            <v>Denpasar</v>
          </cell>
          <cell r="K261" t="str">
            <v>Bali Nusra</v>
          </cell>
          <cell r="L261" t="str">
            <v xml:space="preserve">MON-SUN </v>
          </cell>
          <cell r="M261" t="str">
            <v>(00:00 - 23:59)</v>
          </cell>
          <cell r="N261">
            <v>0</v>
          </cell>
          <cell r="O261">
            <v>0</v>
          </cell>
          <cell r="P261">
            <v>0</v>
          </cell>
          <cell r="Q261">
            <v>1440</v>
          </cell>
        </row>
        <row r="262">
          <cell r="B262" t="str">
            <v>6873</v>
          </cell>
          <cell r="C262" t="str">
            <v>Bambang Yuniarko</v>
          </cell>
          <cell r="D262" t="str">
            <v>SPBU CO 5180130 Dps</v>
          </cell>
          <cell r="E262" t="str">
            <v>ANDALAN BALI</v>
          </cell>
          <cell r="F262">
            <v>1</v>
          </cell>
          <cell r="G262" t="str">
            <v>04-Denpasar</v>
          </cell>
          <cell r="H262" t="str">
            <v>B</v>
          </cell>
          <cell r="I262" t="str">
            <v>ATM</v>
          </cell>
          <cell r="J262" t="str">
            <v>Denpasar</v>
          </cell>
          <cell r="K262" t="str">
            <v>Bali Nusra</v>
          </cell>
          <cell r="L262" t="str">
            <v xml:space="preserve">MON-SUN </v>
          </cell>
          <cell r="M262" t="str">
            <v>(00:00 - 23:59)</v>
          </cell>
          <cell r="N262">
            <v>0</v>
          </cell>
          <cell r="O262">
            <v>0</v>
          </cell>
          <cell r="P262">
            <v>0</v>
          </cell>
          <cell r="Q262">
            <v>1440</v>
          </cell>
        </row>
        <row r="263">
          <cell r="B263" t="str">
            <v>6878</v>
          </cell>
          <cell r="C263" t="str">
            <v>Leonardo A Ruly</v>
          </cell>
          <cell r="D263" t="str">
            <v>Royal</v>
          </cell>
          <cell r="E263" t="str">
            <v>ADVANTAGE KUPANG</v>
          </cell>
          <cell r="F263">
            <v>1</v>
          </cell>
          <cell r="G263" t="str">
            <v>04-Denpasar</v>
          </cell>
          <cell r="H263" t="str">
            <v>B</v>
          </cell>
          <cell r="I263" t="str">
            <v>ATM</v>
          </cell>
          <cell r="J263" t="str">
            <v>Kupang</v>
          </cell>
          <cell r="K263" t="str">
            <v>Bali Nusra</v>
          </cell>
          <cell r="L263" t="str">
            <v xml:space="preserve">MON-SUN </v>
          </cell>
          <cell r="M263" t="str">
            <v>(00:00 - 23:59)</v>
          </cell>
          <cell r="N263">
            <v>0</v>
          </cell>
          <cell r="O263">
            <v>0</v>
          </cell>
          <cell r="P263">
            <v>0</v>
          </cell>
          <cell r="Q263">
            <v>1440</v>
          </cell>
        </row>
        <row r="264">
          <cell r="B264" t="str">
            <v>687L</v>
          </cell>
          <cell r="C264" t="str">
            <v>Farozan Ali Fahmi</v>
          </cell>
          <cell r="D264" t="str">
            <v>Teten Mart Desa Adat</v>
          </cell>
          <cell r="E264" t="str">
            <v>ABACUS BALI</v>
          </cell>
          <cell r="F264">
            <v>1</v>
          </cell>
          <cell r="G264" t="str">
            <v>04-Denpasar</v>
          </cell>
          <cell r="H264" t="str">
            <v>B</v>
          </cell>
          <cell r="I264" t="str">
            <v>ATM</v>
          </cell>
          <cell r="J264" t="str">
            <v>Denpasar</v>
          </cell>
          <cell r="K264" t="str">
            <v>Bali Nusra</v>
          </cell>
          <cell r="L264" t="str">
            <v xml:space="preserve">MON-SUN </v>
          </cell>
          <cell r="M264" t="str">
            <v>(00:00 - 23:59)</v>
          </cell>
          <cell r="N264">
            <v>2</v>
          </cell>
          <cell r="O264">
            <v>168</v>
          </cell>
          <cell r="P264">
            <v>11.67</v>
          </cell>
          <cell r="Q264">
            <v>1440</v>
          </cell>
        </row>
        <row r="265">
          <cell r="B265" t="str">
            <v>687Z</v>
          </cell>
          <cell r="C265" t="str">
            <v>Farozan Ali Fahmi</v>
          </cell>
          <cell r="D265" t="str">
            <v>Toko Bali Dewata Penatih</v>
          </cell>
          <cell r="E265" t="str">
            <v>ABACUS BALI</v>
          </cell>
          <cell r="F265">
            <v>1</v>
          </cell>
          <cell r="G265" t="str">
            <v>04-Denpasar</v>
          </cell>
          <cell r="H265" t="str">
            <v>B</v>
          </cell>
          <cell r="I265" t="str">
            <v>ATM</v>
          </cell>
          <cell r="J265" t="str">
            <v>Denpasar</v>
          </cell>
          <cell r="K265" t="str">
            <v>Bali Nusra</v>
          </cell>
          <cell r="L265" t="str">
            <v xml:space="preserve">MON-SUN </v>
          </cell>
          <cell r="M265" t="str">
            <v>(07:00 - 22:00)</v>
          </cell>
          <cell r="N265">
            <v>1</v>
          </cell>
          <cell r="O265">
            <v>17</v>
          </cell>
          <cell r="P265">
            <v>1.89</v>
          </cell>
          <cell r="Q265">
            <v>900</v>
          </cell>
        </row>
        <row r="266">
          <cell r="B266" t="str">
            <v>688A</v>
          </cell>
          <cell r="C266" t="str">
            <v>Eko Adi Sugiyantoro</v>
          </cell>
          <cell r="D266" t="str">
            <v>CK Toko Frozen Dalung</v>
          </cell>
          <cell r="E266" t="str">
            <v>ABACUS BALI</v>
          </cell>
          <cell r="F266">
            <v>1</v>
          </cell>
          <cell r="G266" t="str">
            <v>04-Denpasar</v>
          </cell>
          <cell r="H266" t="str">
            <v>B</v>
          </cell>
          <cell r="I266" t="str">
            <v>ATM</v>
          </cell>
          <cell r="J266" t="str">
            <v>Denpasar</v>
          </cell>
          <cell r="K266" t="str">
            <v>Bali Nusra</v>
          </cell>
          <cell r="L266" t="str">
            <v xml:space="preserve">MON-SUN </v>
          </cell>
          <cell r="M266" t="str">
            <v>(00:00 - 23:59)</v>
          </cell>
          <cell r="N266">
            <v>0</v>
          </cell>
          <cell r="O266">
            <v>0</v>
          </cell>
          <cell r="P266">
            <v>0</v>
          </cell>
          <cell r="Q266">
            <v>1440</v>
          </cell>
        </row>
        <row r="267">
          <cell r="B267" t="str">
            <v>688B</v>
          </cell>
          <cell r="C267" t="str">
            <v>Suhel Risdianto</v>
          </cell>
          <cell r="D267" t="str">
            <v>IDM Andong II Gianyar</v>
          </cell>
          <cell r="E267" t="str">
            <v>ABACUS BALI</v>
          </cell>
          <cell r="F267">
            <v>1</v>
          </cell>
          <cell r="G267" t="str">
            <v>04-Denpasar</v>
          </cell>
          <cell r="H267" t="str">
            <v>B</v>
          </cell>
          <cell r="I267" t="str">
            <v>ATM</v>
          </cell>
          <cell r="J267" t="str">
            <v>Denpasar</v>
          </cell>
          <cell r="K267" t="str">
            <v>Bali Nusra</v>
          </cell>
          <cell r="L267" t="str">
            <v xml:space="preserve">MON-SUN </v>
          </cell>
          <cell r="M267" t="str">
            <v>(07:00 - 22:00)</v>
          </cell>
          <cell r="N267">
            <v>1</v>
          </cell>
          <cell r="O267">
            <v>199</v>
          </cell>
          <cell r="P267">
            <v>22.11</v>
          </cell>
          <cell r="Q267">
            <v>900</v>
          </cell>
        </row>
        <row r="268">
          <cell r="B268" t="str">
            <v>688D</v>
          </cell>
          <cell r="C268" t="str">
            <v>Bambang Yuniarko</v>
          </cell>
          <cell r="D268" t="str">
            <v>CK Dapur Express Renon</v>
          </cell>
          <cell r="E268" t="str">
            <v>ANDALAN BALI</v>
          </cell>
          <cell r="F268">
            <v>1</v>
          </cell>
          <cell r="G268" t="str">
            <v>04-Denpasar</v>
          </cell>
          <cell r="H268" t="str">
            <v>B</v>
          </cell>
          <cell r="I268" t="str">
            <v>ATM</v>
          </cell>
          <cell r="J268" t="str">
            <v>Denpasar</v>
          </cell>
          <cell r="K268" t="str">
            <v>Bali Nusra</v>
          </cell>
          <cell r="L268" t="str">
            <v xml:space="preserve">MON-SUN </v>
          </cell>
          <cell r="M268" t="str">
            <v>(06:00 - 23:00)</v>
          </cell>
          <cell r="N268">
            <v>0</v>
          </cell>
          <cell r="O268">
            <v>0</v>
          </cell>
          <cell r="P268">
            <v>0</v>
          </cell>
          <cell r="Q268">
            <v>1020</v>
          </cell>
        </row>
        <row r="269">
          <cell r="B269" t="str">
            <v>688J</v>
          </cell>
          <cell r="C269" t="str">
            <v>Alparizi</v>
          </cell>
          <cell r="D269" t="str">
            <v>Alfa Adisucipto Mataram</v>
          </cell>
          <cell r="E269" t="str">
            <v>ADVANTAGE CAKRANEGARA</v>
          </cell>
          <cell r="F269">
            <v>1</v>
          </cell>
          <cell r="G269" t="str">
            <v>04-Denpasar</v>
          </cell>
          <cell r="H269" t="str">
            <v>B</v>
          </cell>
          <cell r="I269" t="str">
            <v>ATM</v>
          </cell>
          <cell r="J269" t="str">
            <v>Mataram</v>
          </cell>
          <cell r="K269" t="str">
            <v>Bali Nusra</v>
          </cell>
          <cell r="L269" t="str">
            <v xml:space="preserve">MON-SUN </v>
          </cell>
          <cell r="M269" t="str">
            <v>(07:00 - 23:00)</v>
          </cell>
          <cell r="N269">
            <v>0</v>
          </cell>
          <cell r="O269">
            <v>0</v>
          </cell>
          <cell r="P269">
            <v>0</v>
          </cell>
          <cell r="Q269">
            <v>960</v>
          </cell>
        </row>
        <row r="270">
          <cell r="B270" t="str">
            <v>688K</v>
          </cell>
          <cell r="C270" t="str">
            <v>Suhel Risdianto</v>
          </cell>
          <cell r="D270" t="str">
            <v>IDM Imam Bonjol</v>
          </cell>
          <cell r="E270" t="str">
            <v>ABACUS BALI</v>
          </cell>
          <cell r="F270">
            <v>1</v>
          </cell>
          <cell r="G270" t="str">
            <v>04-Denpasar</v>
          </cell>
          <cell r="H270" t="str">
            <v>B</v>
          </cell>
          <cell r="I270" t="str">
            <v>ATM</v>
          </cell>
          <cell r="J270" t="str">
            <v>Denpasar</v>
          </cell>
          <cell r="K270" t="str">
            <v>Bali Nusra</v>
          </cell>
          <cell r="L270" t="str">
            <v xml:space="preserve">MON-SUN </v>
          </cell>
          <cell r="M270" t="str">
            <v>(07:00 - 22:00)</v>
          </cell>
          <cell r="N270">
            <v>0</v>
          </cell>
          <cell r="O270">
            <v>0</v>
          </cell>
          <cell r="P270">
            <v>0</v>
          </cell>
          <cell r="Q270">
            <v>900</v>
          </cell>
        </row>
        <row r="271">
          <cell r="B271" t="str">
            <v>689D</v>
          </cell>
          <cell r="C271" t="str">
            <v>Bambang Yuniarko</v>
          </cell>
          <cell r="D271" t="str">
            <v>IDM Palapa</v>
          </cell>
          <cell r="E271" t="str">
            <v>ABACUS BALI</v>
          </cell>
          <cell r="F271">
            <v>1</v>
          </cell>
          <cell r="G271" t="str">
            <v>04-Denpasar</v>
          </cell>
          <cell r="H271" t="str">
            <v>B</v>
          </cell>
          <cell r="I271" t="str">
            <v>ATM</v>
          </cell>
          <cell r="J271" t="str">
            <v>Denpasar</v>
          </cell>
          <cell r="K271" t="str">
            <v>Bali Nusra</v>
          </cell>
          <cell r="L271" t="str">
            <v xml:space="preserve">MON-SUN </v>
          </cell>
          <cell r="M271" t="str">
            <v>(00:00 - 23:59)</v>
          </cell>
          <cell r="N271">
            <v>0</v>
          </cell>
          <cell r="O271">
            <v>0</v>
          </cell>
          <cell r="P271">
            <v>0</v>
          </cell>
          <cell r="Q271">
            <v>1440</v>
          </cell>
        </row>
        <row r="272">
          <cell r="B272" t="str">
            <v>689H</v>
          </cell>
          <cell r="C272" t="str">
            <v>Eko Adi Sugiyantoro</v>
          </cell>
          <cell r="D272" t="str">
            <v>Luigis Hot Pizza Bali</v>
          </cell>
          <cell r="E272" t="str">
            <v>ABACUS BALI</v>
          </cell>
          <cell r="F272">
            <v>1</v>
          </cell>
          <cell r="G272" t="str">
            <v>04-Denpasar</v>
          </cell>
          <cell r="H272" t="str">
            <v>B</v>
          </cell>
          <cell r="I272" t="str">
            <v>ATM</v>
          </cell>
          <cell r="J272" t="str">
            <v>Denpasar</v>
          </cell>
          <cell r="K272" t="str">
            <v>Bali Nusra</v>
          </cell>
          <cell r="L272" t="str">
            <v xml:space="preserve">MON-SUN </v>
          </cell>
          <cell r="M272" t="str">
            <v>(00:00 - 23:59)</v>
          </cell>
          <cell r="N272">
            <v>0</v>
          </cell>
          <cell r="O272">
            <v>0</v>
          </cell>
          <cell r="P272">
            <v>0</v>
          </cell>
          <cell r="Q272">
            <v>1440</v>
          </cell>
        </row>
        <row r="273">
          <cell r="B273" t="str">
            <v>689M</v>
          </cell>
          <cell r="C273" t="str">
            <v>Farozan Ali Fahmi</v>
          </cell>
          <cell r="D273" t="str">
            <v>Grand Lucky Sanur Bali</v>
          </cell>
          <cell r="E273" t="str">
            <v>ANDALAN BALI</v>
          </cell>
          <cell r="F273">
            <v>1</v>
          </cell>
          <cell r="G273" t="str">
            <v>04-Denpasar</v>
          </cell>
          <cell r="H273" t="str">
            <v>B</v>
          </cell>
          <cell r="I273" t="str">
            <v>ATM</v>
          </cell>
          <cell r="J273" t="str">
            <v>Denpasar</v>
          </cell>
          <cell r="K273" t="str">
            <v>Bali Nusra</v>
          </cell>
          <cell r="L273" t="str">
            <v xml:space="preserve">MON-SUN </v>
          </cell>
          <cell r="M273" t="str">
            <v>(07:00 - 22:00)</v>
          </cell>
          <cell r="N273">
            <v>1</v>
          </cell>
          <cell r="O273">
            <v>24</v>
          </cell>
          <cell r="P273">
            <v>2.67</v>
          </cell>
          <cell r="Q273">
            <v>900</v>
          </cell>
        </row>
        <row r="274">
          <cell r="B274" t="str">
            <v>691X</v>
          </cell>
          <cell r="C274" t="str">
            <v>Farozan Ali Fahmi</v>
          </cell>
          <cell r="D274" t="str">
            <v>Arys Mikro Batuyang</v>
          </cell>
          <cell r="E274" t="str">
            <v>ABACUS BALI</v>
          </cell>
          <cell r="F274">
            <v>1</v>
          </cell>
          <cell r="G274" t="str">
            <v>04-Denpasar</v>
          </cell>
          <cell r="H274" t="str">
            <v>B</v>
          </cell>
          <cell r="I274" t="str">
            <v>ATM</v>
          </cell>
          <cell r="J274" t="str">
            <v>Denpasar</v>
          </cell>
          <cell r="K274" t="str">
            <v>Bali Nusra</v>
          </cell>
          <cell r="L274" t="str">
            <v xml:space="preserve">MON-SUN </v>
          </cell>
          <cell r="M274" t="str">
            <v>(00:00 - 23:59)</v>
          </cell>
          <cell r="N274">
            <v>0</v>
          </cell>
          <cell r="O274">
            <v>0</v>
          </cell>
          <cell r="P274">
            <v>0</v>
          </cell>
          <cell r="Q274">
            <v>1440</v>
          </cell>
        </row>
        <row r="275">
          <cell r="B275" t="str">
            <v>692A</v>
          </cell>
          <cell r="C275" t="str">
            <v>Alparizi</v>
          </cell>
          <cell r="D275" t="str">
            <v>Alfa Raya Kopang</v>
          </cell>
          <cell r="E275" t="str">
            <v>ADVANTAGE CAKRANEGARA</v>
          </cell>
          <cell r="F275">
            <v>2</v>
          </cell>
          <cell r="G275" t="str">
            <v>04-Denpasar</v>
          </cell>
          <cell r="H275" t="str">
            <v>B</v>
          </cell>
          <cell r="I275" t="str">
            <v>ATM</v>
          </cell>
          <cell r="J275" t="str">
            <v>Mataram</v>
          </cell>
          <cell r="K275" t="str">
            <v>Bali Nusra</v>
          </cell>
          <cell r="L275" t="str">
            <v xml:space="preserve">MON-SUN </v>
          </cell>
          <cell r="M275" t="str">
            <v>(00:00 - 23:59)</v>
          </cell>
          <cell r="N275">
            <v>0</v>
          </cell>
          <cell r="O275">
            <v>0</v>
          </cell>
          <cell r="P275">
            <v>0</v>
          </cell>
          <cell r="Q275">
            <v>1440</v>
          </cell>
        </row>
        <row r="276">
          <cell r="B276" t="str">
            <v>692Q</v>
          </cell>
          <cell r="C276" t="str">
            <v>Farozan Ali Fahmi</v>
          </cell>
          <cell r="D276" t="str">
            <v>Arys Mikro Singapadu</v>
          </cell>
          <cell r="E276" t="str">
            <v>ABACUS BALI</v>
          </cell>
          <cell r="F276">
            <v>1</v>
          </cell>
          <cell r="G276" t="str">
            <v>04-Denpasar</v>
          </cell>
          <cell r="H276" t="str">
            <v>B</v>
          </cell>
          <cell r="I276" t="str">
            <v>ATM</v>
          </cell>
          <cell r="J276" t="str">
            <v>Denpasar</v>
          </cell>
          <cell r="K276" t="str">
            <v>Bali Nusra</v>
          </cell>
          <cell r="L276" t="str">
            <v xml:space="preserve">MON-SUN </v>
          </cell>
          <cell r="M276" t="str">
            <v>(00:00 - 23:59)</v>
          </cell>
          <cell r="N276">
            <v>0</v>
          </cell>
          <cell r="O276">
            <v>0</v>
          </cell>
          <cell r="P276">
            <v>0</v>
          </cell>
          <cell r="Q276">
            <v>1440</v>
          </cell>
        </row>
        <row r="277">
          <cell r="B277" t="str">
            <v>694F</v>
          </cell>
          <cell r="C277" t="str">
            <v>Arif Rahman Hakim</v>
          </cell>
          <cell r="D277" t="str">
            <v>Bvlgari Resort Bali</v>
          </cell>
          <cell r="E277" t="str">
            <v>ABACUS BALI</v>
          </cell>
          <cell r="F277">
            <v>1</v>
          </cell>
          <cell r="G277" t="str">
            <v>04-Denpasar</v>
          </cell>
          <cell r="H277" t="str">
            <v>B</v>
          </cell>
          <cell r="I277" t="str">
            <v>ATM</v>
          </cell>
          <cell r="J277" t="str">
            <v>Denpasar</v>
          </cell>
          <cell r="K277" t="str">
            <v>Bali Nusra</v>
          </cell>
          <cell r="L277" t="str">
            <v xml:space="preserve">MON-SUN </v>
          </cell>
          <cell r="M277" t="str">
            <v>(00:00 - 23:59)</v>
          </cell>
          <cell r="N277">
            <v>0</v>
          </cell>
          <cell r="O277">
            <v>0</v>
          </cell>
          <cell r="P277">
            <v>0</v>
          </cell>
          <cell r="Q277">
            <v>1440</v>
          </cell>
        </row>
        <row r="278">
          <cell r="B278" t="str">
            <v>694K</v>
          </cell>
          <cell r="C278" t="str">
            <v>Arif Rahman Hakim</v>
          </cell>
          <cell r="D278" t="str">
            <v>Hotel Conrad Bali</v>
          </cell>
          <cell r="E278" t="str">
            <v>ABACUS BALI</v>
          </cell>
          <cell r="F278">
            <v>1</v>
          </cell>
          <cell r="G278" t="str">
            <v>04-Denpasar</v>
          </cell>
          <cell r="H278" t="str">
            <v>B</v>
          </cell>
          <cell r="I278" t="str">
            <v>ATM</v>
          </cell>
          <cell r="J278" t="str">
            <v>Denpasar</v>
          </cell>
          <cell r="K278" t="str">
            <v>Bali Nusra</v>
          </cell>
          <cell r="L278" t="str">
            <v xml:space="preserve">MON-SUN </v>
          </cell>
          <cell r="M278" t="str">
            <v>(00:00 - 23:59)</v>
          </cell>
          <cell r="N278">
            <v>0</v>
          </cell>
          <cell r="O278">
            <v>0</v>
          </cell>
          <cell r="P278">
            <v>0</v>
          </cell>
          <cell r="Q278">
            <v>1440</v>
          </cell>
        </row>
        <row r="279">
          <cell r="B279" t="str">
            <v>694M</v>
          </cell>
          <cell r="C279" t="str">
            <v>Suhel Risdianto</v>
          </cell>
          <cell r="D279" t="str">
            <v>CK Kadewatan</v>
          </cell>
          <cell r="E279" t="str">
            <v>ABACUS BALI</v>
          </cell>
          <cell r="F279">
            <v>2</v>
          </cell>
          <cell r="G279" t="str">
            <v>04-Denpasar</v>
          </cell>
          <cell r="H279" t="str">
            <v>B</v>
          </cell>
          <cell r="I279" t="str">
            <v>ATM</v>
          </cell>
          <cell r="J279" t="str">
            <v>Denpasar</v>
          </cell>
          <cell r="K279" t="str">
            <v>Bali Nusra</v>
          </cell>
          <cell r="L279" t="str">
            <v xml:space="preserve">MON-SUN </v>
          </cell>
          <cell r="M279" t="str">
            <v>(00:00 - 23:59)</v>
          </cell>
          <cell r="N279">
            <v>0</v>
          </cell>
          <cell r="O279">
            <v>0</v>
          </cell>
          <cell r="P279">
            <v>0</v>
          </cell>
          <cell r="Q279">
            <v>1440</v>
          </cell>
        </row>
        <row r="280">
          <cell r="B280" t="str">
            <v>694Q</v>
          </cell>
          <cell r="C280" t="str">
            <v>Eko Adi Sugiyantoro</v>
          </cell>
          <cell r="D280" t="str">
            <v>IDM Tanah Lot Tabanan</v>
          </cell>
          <cell r="E280" t="str">
            <v>ABACUS BALI</v>
          </cell>
          <cell r="F280">
            <v>1</v>
          </cell>
          <cell r="G280" t="str">
            <v>04-Denpasar</v>
          </cell>
          <cell r="H280" t="str">
            <v>B</v>
          </cell>
          <cell r="I280" t="str">
            <v>ATM</v>
          </cell>
          <cell r="J280" t="str">
            <v>Denpasar</v>
          </cell>
          <cell r="K280" t="str">
            <v>Bali Nusra</v>
          </cell>
          <cell r="L280" t="str">
            <v xml:space="preserve">MON-SUN </v>
          </cell>
          <cell r="M280" t="str">
            <v>(07:00 - 22:00)</v>
          </cell>
          <cell r="N280">
            <v>0</v>
          </cell>
          <cell r="O280">
            <v>0</v>
          </cell>
          <cell r="P280">
            <v>0</v>
          </cell>
          <cell r="Q280">
            <v>900</v>
          </cell>
        </row>
        <row r="281">
          <cell r="B281" t="str">
            <v>694R</v>
          </cell>
          <cell r="C281" t="str">
            <v>Eko Adi Sugiyantoro</v>
          </cell>
          <cell r="D281" t="str">
            <v>IDM Bantas Tabanan</v>
          </cell>
          <cell r="E281" t="str">
            <v>ABACUS BALI</v>
          </cell>
          <cell r="F281">
            <v>2</v>
          </cell>
          <cell r="G281" t="str">
            <v>04-Denpasar</v>
          </cell>
          <cell r="H281" t="str">
            <v>B</v>
          </cell>
          <cell r="I281" t="str">
            <v>ATM</v>
          </cell>
          <cell r="J281" t="str">
            <v>Denpasar</v>
          </cell>
          <cell r="K281" t="str">
            <v>Bali Nusra</v>
          </cell>
          <cell r="L281" t="str">
            <v xml:space="preserve">MON-SUN </v>
          </cell>
          <cell r="M281" t="str">
            <v>(00:00 - 23:59)</v>
          </cell>
          <cell r="N281">
            <v>0</v>
          </cell>
          <cell r="O281">
            <v>0</v>
          </cell>
          <cell r="P281">
            <v>0</v>
          </cell>
          <cell r="Q281">
            <v>1440</v>
          </cell>
        </row>
        <row r="282">
          <cell r="B282" t="str">
            <v>695F</v>
          </cell>
          <cell r="C282" t="str">
            <v>Revaldi Resha Wardhana</v>
          </cell>
          <cell r="D282" t="str">
            <v>RS Puri Bunda</v>
          </cell>
          <cell r="E282" t="str">
            <v>ABACUS BALI</v>
          </cell>
          <cell r="F282">
            <v>1</v>
          </cell>
          <cell r="G282" t="str">
            <v>04-Denpasar</v>
          </cell>
          <cell r="H282" t="str">
            <v>B</v>
          </cell>
          <cell r="I282" t="str">
            <v>ATM</v>
          </cell>
          <cell r="J282" t="str">
            <v>Denpasar</v>
          </cell>
          <cell r="K282" t="str">
            <v>Bali Nusra</v>
          </cell>
          <cell r="L282" t="str">
            <v xml:space="preserve">MON-SUN </v>
          </cell>
          <cell r="M282" t="str">
            <v>(00:00 - 23:59)</v>
          </cell>
          <cell r="N282">
            <v>0</v>
          </cell>
          <cell r="O282">
            <v>0</v>
          </cell>
          <cell r="P282">
            <v>0</v>
          </cell>
          <cell r="Q282">
            <v>1440</v>
          </cell>
        </row>
        <row r="283">
          <cell r="B283" t="str">
            <v>695J</v>
          </cell>
          <cell r="C283" t="str">
            <v>Alparizi</v>
          </cell>
          <cell r="D283" t="str">
            <v>Alfa Pantai Senggigi</v>
          </cell>
          <cell r="E283" t="str">
            <v>ADVANTAGE CAKRANEGARA</v>
          </cell>
          <cell r="F283">
            <v>1</v>
          </cell>
          <cell r="G283" t="str">
            <v>04-Denpasar</v>
          </cell>
          <cell r="H283" t="str">
            <v>B</v>
          </cell>
          <cell r="I283" t="str">
            <v>ATM</v>
          </cell>
          <cell r="J283" t="str">
            <v>Mataram</v>
          </cell>
          <cell r="K283" t="str">
            <v>Bali Nusra</v>
          </cell>
          <cell r="L283" t="str">
            <v xml:space="preserve">MON-SUN </v>
          </cell>
          <cell r="M283" t="str">
            <v>(00:00 - 23:59)</v>
          </cell>
          <cell r="N283">
            <v>0</v>
          </cell>
          <cell r="O283">
            <v>0</v>
          </cell>
          <cell r="P283">
            <v>0</v>
          </cell>
          <cell r="Q283">
            <v>1440</v>
          </cell>
        </row>
        <row r="284">
          <cell r="B284" t="str">
            <v>695K</v>
          </cell>
          <cell r="C284" t="str">
            <v>Lalu Riswan Hadi</v>
          </cell>
          <cell r="D284" t="str">
            <v>IDM Terong Tawah</v>
          </cell>
          <cell r="E284" t="str">
            <v>ADVANTAGE CAKRANEGARA</v>
          </cell>
          <cell r="F284">
            <v>1</v>
          </cell>
          <cell r="G284" t="str">
            <v>04-Denpasar</v>
          </cell>
          <cell r="H284" t="str">
            <v>B</v>
          </cell>
          <cell r="I284" t="str">
            <v>ATM</v>
          </cell>
          <cell r="J284" t="str">
            <v>Mataram</v>
          </cell>
          <cell r="K284" t="str">
            <v>Bali Nusra</v>
          </cell>
          <cell r="L284" t="str">
            <v xml:space="preserve">MON-SUN </v>
          </cell>
          <cell r="M284" t="str">
            <v>(00:00 - 23:59)</v>
          </cell>
          <cell r="N284">
            <v>0</v>
          </cell>
          <cell r="O284">
            <v>0</v>
          </cell>
          <cell r="P284">
            <v>0</v>
          </cell>
          <cell r="Q284">
            <v>1440</v>
          </cell>
        </row>
        <row r="285">
          <cell r="B285" t="str">
            <v>695L</v>
          </cell>
          <cell r="C285" t="str">
            <v>Suhel Risdianto</v>
          </cell>
          <cell r="D285" t="str">
            <v>CK Bali Kiddy</v>
          </cell>
          <cell r="E285" t="str">
            <v>ABACUS BALI</v>
          </cell>
          <cell r="F285">
            <v>1</v>
          </cell>
          <cell r="G285" t="str">
            <v>04-Denpasar</v>
          </cell>
          <cell r="H285" t="str">
            <v>B</v>
          </cell>
          <cell r="I285" t="str">
            <v>ATM</v>
          </cell>
          <cell r="J285" t="str">
            <v>Denpasar</v>
          </cell>
          <cell r="K285" t="str">
            <v>Bali Nusra</v>
          </cell>
          <cell r="L285" t="str">
            <v xml:space="preserve">MON-SUN </v>
          </cell>
          <cell r="M285" t="str">
            <v>(00:00 - 23:59)</v>
          </cell>
          <cell r="N285">
            <v>0</v>
          </cell>
          <cell r="O285">
            <v>0</v>
          </cell>
          <cell r="P285">
            <v>0</v>
          </cell>
          <cell r="Q285">
            <v>1440</v>
          </cell>
        </row>
        <row r="286">
          <cell r="B286" t="str">
            <v>695Y</v>
          </cell>
          <cell r="C286" t="str">
            <v>Farozan Ali Fahmi</v>
          </cell>
          <cell r="D286" t="str">
            <v>IDM I Bagus Mantra 119</v>
          </cell>
          <cell r="E286" t="str">
            <v>ABACUS BALI</v>
          </cell>
          <cell r="F286">
            <v>2</v>
          </cell>
          <cell r="G286" t="str">
            <v>04-Denpasar</v>
          </cell>
          <cell r="H286" t="str">
            <v>B</v>
          </cell>
          <cell r="I286" t="str">
            <v>ATM</v>
          </cell>
          <cell r="J286" t="str">
            <v>Denpasar</v>
          </cell>
          <cell r="K286" t="str">
            <v>Bali Nusra</v>
          </cell>
          <cell r="L286" t="str">
            <v xml:space="preserve">MON-SUN </v>
          </cell>
          <cell r="M286" t="str">
            <v>(07:00 - 22:00)</v>
          </cell>
          <cell r="N286">
            <v>0</v>
          </cell>
          <cell r="O286">
            <v>0</v>
          </cell>
          <cell r="P286">
            <v>0</v>
          </cell>
          <cell r="Q286">
            <v>900</v>
          </cell>
        </row>
        <row r="287">
          <cell r="B287" t="str">
            <v>697W</v>
          </cell>
          <cell r="C287" t="str">
            <v>Revaldi Resha Wardhana</v>
          </cell>
          <cell r="D287" t="str">
            <v>SPBU Buluh Indah</v>
          </cell>
          <cell r="E287" t="str">
            <v>ABACUS BALI</v>
          </cell>
          <cell r="F287">
            <v>1</v>
          </cell>
          <cell r="G287" t="str">
            <v>04-Denpasar</v>
          </cell>
          <cell r="H287" t="str">
            <v>B</v>
          </cell>
          <cell r="I287" t="str">
            <v>ATM</v>
          </cell>
          <cell r="J287" t="str">
            <v>Denpasar</v>
          </cell>
          <cell r="K287" t="str">
            <v>Bali Nusra</v>
          </cell>
          <cell r="L287" t="str">
            <v xml:space="preserve">MON-SUN </v>
          </cell>
          <cell r="M287" t="str">
            <v>(00:00 - 23:59)</v>
          </cell>
          <cell r="N287">
            <v>0</v>
          </cell>
          <cell r="O287">
            <v>0</v>
          </cell>
          <cell r="P287">
            <v>0</v>
          </cell>
          <cell r="Q287">
            <v>1440</v>
          </cell>
        </row>
        <row r="288">
          <cell r="B288" t="str">
            <v>699B</v>
          </cell>
          <cell r="C288" t="str">
            <v>Revaldi Resha Wardhana</v>
          </cell>
          <cell r="D288" t="str">
            <v>IDM Angantaka</v>
          </cell>
          <cell r="E288" t="str">
            <v>ABACUS BALI</v>
          </cell>
          <cell r="F288">
            <v>1</v>
          </cell>
          <cell r="G288" t="str">
            <v>04-Denpasar</v>
          </cell>
          <cell r="H288" t="str">
            <v>B</v>
          </cell>
          <cell r="I288" t="str">
            <v>ATM</v>
          </cell>
          <cell r="J288" t="str">
            <v>Denpasar</v>
          </cell>
          <cell r="K288" t="str">
            <v>Bali Nusra</v>
          </cell>
          <cell r="L288" t="str">
            <v xml:space="preserve">MON-SUN </v>
          </cell>
          <cell r="M288" t="str">
            <v>(07:00 - 22:00)</v>
          </cell>
          <cell r="N288">
            <v>0</v>
          </cell>
          <cell r="O288">
            <v>0</v>
          </cell>
          <cell r="P288">
            <v>0</v>
          </cell>
          <cell r="Q288">
            <v>900</v>
          </cell>
        </row>
        <row r="289">
          <cell r="B289" t="str">
            <v>699C</v>
          </cell>
          <cell r="C289" t="str">
            <v>Bambang Yuniarko</v>
          </cell>
          <cell r="D289" t="str">
            <v>Alfa Tukad Irawadi</v>
          </cell>
          <cell r="E289" t="str">
            <v>ANDALAN BALI</v>
          </cell>
          <cell r="F289">
            <v>1</v>
          </cell>
          <cell r="G289" t="str">
            <v>04-Denpasar</v>
          </cell>
          <cell r="H289" t="str">
            <v>B</v>
          </cell>
          <cell r="I289" t="str">
            <v>ATM</v>
          </cell>
          <cell r="J289" t="str">
            <v>Denpasar</v>
          </cell>
          <cell r="K289" t="str">
            <v>Bali Nusra</v>
          </cell>
          <cell r="L289" t="str">
            <v xml:space="preserve">MON-SUN </v>
          </cell>
          <cell r="M289" t="str">
            <v>(07:00 - 22:00)</v>
          </cell>
          <cell r="N289">
            <v>0</v>
          </cell>
          <cell r="O289">
            <v>0</v>
          </cell>
          <cell r="P289">
            <v>0</v>
          </cell>
          <cell r="Q289">
            <v>900</v>
          </cell>
        </row>
        <row r="290">
          <cell r="B290" t="str">
            <v>Z07P</v>
          </cell>
          <cell r="C290" t="str">
            <v>Alparizi</v>
          </cell>
          <cell r="D290" t="str">
            <v>Ampenan</v>
          </cell>
          <cell r="E290" t="str">
            <v>ADVANTAGE CAKRANEGARA</v>
          </cell>
          <cell r="F290">
            <v>1</v>
          </cell>
          <cell r="G290" t="str">
            <v>04-Denpasar</v>
          </cell>
          <cell r="H290" t="str">
            <v>B</v>
          </cell>
          <cell r="I290" t="str">
            <v>CRM</v>
          </cell>
          <cell r="J290" t="str">
            <v>Mataram</v>
          </cell>
          <cell r="K290" t="str">
            <v>Bali Nusra</v>
          </cell>
          <cell r="L290" t="str">
            <v xml:space="preserve">MON-SUN </v>
          </cell>
          <cell r="M290" t="str">
            <v>(00:00 - 23:59)</v>
          </cell>
          <cell r="N290">
            <v>1</v>
          </cell>
          <cell r="O290">
            <v>48</v>
          </cell>
          <cell r="P290">
            <v>3.33</v>
          </cell>
          <cell r="Q290">
            <v>1440</v>
          </cell>
        </row>
        <row r="291">
          <cell r="B291" t="str">
            <v>Z07Q</v>
          </cell>
          <cell r="C291" t="str">
            <v>Alparizi</v>
          </cell>
          <cell r="D291" t="str">
            <v>Ampenan</v>
          </cell>
          <cell r="E291" t="str">
            <v>ADVANTAGE CAKRANEGARA</v>
          </cell>
          <cell r="F291">
            <v>1</v>
          </cell>
          <cell r="G291" t="str">
            <v>04-Denpasar</v>
          </cell>
          <cell r="H291" t="str">
            <v>B</v>
          </cell>
          <cell r="I291" t="str">
            <v>CRM</v>
          </cell>
          <cell r="J291" t="str">
            <v>Mataram</v>
          </cell>
          <cell r="K291" t="str">
            <v>Bali Nusra</v>
          </cell>
          <cell r="L291" t="str">
            <v xml:space="preserve">MON-SUN </v>
          </cell>
          <cell r="M291" t="str">
            <v>(00:00 - 23:59)</v>
          </cell>
          <cell r="N291">
            <v>0</v>
          </cell>
          <cell r="O291">
            <v>0</v>
          </cell>
          <cell r="P291">
            <v>0</v>
          </cell>
          <cell r="Q291">
            <v>1440</v>
          </cell>
        </row>
        <row r="292">
          <cell r="B292" t="str">
            <v>Z07R</v>
          </cell>
          <cell r="C292" t="str">
            <v>Adi Irawan</v>
          </cell>
          <cell r="D292" t="str">
            <v>Cakranegara</v>
          </cell>
          <cell r="E292" t="str">
            <v>ADVANTAGE CAKRANEGARA</v>
          </cell>
          <cell r="F292">
            <v>1</v>
          </cell>
          <cell r="G292" t="str">
            <v>04-Denpasar</v>
          </cell>
          <cell r="H292" t="str">
            <v>B</v>
          </cell>
          <cell r="I292" t="str">
            <v>CRM</v>
          </cell>
          <cell r="J292" t="str">
            <v>Mataram</v>
          </cell>
          <cell r="K292" t="str">
            <v>Bali Nusra</v>
          </cell>
          <cell r="L292" t="str">
            <v xml:space="preserve">MON-SUN </v>
          </cell>
          <cell r="M292" t="str">
            <v>(00:00 - 23:59)</v>
          </cell>
          <cell r="N292">
            <v>0</v>
          </cell>
          <cell r="O292">
            <v>0</v>
          </cell>
          <cell r="P292">
            <v>0</v>
          </cell>
          <cell r="Q292">
            <v>1440</v>
          </cell>
        </row>
        <row r="293">
          <cell r="B293" t="str">
            <v>Z07T</v>
          </cell>
          <cell r="C293" t="str">
            <v>Adi Irawan</v>
          </cell>
          <cell r="D293" t="str">
            <v>Cakranegara</v>
          </cell>
          <cell r="E293" t="str">
            <v>ADVANTAGE CAKRANEGARA</v>
          </cell>
          <cell r="F293">
            <v>1</v>
          </cell>
          <cell r="G293" t="str">
            <v>04-Denpasar</v>
          </cell>
          <cell r="H293" t="str">
            <v>B</v>
          </cell>
          <cell r="I293" t="str">
            <v>CRM</v>
          </cell>
          <cell r="J293" t="str">
            <v>Mataram</v>
          </cell>
          <cell r="K293" t="str">
            <v>Bali Nusra</v>
          </cell>
          <cell r="L293" t="str">
            <v xml:space="preserve">MON-SUN </v>
          </cell>
          <cell r="M293" t="str">
            <v>(00:00 - 23:59)</v>
          </cell>
          <cell r="N293">
            <v>0</v>
          </cell>
          <cell r="O293">
            <v>0</v>
          </cell>
          <cell r="P293">
            <v>0</v>
          </cell>
          <cell r="Q293">
            <v>1440</v>
          </cell>
        </row>
        <row r="294">
          <cell r="B294" t="str">
            <v>Z07U</v>
          </cell>
          <cell r="C294" t="str">
            <v>Adi Irawan</v>
          </cell>
          <cell r="D294" t="str">
            <v>Cakranegara</v>
          </cell>
          <cell r="E294" t="str">
            <v>ADVANTAGE CAKRANEGARA</v>
          </cell>
          <cell r="F294">
            <v>1</v>
          </cell>
          <cell r="G294" t="str">
            <v>04-Denpasar</v>
          </cell>
          <cell r="H294" t="str">
            <v>B</v>
          </cell>
          <cell r="I294" t="str">
            <v>CRM</v>
          </cell>
          <cell r="J294" t="str">
            <v>Mataram</v>
          </cell>
          <cell r="K294" t="str">
            <v>Bali Nusra</v>
          </cell>
          <cell r="L294" t="str">
            <v xml:space="preserve">MON-SUN </v>
          </cell>
          <cell r="M294" t="str">
            <v>(00:00 - 23:59)</v>
          </cell>
          <cell r="N294">
            <v>0</v>
          </cell>
          <cell r="O294">
            <v>0</v>
          </cell>
          <cell r="P294">
            <v>0</v>
          </cell>
          <cell r="Q294">
            <v>1440</v>
          </cell>
        </row>
        <row r="295">
          <cell r="B295" t="str">
            <v>Z07V</v>
          </cell>
          <cell r="C295" t="str">
            <v>Adi Irawan</v>
          </cell>
          <cell r="D295" t="str">
            <v>Cakranegara</v>
          </cell>
          <cell r="E295" t="str">
            <v>ADVANTAGE CAKRANEGARA</v>
          </cell>
          <cell r="F295">
            <v>1</v>
          </cell>
          <cell r="G295" t="str">
            <v>04-Denpasar</v>
          </cell>
          <cell r="H295" t="str">
            <v>B</v>
          </cell>
          <cell r="I295" t="str">
            <v>CRM</v>
          </cell>
          <cell r="J295" t="str">
            <v>Mataram</v>
          </cell>
          <cell r="K295" t="str">
            <v>Bali Nusra</v>
          </cell>
          <cell r="L295" t="str">
            <v xml:space="preserve">MON-SUN </v>
          </cell>
          <cell r="M295" t="str">
            <v>(00:00 - 23:59)</v>
          </cell>
          <cell r="N295">
            <v>0</v>
          </cell>
          <cell r="O295">
            <v>0</v>
          </cell>
          <cell r="P295">
            <v>0</v>
          </cell>
          <cell r="Q295">
            <v>1440</v>
          </cell>
        </row>
        <row r="296">
          <cell r="B296" t="str">
            <v>Z07Z</v>
          </cell>
          <cell r="C296" t="str">
            <v>Adi Irawan</v>
          </cell>
          <cell r="D296" t="str">
            <v>Sweta</v>
          </cell>
          <cell r="E296" t="str">
            <v>ADVANTAGE CAKRANEGARA</v>
          </cell>
          <cell r="F296">
            <v>1</v>
          </cell>
          <cell r="G296" t="str">
            <v>04-Denpasar</v>
          </cell>
          <cell r="H296" t="str">
            <v>B</v>
          </cell>
          <cell r="I296" t="str">
            <v>CRM</v>
          </cell>
          <cell r="J296" t="str">
            <v>Mataram</v>
          </cell>
          <cell r="K296" t="str">
            <v>Bali Nusra</v>
          </cell>
          <cell r="L296" t="str">
            <v xml:space="preserve">MON-SUN </v>
          </cell>
          <cell r="M296" t="str">
            <v>(00:00 - 23:59)</v>
          </cell>
          <cell r="N296">
            <v>0</v>
          </cell>
          <cell r="O296">
            <v>0</v>
          </cell>
          <cell r="P296">
            <v>0</v>
          </cell>
          <cell r="Q296">
            <v>1440</v>
          </cell>
        </row>
        <row r="297">
          <cell r="B297" t="str">
            <v>Z08A</v>
          </cell>
          <cell r="C297" t="str">
            <v>Adi Irawan</v>
          </cell>
          <cell r="D297" t="str">
            <v>Sweta</v>
          </cell>
          <cell r="E297" t="str">
            <v>ADVANTAGE CAKRANEGARA</v>
          </cell>
          <cell r="F297">
            <v>1</v>
          </cell>
          <cell r="G297" t="str">
            <v>04-Denpasar</v>
          </cell>
          <cell r="H297" t="str">
            <v>B</v>
          </cell>
          <cell r="I297" t="str">
            <v>CRM</v>
          </cell>
          <cell r="J297" t="str">
            <v>Mataram</v>
          </cell>
          <cell r="K297" t="str">
            <v>Bali Nusra</v>
          </cell>
          <cell r="L297" t="str">
            <v xml:space="preserve">MON-SUN </v>
          </cell>
          <cell r="M297" t="str">
            <v>(00:00 - 23:59)</v>
          </cell>
          <cell r="N297">
            <v>0</v>
          </cell>
          <cell r="O297">
            <v>0</v>
          </cell>
          <cell r="P297">
            <v>0</v>
          </cell>
          <cell r="Q297">
            <v>1440</v>
          </cell>
        </row>
        <row r="298">
          <cell r="B298" t="str">
            <v>Z08E</v>
          </cell>
          <cell r="C298" t="str">
            <v>Revaldi Resha Wardhana</v>
          </cell>
          <cell r="D298" t="str">
            <v>Cokroaminoto</v>
          </cell>
          <cell r="E298" t="str">
            <v>ABACUS BALI</v>
          </cell>
          <cell r="F298">
            <v>1</v>
          </cell>
          <cell r="G298" t="str">
            <v>04-Denpasar</v>
          </cell>
          <cell r="H298" t="str">
            <v>B</v>
          </cell>
          <cell r="I298" t="str">
            <v>CRM</v>
          </cell>
          <cell r="J298" t="str">
            <v>Denpasar</v>
          </cell>
          <cell r="K298" t="str">
            <v>Bali Nusra</v>
          </cell>
          <cell r="L298" t="str">
            <v xml:space="preserve">MON-SUN </v>
          </cell>
          <cell r="M298" t="str">
            <v>(00:00 - 23:59)</v>
          </cell>
          <cell r="N298">
            <v>0</v>
          </cell>
          <cell r="O298">
            <v>0</v>
          </cell>
          <cell r="P298">
            <v>0</v>
          </cell>
          <cell r="Q298">
            <v>1440</v>
          </cell>
        </row>
        <row r="299">
          <cell r="B299" t="str">
            <v>Z08F</v>
          </cell>
          <cell r="C299" t="str">
            <v>Revaldi Resha Wardhana</v>
          </cell>
          <cell r="D299" t="str">
            <v>Cokroaminoto</v>
          </cell>
          <cell r="E299" t="str">
            <v>ABACUS BALI</v>
          </cell>
          <cell r="F299">
            <v>1</v>
          </cell>
          <cell r="G299" t="str">
            <v>04-Denpasar</v>
          </cell>
          <cell r="H299" t="str">
            <v>B</v>
          </cell>
          <cell r="I299" t="str">
            <v>CRM</v>
          </cell>
          <cell r="J299" t="str">
            <v>Denpasar</v>
          </cell>
          <cell r="K299" t="str">
            <v>Bali Nusra</v>
          </cell>
          <cell r="L299" t="str">
            <v xml:space="preserve">MON-SUN </v>
          </cell>
          <cell r="M299" t="str">
            <v>(00:00 - 23:59)</v>
          </cell>
          <cell r="N299">
            <v>1</v>
          </cell>
          <cell r="O299">
            <v>16</v>
          </cell>
          <cell r="P299">
            <v>1.1100000000000001</v>
          </cell>
          <cell r="Q299">
            <v>1440</v>
          </cell>
        </row>
        <row r="300">
          <cell r="B300" t="str">
            <v>Z08N</v>
          </cell>
          <cell r="C300" t="str">
            <v>Bambang Yuniarko</v>
          </cell>
          <cell r="D300" t="str">
            <v>Denpasar</v>
          </cell>
          <cell r="E300" t="str">
            <v>ABACUS BALI</v>
          </cell>
          <cell r="F300">
            <v>1</v>
          </cell>
          <cell r="G300" t="str">
            <v>04-Denpasar</v>
          </cell>
          <cell r="H300" t="str">
            <v>B</v>
          </cell>
          <cell r="I300" t="str">
            <v>CRM</v>
          </cell>
          <cell r="J300" t="str">
            <v>Denpasar</v>
          </cell>
          <cell r="K300" t="str">
            <v>Bali Nusra</v>
          </cell>
          <cell r="L300" t="str">
            <v xml:space="preserve">MON-SUN </v>
          </cell>
          <cell r="M300" t="str">
            <v>(00:00 - 23:59)</v>
          </cell>
          <cell r="N300">
            <v>0</v>
          </cell>
          <cell r="O300">
            <v>0</v>
          </cell>
          <cell r="P300">
            <v>0</v>
          </cell>
          <cell r="Q300">
            <v>1440</v>
          </cell>
        </row>
        <row r="301">
          <cell r="B301" t="str">
            <v>Z08P</v>
          </cell>
          <cell r="C301" t="str">
            <v>Bambang Yuniarko</v>
          </cell>
          <cell r="D301" t="str">
            <v>Denpasar</v>
          </cell>
          <cell r="E301" t="str">
            <v>ABACUS BALI</v>
          </cell>
          <cell r="F301">
            <v>1</v>
          </cell>
          <cell r="G301" t="str">
            <v>04-Denpasar</v>
          </cell>
          <cell r="H301" t="str">
            <v>B</v>
          </cell>
          <cell r="I301" t="str">
            <v>CRM</v>
          </cell>
          <cell r="J301" t="str">
            <v>Denpasar</v>
          </cell>
          <cell r="K301" t="str">
            <v>Bali Nusra</v>
          </cell>
          <cell r="L301" t="str">
            <v xml:space="preserve">MON-SUN </v>
          </cell>
          <cell r="M301" t="str">
            <v>(00:00 - 23:59)</v>
          </cell>
          <cell r="N301">
            <v>0</v>
          </cell>
          <cell r="O301">
            <v>0</v>
          </cell>
          <cell r="P301">
            <v>0</v>
          </cell>
          <cell r="Q301">
            <v>1440</v>
          </cell>
        </row>
        <row r="302">
          <cell r="B302" t="str">
            <v>Z08Q</v>
          </cell>
          <cell r="C302" t="str">
            <v>Bambang Yuniarko</v>
          </cell>
          <cell r="D302" t="str">
            <v>Denpasar</v>
          </cell>
          <cell r="E302" t="str">
            <v>ABACUS BALI</v>
          </cell>
          <cell r="F302">
            <v>1</v>
          </cell>
          <cell r="G302" t="str">
            <v>04-Denpasar</v>
          </cell>
          <cell r="H302" t="str">
            <v>B</v>
          </cell>
          <cell r="I302" t="str">
            <v>CRM</v>
          </cell>
          <cell r="J302" t="str">
            <v>Denpasar</v>
          </cell>
          <cell r="K302" t="str">
            <v>Bali Nusra</v>
          </cell>
          <cell r="L302" t="str">
            <v xml:space="preserve">MON-SUN </v>
          </cell>
          <cell r="M302" t="str">
            <v>(00:00 - 23:59)</v>
          </cell>
          <cell r="N302">
            <v>0</v>
          </cell>
          <cell r="O302">
            <v>0</v>
          </cell>
          <cell r="P302">
            <v>0</v>
          </cell>
          <cell r="Q302">
            <v>1440</v>
          </cell>
        </row>
        <row r="303">
          <cell r="B303" t="str">
            <v>Z08R</v>
          </cell>
          <cell r="C303" t="str">
            <v>Bambang Yuniarko</v>
          </cell>
          <cell r="D303" t="str">
            <v>Denpasar</v>
          </cell>
          <cell r="E303" t="str">
            <v>ABACUS BALI</v>
          </cell>
          <cell r="F303">
            <v>1</v>
          </cell>
          <cell r="G303" t="str">
            <v>04-Denpasar</v>
          </cell>
          <cell r="H303" t="str">
            <v>B</v>
          </cell>
          <cell r="I303" t="str">
            <v>CRM</v>
          </cell>
          <cell r="J303" t="str">
            <v>Denpasar</v>
          </cell>
          <cell r="K303" t="str">
            <v>Bali Nusra</v>
          </cell>
          <cell r="L303" t="str">
            <v xml:space="preserve">MON-SUN </v>
          </cell>
          <cell r="M303" t="str">
            <v>(00:00 - 23:59)</v>
          </cell>
          <cell r="N303">
            <v>2</v>
          </cell>
          <cell r="O303">
            <v>81</v>
          </cell>
          <cell r="P303">
            <v>5.63</v>
          </cell>
          <cell r="Q303">
            <v>1440</v>
          </cell>
        </row>
        <row r="304">
          <cell r="B304" t="str">
            <v>Z08X</v>
          </cell>
          <cell r="C304" t="str">
            <v>Bambang Yuniarko</v>
          </cell>
          <cell r="D304" t="str">
            <v>Grand Sudirman</v>
          </cell>
          <cell r="E304" t="str">
            <v>ANDALAN BALI</v>
          </cell>
          <cell r="F304">
            <v>1</v>
          </cell>
          <cell r="G304" t="str">
            <v>04-Denpasar</v>
          </cell>
          <cell r="H304" t="str">
            <v>B</v>
          </cell>
          <cell r="I304" t="str">
            <v>CRM</v>
          </cell>
          <cell r="J304" t="str">
            <v>Denpasar</v>
          </cell>
          <cell r="K304" t="str">
            <v>Bali Nusra</v>
          </cell>
          <cell r="L304" t="str">
            <v xml:space="preserve">MON-SUN </v>
          </cell>
          <cell r="M304" t="str">
            <v>(00:00 - 23:59)</v>
          </cell>
          <cell r="N304">
            <v>0</v>
          </cell>
          <cell r="O304">
            <v>0</v>
          </cell>
          <cell r="P304">
            <v>0</v>
          </cell>
          <cell r="Q304">
            <v>1440</v>
          </cell>
        </row>
        <row r="305">
          <cell r="B305" t="str">
            <v>Z08Z</v>
          </cell>
          <cell r="C305" t="str">
            <v>Bambang Yuniarko</v>
          </cell>
          <cell r="D305" t="str">
            <v>Grand Sudirman</v>
          </cell>
          <cell r="E305" t="str">
            <v>ANDALAN BALI</v>
          </cell>
          <cell r="F305">
            <v>1</v>
          </cell>
          <cell r="G305" t="str">
            <v>04-Denpasar</v>
          </cell>
          <cell r="H305" t="str">
            <v>B</v>
          </cell>
          <cell r="I305" t="str">
            <v>CRM</v>
          </cell>
          <cell r="J305" t="str">
            <v>Denpasar</v>
          </cell>
          <cell r="K305" t="str">
            <v>Bali Nusra</v>
          </cell>
          <cell r="L305" t="str">
            <v xml:space="preserve">MON-SUN </v>
          </cell>
          <cell r="M305" t="str">
            <v>(00:00 - 23:59)</v>
          </cell>
          <cell r="N305">
            <v>0</v>
          </cell>
          <cell r="O305">
            <v>0</v>
          </cell>
          <cell r="P305">
            <v>0</v>
          </cell>
          <cell r="Q305">
            <v>1440</v>
          </cell>
        </row>
        <row r="306">
          <cell r="B306" t="str">
            <v>Z09A</v>
          </cell>
          <cell r="C306" t="str">
            <v>Bambang Yuniarko</v>
          </cell>
          <cell r="D306" t="str">
            <v>Grand Sudirman</v>
          </cell>
          <cell r="E306" t="str">
            <v>ANDALAN BALI</v>
          </cell>
          <cell r="F306">
            <v>1</v>
          </cell>
          <cell r="G306" t="str">
            <v>04-Denpasar</v>
          </cell>
          <cell r="H306" t="str">
            <v>B</v>
          </cell>
          <cell r="I306" t="str">
            <v>CRM</v>
          </cell>
          <cell r="J306" t="str">
            <v>Denpasar</v>
          </cell>
          <cell r="K306" t="str">
            <v>Bali Nusra</v>
          </cell>
          <cell r="L306" t="str">
            <v xml:space="preserve">MON-SUN </v>
          </cell>
          <cell r="M306" t="str">
            <v>(00:00 - 23:59)</v>
          </cell>
          <cell r="N306">
            <v>0</v>
          </cell>
          <cell r="O306">
            <v>0</v>
          </cell>
          <cell r="P306">
            <v>0</v>
          </cell>
          <cell r="Q306">
            <v>1440</v>
          </cell>
        </row>
        <row r="307">
          <cell r="B307" t="str">
            <v>Z09D</v>
          </cell>
          <cell r="C307" t="str">
            <v>Suhel Risdianto</v>
          </cell>
          <cell r="D307" t="str">
            <v>Sesetan</v>
          </cell>
          <cell r="E307" t="str">
            <v>ABACUS BALI</v>
          </cell>
          <cell r="F307">
            <v>1</v>
          </cell>
          <cell r="G307" t="str">
            <v>04-Denpasar</v>
          </cell>
          <cell r="H307" t="str">
            <v>B</v>
          </cell>
          <cell r="I307" t="str">
            <v>CRM</v>
          </cell>
          <cell r="J307" t="str">
            <v>Denpasar</v>
          </cell>
          <cell r="K307" t="str">
            <v>Bali Nusra</v>
          </cell>
          <cell r="L307" t="str">
            <v xml:space="preserve">MON-SUN </v>
          </cell>
          <cell r="M307" t="str">
            <v>(00:00 - 23:59)</v>
          </cell>
          <cell r="N307">
            <v>1</v>
          </cell>
          <cell r="O307">
            <v>25</v>
          </cell>
          <cell r="P307">
            <v>1.74</v>
          </cell>
          <cell r="Q307">
            <v>1440</v>
          </cell>
        </row>
        <row r="308">
          <cell r="B308" t="str">
            <v>Z09E</v>
          </cell>
          <cell r="C308" t="str">
            <v>Suhel Risdianto</v>
          </cell>
          <cell r="D308" t="str">
            <v>Sesetan</v>
          </cell>
          <cell r="E308" t="str">
            <v>ABACUS BALI</v>
          </cell>
          <cell r="F308">
            <v>1</v>
          </cell>
          <cell r="G308" t="str">
            <v>04-Denpasar</v>
          </cell>
          <cell r="H308" t="str">
            <v>B</v>
          </cell>
          <cell r="I308" t="str">
            <v>CRM</v>
          </cell>
          <cell r="J308" t="str">
            <v>Denpasar</v>
          </cell>
          <cell r="K308" t="str">
            <v>Bali Nusra</v>
          </cell>
          <cell r="L308" t="str">
            <v xml:space="preserve">MON-SUN </v>
          </cell>
          <cell r="M308" t="str">
            <v>(00:00 - 23:59)</v>
          </cell>
          <cell r="N308">
            <v>0</v>
          </cell>
          <cell r="O308">
            <v>0</v>
          </cell>
          <cell r="P308">
            <v>0</v>
          </cell>
          <cell r="Q308">
            <v>1440</v>
          </cell>
        </row>
        <row r="309">
          <cell r="B309" t="str">
            <v>Z09K</v>
          </cell>
          <cell r="C309" t="str">
            <v>Revaldi Resha Wardhana</v>
          </cell>
          <cell r="D309" t="str">
            <v>Teuku Umar Denpasar</v>
          </cell>
          <cell r="E309" t="str">
            <v>ANDALAN BALI</v>
          </cell>
          <cell r="F309">
            <v>1</v>
          </cell>
          <cell r="G309" t="str">
            <v>04-Denpasar</v>
          </cell>
          <cell r="H309" t="str">
            <v>B</v>
          </cell>
          <cell r="I309" t="str">
            <v>CRM</v>
          </cell>
          <cell r="J309" t="str">
            <v>Denpasar</v>
          </cell>
          <cell r="K309" t="str">
            <v>Bali Nusra</v>
          </cell>
          <cell r="L309" t="str">
            <v xml:space="preserve">MON-SUN </v>
          </cell>
          <cell r="M309" t="str">
            <v>(00:00 - 23:59)</v>
          </cell>
          <cell r="N309">
            <v>0</v>
          </cell>
          <cell r="O309">
            <v>0</v>
          </cell>
          <cell r="P309">
            <v>0</v>
          </cell>
          <cell r="Q309">
            <v>1440</v>
          </cell>
        </row>
        <row r="310">
          <cell r="B310" t="str">
            <v>Z09N</v>
          </cell>
          <cell r="C310" t="str">
            <v>I Putu Dendy Pratama</v>
          </cell>
          <cell r="D310" t="str">
            <v>Mahendradata</v>
          </cell>
          <cell r="E310" t="str">
            <v>ABACUS BALI</v>
          </cell>
          <cell r="F310">
            <v>1</v>
          </cell>
          <cell r="G310" t="str">
            <v>04-Denpasar</v>
          </cell>
          <cell r="H310" t="str">
            <v>B</v>
          </cell>
          <cell r="I310" t="str">
            <v>CRM</v>
          </cell>
          <cell r="J310" t="str">
            <v>Denpasar</v>
          </cell>
          <cell r="K310" t="str">
            <v>Bali Nusra</v>
          </cell>
          <cell r="L310" t="str">
            <v xml:space="preserve">MON-SUN </v>
          </cell>
          <cell r="M310" t="str">
            <v>(00:00 - 23:59)</v>
          </cell>
          <cell r="N310">
            <v>0</v>
          </cell>
          <cell r="O310">
            <v>0</v>
          </cell>
          <cell r="P310">
            <v>0</v>
          </cell>
          <cell r="Q310">
            <v>1440</v>
          </cell>
        </row>
        <row r="311">
          <cell r="B311" t="str">
            <v>Z09P</v>
          </cell>
          <cell r="C311" t="str">
            <v>I Putu Dendy Pratama</v>
          </cell>
          <cell r="D311" t="str">
            <v>Mahendradata</v>
          </cell>
          <cell r="E311" t="str">
            <v>ABACUS BALI</v>
          </cell>
          <cell r="F311">
            <v>1</v>
          </cell>
          <cell r="G311" t="str">
            <v>04-Denpasar</v>
          </cell>
          <cell r="H311" t="str">
            <v>B</v>
          </cell>
          <cell r="I311" t="str">
            <v>CRM</v>
          </cell>
          <cell r="J311" t="str">
            <v>Denpasar</v>
          </cell>
          <cell r="K311" t="str">
            <v>Bali Nusra</v>
          </cell>
          <cell r="L311" t="str">
            <v xml:space="preserve">MON-SUN </v>
          </cell>
          <cell r="M311" t="str">
            <v>(00:00 - 23:59)</v>
          </cell>
          <cell r="N311">
            <v>1</v>
          </cell>
          <cell r="O311">
            <v>5</v>
          </cell>
          <cell r="P311">
            <v>0.35</v>
          </cell>
          <cell r="Q311">
            <v>1440</v>
          </cell>
        </row>
        <row r="312">
          <cell r="B312" t="str">
            <v>Z09Q</v>
          </cell>
          <cell r="C312" t="str">
            <v>I Putu Dendy Pratama</v>
          </cell>
          <cell r="D312" t="str">
            <v>Mahendradata</v>
          </cell>
          <cell r="E312" t="str">
            <v>ABACUS BALI</v>
          </cell>
          <cell r="F312">
            <v>1</v>
          </cell>
          <cell r="G312" t="str">
            <v>04-Denpasar</v>
          </cell>
          <cell r="H312" t="str">
            <v>B</v>
          </cell>
          <cell r="I312" t="str">
            <v>CRM</v>
          </cell>
          <cell r="J312" t="str">
            <v>Denpasar</v>
          </cell>
          <cell r="K312" t="str">
            <v>Bali Nusra</v>
          </cell>
          <cell r="L312" t="str">
            <v xml:space="preserve">MON-SUN </v>
          </cell>
          <cell r="M312" t="str">
            <v>(00:00 - 23:59)</v>
          </cell>
          <cell r="N312">
            <v>0</v>
          </cell>
          <cell r="O312">
            <v>0</v>
          </cell>
          <cell r="P312">
            <v>0</v>
          </cell>
          <cell r="Q312">
            <v>1440</v>
          </cell>
        </row>
        <row r="313">
          <cell r="B313" t="str">
            <v>Z09R</v>
          </cell>
          <cell r="C313" t="str">
            <v>I Putu Dendy Pratama</v>
          </cell>
          <cell r="D313" t="str">
            <v>Mahendradata</v>
          </cell>
          <cell r="E313" t="str">
            <v>ABACUS BALI</v>
          </cell>
          <cell r="F313">
            <v>1</v>
          </cell>
          <cell r="G313" t="str">
            <v>04-Denpasar</v>
          </cell>
          <cell r="H313" t="str">
            <v>B</v>
          </cell>
          <cell r="I313" t="str">
            <v>CRM</v>
          </cell>
          <cell r="J313" t="str">
            <v>Denpasar</v>
          </cell>
          <cell r="K313" t="str">
            <v>Bali Nusra</v>
          </cell>
          <cell r="L313" t="str">
            <v xml:space="preserve">MON-SUN </v>
          </cell>
          <cell r="M313" t="str">
            <v>(00:00 - 23:59)</v>
          </cell>
          <cell r="N313">
            <v>0</v>
          </cell>
          <cell r="O313">
            <v>0</v>
          </cell>
          <cell r="P313">
            <v>0</v>
          </cell>
          <cell r="Q313">
            <v>1440</v>
          </cell>
        </row>
        <row r="314">
          <cell r="B314" t="str">
            <v>Z0J9</v>
          </cell>
          <cell r="C314" t="str">
            <v>Yunarius Raynold Gege</v>
          </cell>
          <cell r="D314" t="str">
            <v>Alfa Tenu</v>
          </cell>
          <cell r="E314" t="str">
            <v>KUPANG</v>
          </cell>
          <cell r="F314">
            <v>4</v>
          </cell>
          <cell r="G314" t="str">
            <v>04-Denpasar</v>
          </cell>
          <cell r="H314" t="str">
            <v>B</v>
          </cell>
          <cell r="I314" t="str">
            <v>CRM</v>
          </cell>
          <cell r="J314" t="str">
            <v>Kupang</v>
          </cell>
          <cell r="K314" t="str">
            <v>Bali Nusra</v>
          </cell>
          <cell r="L314" t="str">
            <v xml:space="preserve">MON-SUN </v>
          </cell>
          <cell r="M314" t="str">
            <v>(00:00 - 23:59)</v>
          </cell>
          <cell r="N314">
            <v>0</v>
          </cell>
          <cell r="O314">
            <v>0</v>
          </cell>
          <cell r="P314">
            <v>0</v>
          </cell>
          <cell r="Q314">
            <v>1440</v>
          </cell>
        </row>
        <row r="315">
          <cell r="B315" t="str">
            <v>Z0M6</v>
          </cell>
          <cell r="C315" t="str">
            <v>Leonardo A Ruly</v>
          </cell>
          <cell r="D315" t="str">
            <v>SPBU Valentine Naibonat</v>
          </cell>
          <cell r="E315" t="str">
            <v>ADVANTAGE KUPANG</v>
          </cell>
          <cell r="F315">
            <v>2</v>
          </cell>
          <cell r="G315" t="str">
            <v>04-Denpasar</v>
          </cell>
          <cell r="H315" t="str">
            <v>B</v>
          </cell>
          <cell r="I315" t="str">
            <v>CRM</v>
          </cell>
          <cell r="J315" t="str">
            <v>Kupang</v>
          </cell>
          <cell r="K315" t="str">
            <v>Bali Nusra</v>
          </cell>
          <cell r="L315" t="str">
            <v xml:space="preserve">MON-SUN </v>
          </cell>
          <cell r="M315" t="str">
            <v>(00:00 - 23:59)</v>
          </cell>
          <cell r="N315">
            <v>0</v>
          </cell>
          <cell r="O315">
            <v>0</v>
          </cell>
          <cell r="P315">
            <v>0</v>
          </cell>
          <cell r="Q315">
            <v>1440</v>
          </cell>
        </row>
        <row r="316">
          <cell r="B316" t="str">
            <v>Z0P8</v>
          </cell>
          <cell r="C316" t="str">
            <v>Yunarius Raynold Gege</v>
          </cell>
          <cell r="D316" t="str">
            <v>PT MSM</v>
          </cell>
          <cell r="E316" t="str">
            <v>KUPANG</v>
          </cell>
          <cell r="F316">
            <v>4</v>
          </cell>
          <cell r="G316" t="str">
            <v>04-Denpasar</v>
          </cell>
          <cell r="H316" t="str">
            <v>B</v>
          </cell>
          <cell r="I316" t="str">
            <v>CRM</v>
          </cell>
          <cell r="J316" t="str">
            <v>Kupang</v>
          </cell>
          <cell r="K316" t="str">
            <v>Bali Nusra</v>
          </cell>
          <cell r="L316" t="str">
            <v xml:space="preserve">MON-SUN </v>
          </cell>
          <cell r="M316" t="str">
            <v>(00:00 - 23:59)</v>
          </cell>
          <cell r="N316">
            <v>0</v>
          </cell>
          <cell r="O316">
            <v>0</v>
          </cell>
          <cell r="P316">
            <v>0</v>
          </cell>
          <cell r="Q316">
            <v>1440</v>
          </cell>
        </row>
        <row r="317">
          <cell r="B317" t="str">
            <v>Z0Q3</v>
          </cell>
          <cell r="C317" t="str">
            <v>Revaldi Resha Wardhana</v>
          </cell>
          <cell r="D317" t="str">
            <v>Gatot Subroto Barat</v>
          </cell>
          <cell r="E317" t="str">
            <v>ABACUS BALI</v>
          </cell>
          <cell r="F317">
            <v>1</v>
          </cell>
          <cell r="G317" t="str">
            <v>04-Denpasar</v>
          </cell>
          <cell r="H317" t="str">
            <v>B</v>
          </cell>
          <cell r="I317" t="str">
            <v>CRM</v>
          </cell>
          <cell r="J317" t="str">
            <v>Denpasar</v>
          </cell>
          <cell r="K317" t="str">
            <v>Bali Nusra</v>
          </cell>
          <cell r="L317" t="str">
            <v xml:space="preserve">MON-SUN </v>
          </cell>
          <cell r="M317" t="str">
            <v>(00:00 - 23:59)</v>
          </cell>
          <cell r="N317">
            <v>0</v>
          </cell>
          <cell r="O317">
            <v>0</v>
          </cell>
          <cell r="P317">
            <v>0</v>
          </cell>
          <cell r="Q317">
            <v>1440</v>
          </cell>
        </row>
        <row r="318">
          <cell r="B318" t="str">
            <v>Z0Q4</v>
          </cell>
          <cell r="C318" t="str">
            <v>Revaldi Resha Wardhana</v>
          </cell>
          <cell r="D318" t="str">
            <v>Gatot Subroto Barat</v>
          </cell>
          <cell r="E318" t="str">
            <v>ABACUS BALI</v>
          </cell>
          <cell r="F318">
            <v>1</v>
          </cell>
          <cell r="G318" t="str">
            <v>04-Denpasar</v>
          </cell>
          <cell r="H318" t="str">
            <v>B</v>
          </cell>
          <cell r="I318" t="str">
            <v>CRM</v>
          </cell>
          <cell r="J318" t="str">
            <v>Denpasar</v>
          </cell>
          <cell r="K318" t="str">
            <v>Bali Nusra</v>
          </cell>
          <cell r="L318" t="str">
            <v xml:space="preserve">MON-SUN </v>
          </cell>
          <cell r="M318" t="str">
            <v>(00:00 - 23:59)</v>
          </cell>
          <cell r="N318">
            <v>2</v>
          </cell>
          <cell r="O318">
            <v>19</v>
          </cell>
          <cell r="P318">
            <v>1.32</v>
          </cell>
          <cell r="Q318">
            <v>1440</v>
          </cell>
        </row>
        <row r="319">
          <cell r="B319" t="str">
            <v>Z10Y</v>
          </cell>
          <cell r="C319" t="str">
            <v>Yunarius Raynold Gege</v>
          </cell>
          <cell r="D319" t="str">
            <v>Kupang</v>
          </cell>
          <cell r="E319" t="str">
            <v>KUPANG</v>
          </cell>
          <cell r="F319">
            <v>1</v>
          </cell>
          <cell r="G319" t="str">
            <v>04-Denpasar</v>
          </cell>
          <cell r="H319" t="str">
            <v>B</v>
          </cell>
          <cell r="I319" t="str">
            <v>CRM</v>
          </cell>
          <cell r="J319" t="str">
            <v>Kupang</v>
          </cell>
          <cell r="K319" t="str">
            <v>Bali Nusra</v>
          </cell>
          <cell r="L319" t="str">
            <v xml:space="preserve">MON-SUN </v>
          </cell>
          <cell r="M319" t="str">
            <v>(00:00 - 23:59)</v>
          </cell>
          <cell r="N319">
            <v>0</v>
          </cell>
          <cell r="O319">
            <v>0</v>
          </cell>
          <cell r="P319">
            <v>0</v>
          </cell>
          <cell r="Q319">
            <v>1440</v>
          </cell>
        </row>
        <row r="320">
          <cell r="B320" t="str">
            <v>Z10Z</v>
          </cell>
          <cell r="C320" t="str">
            <v>Yunarius Raynold Gege</v>
          </cell>
          <cell r="D320" t="str">
            <v>Kupang</v>
          </cell>
          <cell r="E320" t="str">
            <v>ADVANTAGE KUPANG</v>
          </cell>
          <cell r="F320">
            <v>1</v>
          </cell>
          <cell r="G320" t="str">
            <v>04-Denpasar</v>
          </cell>
          <cell r="H320" t="str">
            <v>B</v>
          </cell>
          <cell r="I320" t="str">
            <v>CRM</v>
          </cell>
          <cell r="J320" t="str">
            <v>Kupang</v>
          </cell>
          <cell r="K320" t="str">
            <v>Bali Nusra</v>
          </cell>
          <cell r="L320" t="str">
            <v xml:space="preserve">MON-SUN </v>
          </cell>
          <cell r="M320" t="str">
            <v>(00:00 - 23:59)</v>
          </cell>
          <cell r="N320">
            <v>0</v>
          </cell>
          <cell r="O320">
            <v>0</v>
          </cell>
          <cell r="P320">
            <v>0</v>
          </cell>
          <cell r="Q320">
            <v>1440</v>
          </cell>
        </row>
        <row r="321">
          <cell r="B321" t="str">
            <v>Z11K</v>
          </cell>
          <cell r="C321" t="str">
            <v>Bambang Yuniarko</v>
          </cell>
          <cell r="D321" t="str">
            <v>Kerobokan</v>
          </cell>
          <cell r="E321" t="str">
            <v>ABACUS BALI</v>
          </cell>
          <cell r="F321">
            <v>1</v>
          </cell>
          <cell r="G321" t="str">
            <v>04-Denpasar</v>
          </cell>
          <cell r="H321" t="str">
            <v>B</v>
          </cell>
          <cell r="I321" t="str">
            <v>CRM</v>
          </cell>
          <cell r="J321" t="str">
            <v>Denpasar</v>
          </cell>
          <cell r="K321" t="str">
            <v>Bali Nusra</v>
          </cell>
          <cell r="L321" t="str">
            <v xml:space="preserve">MON-SUN </v>
          </cell>
          <cell r="M321" t="str">
            <v>(00:00 - 23:59)</v>
          </cell>
          <cell r="N321">
            <v>0</v>
          </cell>
          <cell r="O321">
            <v>0</v>
          </cell>
          <cell r="P321">
            <v>0</v>
          </cell>
          <cell r="Q321">
            <v>1440</v>
          </cell>
        </row>
        <row r="322">
          <cell r="B322" t="str">
            <v>Z11Q</v>
          </cell>
          <cell r="C322" t="str">
            <v>Muhammad Hidayatullah</v>
          </cell>
          <cell r="D322" t="str">
            <v>Lombok Timur</v>
          </cell>
          <cell r="E322" t="str">
            <v>ADVANTAGE CAKRANEGARA</v>
          </cell>
          <cell r="F322">
            <v>1</v>
          </cell>
          <cell r="G322" t="str">
            <v>04-Denpasar</v>
          </cell>
          <cell r="H322" t="str">
            <v>B</v>
          </cell>
          <cell r="I322" t="str">
            <v>CRM</v>
          </cell>
          <cell r="J322" t="str">
            <v>Lombok Timur</v>
          </cell>
          <cell r="K322" t="str">
            <v>Bali Nusra</v>
          </cell>
          <cell r="L322" t="str">
            <v xml:space="preserve">MON-SUN </v>
          </cell>
          <cell r="M322" t="str">
            <v>(00:00 - 23:59)</v>
          </cell>
          <cell r="N322">
            <v>0</v>
          </cell>
          <cell r="O322">
            <v>0</v>
          </cell>
          <cell r="P322">
            <v>0</v>
          </cell>
          <cell r="Q322">
            <v>1440</v>
          </cell>
        </row>
        <row r="323">
          <cell r="B323" t="str">
            <v>Z11R</v>
          </cell>
          <cell r="C323" t="str">
            <v>Muhammad Hidayatullah</v>
          </cell>
          <cell r="D323" t="str">
            <v>Lombok Timur</v>
          </cell>
          <cell r="E323" t="str">
            <v>ADVANTAGE CAKRANEGARA</v>
          </cell>
          <cell r="F323">
            <v>1</v>
          </cell>
          <cell r="G323" t="str">
            <v>04-Denpasar</v>
          </cell>
          <cell r="H323" t="str">
            <v>B</v>
          </cell>
          <cell r="I323" t="str">
            <v>CRM</v>
          </cell>
          <cell r="J323" t="str">
            <v>Lombok Timur</v>
          </cell>
          <cell r="K323" t="str">
            <v>Bali Nusra</v>
          </cell>
          <cell r="L323" t="str">
            <v xml:space="preserve">MON-SUN </v>
          </cell>
          <cell r="M323" t="str">
            <v>(00:00 - 23:59)</v>
          </cell>
          <cell r="N323">
            <v>1</v>
          </cell>
          <cell r="O323">
            <v>13</v>
          </cell>
          <cell r="P323">
            <v>0.9</v>
          </cell>
          <cell r="Q323">
            <v>1440</v>
          </cell>
        </row>
        <row r="324">
          <cell r="B324" t="str">
            <v>Z14T</v>
          </cell>
          <cell r="C324" t="str">
            <v>Arif Rahman Hakim</v>
          </cell>
          <cell r="D324" t="str">
            <v>By Pass Mumbul</v>
          </cell>
          <cell r="E324" t="str">
            <v>ABACUS BALI</v>
          </cell>
          <cell r="F324">
            <v>1</v>
          </cell>
          <cell r="G324" t="str">
            <v>04-Denpasar</v>
          </cell>
          <cell r="H324" t="str">
            <v>B</v>
          </cell>
          <cell r="I324" t="str">
            <v>CRM</v>
          </cell>
          <cell r="J324" t="str">
            <v>Denpasar</v>
          </cell>
          <cell r="K324" t="str">
            <v>Bali Nusra</v>
          </cell>
          <cell r="L324" t="str">
            <v xml:space="preserve">MON-SUN </v>
          </cell>
          <cell r="M324" t="str">
            <v>(00:00 - 23:59)</v>
          </cell>
          <cell r="N324">
            <v>0</v>
          </cell>
          <cell r="O324">
            <v>0</v>
          </cell>
          <cell r="P324">
            <v>0</v>
          </cell>
          <cell r="Q324">
            <v>1440</v>
          </cell>
        </row>
        <row r="325">
          <cell r="B325" t="str">
            <v>Z14W</v>
          </cell>
          <cell r="C325" t="str">
            <v>Arif Rahman Hakim</v>
          </cell>
          <cell r="D325" t="str">
            <v>By Pass Mumbul</v>
          </cell>
          <cell r="E325" t="str">
            <v>ABACUS BALI</v>
          </cell>
          <cell r="F325">
            <v>1</v>
          </cell>
          <cell r="G325" t="str">
            <v>04-Denpasar</v>
          </cell>
          <cell r="H325" t="str">
            <v>B</v>
          </cell>
          <cell r="I325" t="str">
            <v>CRM</v>
          </cell>
          <cell r="J325" t="str">
            <v>Denpasar</v>
          </cell>
          <cell r="K325" t="str">
            <v>Bali Nusra</v>
          </cell>
          <cell r="L325" t="str">
            <v xml:space="preserve">MON-SUN </v>
          </cell>
          <cell r="M325" t="str">
            <v>(00:00 - 23:59)</v>
          </cell>
          <cell r="N325">
            <v>0</v>
          </cell>
          <cell r="O325">
            <v>0</v>
          </cell>
          <cell r="P325">
            <v>0</v>
          </cell>
          <cell r="Q325">
            <v>1440</v>
          </cell>
        </row>
        <row r="326">
          <cell r="B326" t="str">
            <v>Z15Q</v>
          </cell>
          <cell r="C326" t="str">
            <v>Rio Erdiansyah</v>
          </cell>
          <cell r="D326" t="str">
            <v>Seririt</v>
          </cell>
          <cell r="E326" t="str">
            <v>ABACUS BALI</v>
          </cell>
          <cell r="F326">
            <v>2</v>
          </cell>
          <cell r="G326" t="str">
            <v>04-Denpasar</v>
          </cell>
          <cell r="H326" t="str">
            <v>B</v>
          </cell>
          <cell r="I326" t="str">
            <v>CRM</v>
          </cell>
          <cell r="J326" t="str">
            <v>Singaraja</v>
          </cell>
          <cell r="K326" t="str">
            <v>Bali Nusra</v>
          </cell>
          <cell r="L326" t="str">
            <v xml:space="preserve">MON-SUN </v>
          </cell>
          <cell r="M326" t="str">
            <v>(00:00 - 23:59)</v>
          </cell>
          <cell r="N326">
            <v>0</v>
          </cell>
          <cell r="O326">
            <v>0</v>
          </cell>
          <cell r="P326">
            <v>0</v>
          </cell>
          <cell r="Q326">
            <v>1440</v>
          </cell>
        </row>
        <row r="327">
          <cell r="B327" t="str">
            <v>Z15T</v>
          </cell>
          <cell r="C327" t="str">
            <v>Rio Erdiansyah</v>
          </cell>
          <cell r="D327" t="str">
            <v>Singaraja</v>
          </cell>
          <cell r="E327" t="str">
            <v>ABACUS BALI</v>
          </cell>
          <cell r="F327">
            <v>1</v>
          </cell>
          <cell r="G327" t="str">
            <v>04-Denpasar</v>
          </cell>
          <cell r="H327" t="str">
            <v>B</v>
          </cell>
          <cell r="I327" t="str">
            <v>CRM</v>
          </cell>
          <cell r="J327" t="str">
            <v>Singaraja</v>
          </cell>
          <cell r="K327" t="str">
            <v>Bali Nusra</v>
          </cell>
          <cell r="L327" t="str">
            <v xml:space="preserve">MON-SUN </v>
          </cell>
          <cell r="M327" t="str">
            <v>(00:00 - 23:59)</v>
          </cell>
          <cell r="N327">
            <v>0</v>
          </cell>
          <cell r="O327">
            <v>0</v>
          </cell>
          <cell r="P327">
            <v>0</v>
          </cell>
          <cell r="Q327">
            <v>1440</v>
          </cell>
        </row>
        <row r="328">
          <cell r="B328" t="str">
            <v>Z15U</v>
          </cell>
          <cell r="C328" t="str">
            <v>Rio Erdiansyah</v>
          </cell>
          <cell r="D328" t="str">
            <v>Singaraja</v>
          </cell>
          <cell r="E328" t="str">
            <v>ABACUS BALI</v>
          </cell>
          <cell r="F328">
            <v>1</v>
          </cell>
          <cell r="G328" t="str">
            <v>04-Denpasar</v>
          </cell>
          <cell r="H328" t="str">
            <v>B</v>
          </cell>
          <cell r="I328" t="str">
            <v>CRM</v>
          </cell>
          <cell r="J328" t="str">
            <v>Singaraja</v>
          </cell>
          <cell r="K328" t="str">
            <v>Bali Nusra</v>
          </cell>
          <cell r="L328" t="str">
            <v xml:space="preserve">MON-SUN </v>
          </cell>
          <cell r="M328" t="str">
            <v>(00:00 - 23:59)</v>
          </cell>
          <cell r="N328">
            <v>0</v>
          </cell>
          <cell r="O328">
            <v>0</v>
          </cell>
          <cell r="P328">
            <v>0</v>
          </cell>
          <cell r="Q328">
            <v>1440</v>
          </cell>
        </row>
        <row r="329">
          <cell r="B329" t="str">
            <v>Z15V</v>
          </cell>
          <cell r="C329" t="str">
            <v>Rio Erdiansyah</v>
          </cell>
          <cell r="D329" t="str">
            <v>Singaraja</v>
          </cell>
          <cell r="E329" t="str">
            <v>ABACUS BALI</v>
          </cell>
          <cell r="F329">
            <v>1</v>
          </cell>
          <cell r="G329" t="str">
            <v>04-Denpasar</v>
          </cell>
          <cell r="H329" t="str">
            <v>B</v>
          </cell>
          <cell r="I329" t="str">
            <v>CRM</v>
          </cell>
          <cell r="J329" t="str">
            <v>Singaraja</v>
          </cell>
          <cell r="K329" t="str">
            <v>Bali Nusra</v>
          </cell>
          <cell r="L329" t="str">
            <v xml:space="preserve">MON-SUN </v>
          </cell>
          <cell r="M329" t="str">
            <v>(00:00 - 23:59)</v>
          </cell>
          <cell r="N329">
            <v>0</v>
          </cell>
          <cell r="O329">
            <v>0</v>
          </cell>
          <cell r="P329">
            <v>0</v>
          </cell>
          <cell r="Q329">
            <v>1440</v>
          </cell>
        </row>
        <row r="330">
          <cell r="B330" t="str">
            <v>Z16J</v>
          </cell>
          <cell r="C330" t="str">
            <v>Lalu Riswan Hadi</v>
          </cell>
          <cell r="D330" t="str">
            <v>Sriwijaya</v>
          </cell>
          <cell r="E330" t="str">
            <v>ADVANTAGE CAKRANEGARA</v>
          </cell>
          <cell r="F330">
            <v>1</v>
          </cell>
          <cell r="G330" t="str">
            <v>04-Denpasar</v>
          </cell>
          <cell r="H330" t="str">
            <v>B</v>
          </cell>
          <cell r="I330" t="str">
            <v>CRM</v>
          </cell>
          <cell r="J330" t="str">
            <v>Mataram</v>
          </cell>
          <cell r="K330" t="str">
            <v>Bali Nusra</v>
          </cell>
          <cell r="L330" t="str">
            <v xml:space="preserve">MON-SUN </v>
          </cell>
          <cell r="M330" t="str">
            <v>(00:00 - 23:59)</v>
          </cell>
          <cell r="N330">
            <v>3</v>
          </cell>
          <cell r="O330">
            <v>103</v>
          </cell>
          <cell r="P330">
            <v>7.15</v>
          </cell>
          <cell r="Q330">
            <v>1440</v>
          </cell>
        </row>
        <row r="331">
          <cell r="B331" t="str">
            <v>Z1N0</v>
          </cell>
          <cell r="C331" t="str">
            <v>I Putu Dendy Pratama</v>
          </cell>
          <cell r="D331" t="str">
            <v>IDM Kepaon Indah</v>
          </cell>
          <cell r="E331" t="str">
            <v>ABACUS BALI</v>
          </cell>
          <cell r="F331">
            <v>1</v>
          </cell>
          <cell r="G331" t="str">
            <v>04-Denpasar</v>
          </cell>
          <cell r="H331" t="str">
            <v>B</v>
          </cell>
          <cell r="I331" t="str">
            <v>CRM</v>
          </cell>
          <cell r="J331" t="str">
            <v>Denpasar</v>
          </cell>
          <cell r="K331" t="str">
            <v>Bali Nusra</v>
          </cell>
          <cell r="L331" t="str">
            <v xml:space="preserve">MON-SUN </v>
          </cell>
          <cell r="M331" t="str">
            <v>(00:00 - 23:59)</v>
          </cell>
          <cell r="N331">
            <v>0</v>
          </cell>
          <cell r="O331">
            <v>0</v>
          </cell>
          <cell r="P331">
            <v>0</v>
          </cell>
          <cell r="Q331">
            <v>1440</v>
          </cell>
        </row>
        <row r="332">
          <cell r="B332" t="str">
            <v>Z1Q7</v>
          </cell>
          <cell r="C332" t="str">
            <v>Revaldi Resha Wardhana</v>
          </cell>
          <cell r="D332" t="str">
            <v>Dhana Mart Intaran</v>
          </cell>
          <cell r="E332" t="str">
            <v>ANDALAN BALI</v>
          </cell>
          <cell r="F332">
            <v>1</v>
          </cell>
          <cell r="G332" t="str">
            <v>04-Denpasar</v>
          </cell>
          <cell r="H332" t="str">
            <v>B</v>
          </cell>
          <cell r="I332" t="str">
            <v>CRM</v>
          </cell>
          <cell r="J332" t="str">
            <v>Denpasar</v>
          </cell>
          <cell r="K332" t="str">
            <v>Bali Nusra</v>
          </cell>
          <cell r="L332" t="str">
            <v xml:space="preserve">MON-SUN </v>
          </cell>
          <cell r="M332" t="str">
            <v>(06:00 - 23:00)</v>
          </cell>
          <cell r="N332">
            <v>0</v>
          </cell>
          <cell r="O332">
            <v>0</v>
          </cell>
          <cell r="P332">
            <v>0</v>
          </cell>
          <cell r="Q332">
            <v>1020</v>
          </cell>
        </row>
        <row r="333">
          <cell r="B333" t="str">
            <v>Z1T1</v>
          </cell>
          <cell r="C333" t="str">
            <v>Yohanes Yeximus Tritanto</v>
          </cell>
          <cell r="D333" t="str">
            <v>Alfa Batu Cermin</v>
          </cell>
          <cell r="E333" t="str">
            <v>KUPANG</v>
          </cell>
          <cell r="F333">
            <v>1</v>
          </cell>
          <cell r="G333" t="str">
            <v>04-Denpasar</v>
          </cell>
          <cell r="H333" t="str">
            <v>B</v>
          </cell>
          <cell r="I333" t="str">
            <v>CRM</v>
          </cell>
          <cell r="J333" t="str">
            <v>Ende</v>
          </cell>
          <cell r="K333" t="str">
            <v>Bali Nusra</v>
          </cell>
          <cell r="L333" t="str">
            <v xml:space="preserve">MON-SUN </v>
          </cell>
          <cell r="M333" t="str">
            <v>(00:00 - 23:59)</v>
          </cell>
          <cell r="N333">
            <v>0</v>
          </cell>
          <cell r="O333">
            <v>0</v>
          </cell>
          <cell r="P333">
            <v>0</v>
          </cell>
          <cell r="Q333">
            <v>1440</v>
          </cell>
        </row>
        <row r="334">
          <cell r="B334" t="str">
            <v>Z1T7</v>
          </cell>
          <cell r="C334" t="str">
            <v>Revaldi Resha Wardhana</v>
          </cell>
          <cell r="D334" t="str">
            <v>Alfa Green Kori</v>
          </cell>
          <cell r="E334" t="str">
            <v>ABACUS BALI</v>
          </cell>
          <cell r="F334">
            <v>1</v>
          </cell>
          <cell r="G334" t="str">
            <v>04-Denpasar</v>
          </cell>
          <cell r="H334" t="str">
            <v>B</v>
          </cell>
          <cell r="I334" t="str">
            <v>CRM</v>
          </cell>
          <cell r="J334" t="str">
            <v>Denpasar</v>
          </cell>
          <cell r="K334" t="str">
            <v>Bali Nusra</v>
          </cell>
          <cell r="L334" t="str">
            <v xml:space="preserve">MON-SUN </v>
          </cell>
          <cell r="M334" t="str">
            <v>(07:00 - 22:00)</v>
          </cell>
          <cell r="N334">
            <v>0</v>
          </cell>
          <cell r="O334">
            <v>0</v>
          </cell>
          <cell r="P334">
            <v>0</v>
          </cell>
          <cell r="Q334">
            <v>900</v>
          </cell>
        </row>
        <row r="335">
          <cell r="B335" t="str">
            <v>Z1ZA</v>
          </cell>
          <cell r="C335" t="str">
            <v>Lalu Riswan Hadi</v>
          </cell>
          <cell r="D335" t="str">
            <v>GBI Mataram</v>
          </cell>
          <cell r="E335" t="str">
            <v>ADVANTAGE CAKRANEGARA</v>
          </cell>
          <cell r="F335">
            <v>1</v>
          </cell>
          <cell r="G335" t="str">
            <v>04-Denpasar</v>
          </cell>
          <cell r="H335" t="str">
            <v>B</v>
          </cell>
          <cell r="I335" t="str">
            <v>CRM</v>
          </cell>
          <cell r="J335" t="str">
            <v>Mataram</v>
          </cell>
          <cell r="K335" t="str">
            <v>Bali Nusra</v>
          </cell>
          <cell r="L335" t="str">
            <v xml:space="preserve">MON-SUN </v>
          </cell>
          <cell r="M335" t="str">
            <v>(00:00 - 23:59)</v>
          </cell>
          <cell r="N335">
            <v>0</v>
          </cell>
          <cell r="O335">
            <v>0</v>
          </cell>
          <cell r="P335">
            <v>0</v>
          </cell>
          <cell r="Q335">
            <v>1440</v>
          </cell>
        </row>
        <row r="336">
          <cell r="B336" t="str">
            <v>Z23C</v>
          </cell>
          <cell r="C336" t="str">
            <v>Furqan</v>
          </cell>
          <cell r="D336" t="str">
            <v>Alfa Rabangodu Utara</v>
          </cell>
          <cell r="E336" t="str">
            <v>SSI BIMA</v>
          </cell>
          <cell r="F336">
            <v>1</v>
          </cell>
          <cell r="G336" t="str">
            <v>04-Denpasar</v>
          </cell>
          <cell r="H336" t="str">
            <v>B</v>
          </cell>
          <cell r="I336" t="str">
            <v>CRM</v>
          </cell>
          <cell r="J336" t="str">
            <v>Bima</v>
          </cell>
          <cell r="K336" t="str">
            <v>Bali Nusra</v>
          </cell>
          <cell r="L336" t="str">
            <v xml:space="preserve">MON-SUN </v>
          </cell>
          <cell r="M336" t="str">
            <v>(00:00 - 23:59)</v>
          </cell>
          <cell r="N336">
            <v>0</v>
          </cell>
          <cell r="O336">
            <v>0</v>
          </cell>
          <cell r="P336">
            <v>0</v>
          </cell>
          <cell r="Q336">
            <v>1440</v>
          </cell>
        </row>
        <row r="337">
          <cell r="B337" t="str">
            <v>Z23E</v>
          </cell>
          <cell r="C337" t="str">
            <v>Muhammad Rifki R</v>
          </cell>
          <cell r="D337" t="str">
            <v>Sumbawa Besar</v>
          </cell>
          <cell r="E337" t="str">
            <v>SSI SUMBAWA</v>
          </cell>
          <cell r="F337">
            <v>1</v>
          </cell>
          <cell r="G337" t="str">
            <v>04-Denpasar</v>
          </cell>
          <cell r="H337" t="str">
            <v>B</v>
          </cell>
          <cell r="I337" t="str">
            <v>CRM</v>
          </cell>
          <cell r="J337" t="str">
            <v>Sumbawa</v>
          </cell>
          <cell r="K337" t="str">
            <v>Bali Nusra</v>
          </cell>
          <cell r="L337" t="str">
            <v xml:space="preserve">MON-SUN </v>
          </cell>
          <cell r="M337" t="str">
            <v>(00:00 - 23:59)</v>
          </cell>
          <cell r="N337">
            <v>0</v>
          </cell>
          <cell r="O337">
            <v>0</v>
          </cell>
          <cell r="P337">
            <v>0</v>
          </cell>
          <cell r="Q337">
            <v>1440</v>
          </cell>
        </row>
        <row r="338">
          <cell r="B338" t="str">
            <v>Z23F</v>
          </cell>
          <cell r="C338" t="str">
            <v>Muhammad Rifki R</v>
          </cell>
          <cell r="D338" t="str">
            <v>Sumbawa Besar</v>
          </cell>
          <cell r="E338" t="str">
            <v>SSI SUMBAWA</v>
          </cell>
          <cell r="F338">
            <v>1</v>
          </cell>
          <cell r="G338" t="str">
            <v>04-Denpasar</v>
          </cell>
          <cell r="H338" t="str">
            <v>B</v>
          </cell>
          <cell r="I338" t="str">
            <v>CRM</v>
          </cell>
          <cell r="J338" t="str">
            <v>Sumbawa</v>
          </cell>
          <cell r="K338" t="str">
            <v>Bali Nusra</v>
          </cell>
          <cell r="L338" t="str">
            <v xml:space="preserve">MON-SUN </v>
          </cell>
          <cell r="M338" t="str">
            <v>(00:00 - 23:59)</v>
          </cell>
          <cell r="N338">
            <v>0</v>
          </cell>
          <cell r="O338">
            <v>0</v>
          </cell>
          <cell r="P338">
            <v>0</v>
          </cell>
          <cell r="Q338">
            <v>1440</v>
          </cell>
        </row>
        <row r="339">
          <cell r="B339" t="str">
            <v>Z24C</v>
          </cell>
          <cell r="C339" t="str">
            <v>Revaldi Resha Wardhana</v>
          </cell>
          <cell r="D339" t="str">
            <v>Crystal Mart Cargo</v>
          </cell>
          <cell r="E339" t="str">
            <v>ABACUS BALI</v>
          </cell>
          <cell r="F339">
            <v>1</v>
          </cell>
          <cell r="G339" t="str">
            <v>04-Denpasar</v>
          </cell>
          <cell r="H339" t="str">
            <v>B</v>
          </cell>
          <cell r="I339" t="str">
            <v>CRM</v>
          </cell>
          <cell r="J339" t="str">
            <v>Denpasar</v>
          </cell>
          <cell r="K339" t="str">
            <v>Bali Nusra</v>
          </cell>
          <cell r="L339" t="str">
            <v xml:space="preserve">MON-SUN </v>
          </cell>
          <cell r="M339" t="str">
            <v>(00:00 - 23:59)</v>
          </cell>
          <cell r="N339">
            <v>0</v>
          </cell>
          <cell r="O339">
            <v>0</v>
          </cell>
          <cell r="P339">
            <v>0</v>
          </cell>
          <cell r="Q339">
            <v>1440</v>
          </cell>
        </row>
        <row r="340">
          <cell r="B340" t="str">
            <v>Z24M</v>
          </cell>
          <cell r="C340" t="str">
            <v>Muhammad Gufron Sofyan</v>
          </cell>
          <cell r="D340" t="str">
            <v>IDM Melaya</v>
          </cell>
          <cell r="E340" t="str">
            <v>ABACUS BALI</v>
          </cell>
          <cell r="F340">
            <v>2</v>
          </cell>
          <cell r="G340" t="str">
            <v>04-Denpasar</v>
          </cell>
          <cell r="H340" t="str">
            <v>B</v>
          </cell>
          <cell r="I340" t="str">
            <v>CRM</v>
          </cell>
          <cell r="J340" t="str">
            <v>Negara</v>
          </cell>
          <cell r="K340" t="str">
            <v>Bali Nusra</v>
          </cell>
          <cell r="L340" t="str">
            <v xml:space="preserve">MON-SUN </v>
          </cell>
          <cell r="M340" t="str">
            <v>(07:00 - 22:00)</v>
          </cell>
          <cell r="N340">
            <v>0</v>
          </cell>
          <cell r="O340">
            <v>0</v>
          </cell>
          <cell r="P340">
            <v>0</v>
          </cell>
          <cell r="Q340">
            <v>900</v>
          </cell>
        </row>
        <row r="341">
          <cell r="B341" t="str">
            <v>Z263</v>
          </cell>
          <cell r="C341" t="str">
            <v>Suhel Risdianto</v>
          </cell>
          <cell r="D341" t="str">
            <v>Level 21 Denpasar</v>
          </cell>
          <cell r="E341" t="str">
            <v>ANDALAN BALI</v>
          </cell>
          <cell r="F341">
            <v>1</v>
          </cell>
          <cell r="G341" t="str">
            <v>04-Denpasar</v>
          </cell>
          <cell r="H341" t="str">
            <v>B</v>
          </cell>
          <cell r="I341" t="str">
            <v>CRM</v>
          </cell>
          <cell r="J341" t="str">
            <v>Denpasar</v>
          </cell>
          <cell r="K341" t="str">
            <v>Bali Nusra</v>
          </cell>
          <cell r="L341" t="str">
            <v xml:space="preserve">MON-SUN </v>
          </cell>
          <cell r="M341" t="str">
            <v>(07:00 - 22:00)</v>
          </cell>
          <cell r="N341">
            <v>0</v>
          </cell>
          <cell r="O341">
            <v>0</v>
          </cell>
          <cell r="P341">
            <v>0</v>
          </cell>
          <cell r="Q341">
            <v>900</v>
          </cell>
        </row>
        <row r="342">
          <cell r="B342" t="str">
            <v>Z2FB</v>
          </cell>
          <cell r="C342" t="str">
            <v>Leonardo A Ruly</v>
          </cell>
          <cell r="D342" t="str">
            <v>IDM Oesao</v>
          </cell>
          <cell r="E342" t="str">
            <v>ADVANTAGE KUPANG</v>
          </cell>
          <cell r="F342">
            <v>1</v>
          </cell>
          <cell r="G342" t="str">
            <v>04-Denpasar</v>
          </cell>
          <cell r="H342" t="str">
            <v>B</v>
          </cell>
          <cell r="I342" t="str">
            <v>CRM</v>
          </cell>
          <cell r="J342" t="str">
            <v>Kupang</v>
          </cell>
          <cell r="K342" t="str">
            <v>Bali Nusra</v>
          </cell>
          <cell r="L342" t="str">
            <v xml:space="preserve">MON-SUN </v>
          </cell>
          <cell r="M342" t="str">
            <v>(06:00 - 23:00)</v>
          </cell>
          <cell r="N342">
            <v>0</v>
          </cell>
          <cell r="O342">
            <v>0</v>
          </cell>
          <cell r="P342">
            <v>0</v>
          </cell>
          <cell r="Q342">
            <v>1020</v>
          </cell>
        </row>
        <row r="343">
          <cell r="B343" t="str">
            <v>Z2FC</v>
          </cell>
          <cell r="C343" t="str">
            <v>Lalu Riswan Hadi</v>
          </cell>
          <cell r="D343" t="str">
            <v>Praya</v>
          </cell>
          <cell r="E343" t="str">
            <v>ADVANTAGE CAKRANEGARA</v>
          </cell>
          <cell r="F343">
            <v>1</v>
          </cell>
          <cell r="G343" t="str">
            <v>04-Denpasar</v>
          </cell>
          <cell r="H343" t="str">
            <v>B</v>
          </cell>
          <cell r="I343" t="str">
            <v>CRM</v>
          </cell>
          <cell r="J343" t="str">
            <v>Mataram</v>
          </cell>
          <cell r="K343" t="str">
            <v>Bali Nusra</v>
          </cell>
          <cell r="L343" t="str">
            <v xml:space="preserve">MON-SUN </v>
          </cell>
          <cell r="M343" t="str">
            <v>(00:00 - 23:59)</v>
          </cell>
          <cell r="N343">
            <v>0</v>
          </cell>
          <cell r="O343">
            <v>0</v>
          </cell>
          <cell r="P343">
            <v>0</v>
          </cell>
          <cell r="Q343">
            <v>1440</v>
          </cell>
        </row>
        <row r="344">
          <cell r="B344" t="str">
            <v>Z2H2</v>
          </cell>
          <cell r="C344" t="str">
            <v>Farozan Ali Fahmi</v>
          </cell>
          <cell r="D344" t="str">
            <v>Gatot Subroto Timur</v>
          </cell>
          <cell r="E344" t="str">
            <v>ABACUS BALI</v>
          </cell>
          <cell r="F344">
            <v>1</v>
          </cell>
          <cell r="G344" t="str">
            <v>04-Denpasar</v>
          </cell>
          <cell r="H344" t="str">
            <v>B</v>
          </cell>
          <cell r="I344" t="str">
            <v>CRM</v>
          </cell>
          <cell r="J344" t="str">
            <v>Denpasar</v>
          </cell>
          <cell r="K344" t="str">
            <v>Bali Nusra</v>
          </cell>
          <cell r="L344" t="str">
            <v xml:space="preserve">MON-SUN </v>
          </cell>
          <cell r="M344" t="str">
            <v>(00:00 - 23:59)</v>
          </cell>
          <cell r="N344">
            <v>0</v>
          </cell>
          <cell r="O344">
            <v>0</v>
          </cell>
          <cell r="P344">
            <v>0</v>
          </cell>
          <cell r="Q344">
            <v>1440</v>
          </cell>
        </row>
        <row r="345">
          <cell r="B345" t="str">
            <v>Z2H3</v>
          </cell>
          <cell r="C345" t="str">
            <v>Farozan Ali Fahmi</v>
          </cell>
          <cell r="D345" t="str">
            <v>Gatot Subroto Timur</v>
          </cell>
          <cell r="E345" t="str">
            <v>ABACUS BALI</v>
          </cell>
          <cell r="F345">
            <v>1</v>
          </cell>
          <cell r="G345" t="str">
            <v>04-Denpasar</v>
          </cell>
          <cell r="H345" t="str">
            <v>B</v>
          </cell>
          <cell r="I345" t="str">
            <v>CRM</v>
          </cell>
          <cell r="J345" t="str">
            <v>Denpasar</v>
          </cell>
          <cell r="K345" t="str">
            <v>Bali Nusra</v>
          </cell>
          <cell r="L345" t="str">
            <v xml:space="preserve">MON-SUN </v>
          </cell>
          <cell r="M345" t="str">
            <v>(00:00 - 23:59)</v>
          </cell>
          <cell r="N345">
            <v>0</v>
          </cell>
          <cell r="O345">
            <v>0</v>
          </cell>
          <cell r="P345">
            <v>0</v>
          </cell>
          <cell r="Q345">
            <v>1440</v>
          </cell>
        </row>
        <row r="346">
          <cell r="B346" t="str">
            <v>Z2H4</v>
          </cell>
          <cell r="C346" t="str">
            <v>Farozan Ali Fahmi</v>
          </cell>
          <cell r="D346" t="str">
            <v>Gatot Subroto Timur</v>
          </cell>
          <cell r="E346" t="str">
            <v>ABACUS BALI</v>
          </cell>
          <cell r="F346">
            <v>1</v>
          </cell>
          <cell r="G346" t="str">
            <v>04-Denpasar</v>
          </cell>
          <cell r="H346" t="str">
            <v>B</v>
          </cell>
          <cell r="I346" t="str">
            <v>CRM</v>
          </cell>
          <cell r="J346" t="str">
            <v>Denpasar</v>
          </cell>
          <cell r="K346" t="str">
            <v>Bali Nusra</v>
          </cell>
          <cell r="L346" t="str">
            <v xml:space="preserve">MON-SUN </v>
          </cell>
          <cell r="M346" t="str">
            <v>(00:00 - 23:59)</v>
          </cell>
          <cell r="N346">
            <v>0</v>
          </cell>
          <cell r="O346">
            <v>0</v>
          </cell>
          <cell r="P346">
            <v>0</v>
          </cell>
          <cell r="Q346">
            <v>1440</v>
          </cell>
        </row>
        <row r="347">
          <cell r="B347" t="str">
            <v>Z3BE</v>
          </cell>
          <cell r="C347" t="str">
            <v>I Putu Dendy Pratama</v>
          </cell>
          <cell r="D347" t="str">
            <v>EBC Beachwalk CRM 1</v>
          </cell>
          <cell r="E347" t="str">
            <v>ABACUS BALI</v>
          </cell>
          <cell r="F347">
            <v>1</v>
          </cell>
          <cell r="G347" t="str">
            <v>04-Denpasar</v>
          </cell>
          <cell r="H347" t="str">
            <v>B</v>
          </cell>
          <cell r="I347" t="str">
            <v>CRM</v>
          </cell>
          <cell r="J347" t="str">
            <v>Denpasar</v>
          </cell>
          <cell r="K347" t="str">
            <v>Bali Nusra</v>
          </cell>
          <cell r="L347" t="str">
            <v xml:space="preserve">MON-SUN </v>
          </cell>
          <cell r="M347" t="str">
            <v>(09:00 - 22:00)</v>
          </cell>
          <cell r="N347">
            <v>0</v>
          </cell>
          <cell r="O347">
            <v>0</v>
          </cell>
          <cell r="P347">
            <v>0</v>
          </cell>
          <cell r="Q347">
            <v>780</v>
          </cell>
        </row>
        <row r="348">
          <cell r="B348" t="str">
            <v>Z3NR</v>
          </cell>
          <cell r="C348" t="str">
            <v>I Putu Dendy Pratama</v>
          </cell>
          <cell r="D348" t="str">
            <v>Pasar Kuta</v>
          </cell>
          <cell r="E348" t="str">
            <v>ABACUS BALI</v>
          </cell>
          <cell r="F348">
            <v>1</v>
          </cell>
          <cell r="G348" t="str">
            <v>04-Denpasar</v>
          </cell>
          <cell r="H348" t="str">
            <v>B</v>
          </cell>
          <cell r="I348" t="str">
            <v>CRM</v>
          </cell>
          <cell r="J348" t="str">
            <v>Denpasar</v>
          </cell>
          <cell r="K348" t="str">
            <v>Bali Nusra</v>
          </cell>
          <cell r="L348" t="str">
            <v xml:space="preserve">MON-SUN </v>
          </cell>
          <cell r="M348" t="str">
            <v>(00:00 - 23:59)</v>
          </cell>
          <cell r="N348">
            <v>0</v>
          </cell>
          <cell r="O348">
            <v>0</v>
          </cell>
          <cell r="P348">
            <v>0</v>
          </cell>
          <cell r="Q348">
            <v>1440</v>
          </cell>
        </row>
        <row r="349">
          <cell r="B349" t="str">
            <v>Z3NU</v>
          </cell>
          <cell r="C349" t="str">
            <v>Yunarius Raynold Gege</v>
          </cell>
          <cell r="D349" t="str">
            <v>Siliwangi Kupang CRM 1</v>
          </cell>
          <cell r="E349" t="str">
            <v>ADVANTAGE KUPANG</v>
          </cell>
          <cell r="F349">
            <v>1</v>
          </cell>
          <cell r="G349" t="str">
            <v>04-Denpasar</v>
          </cell>
          <cell r="H349" t="str">
            <v>B</v>
          </cell>
          <cell r="I349" t="str">
            <v>CRM</v>
          </cell>
          <cell r="J349" t="str">
            <v>Kupang</v>
          </cell>
          <cell r="K349" t="str">
            <v>Bali Nusra</v>
          </cell>
          <cell r="L349" t="str">
            <v xml:space="preserve">MON-SUN </v>
          </cell>
          <cell r="M349" t="str">
            <v>(00:00 - 23:59)</v>
          </cell>
          <cell r="N349">
            <v>0</v>
          </cell>
          <cell r="O349">
            <v>0</v>
          </cell>
          <cell r="P349">
            <v>0</v>
          </cell>
          <cell r="Q349">
            <v>1440</v>
          </cell>
        </row>
        <row r="350">
          <cell r="B350" t="str">
            <v>Z3NV</v>
          </cell>
          <cell r="C350" t="str">
            <v>Leonardo A Ruly</v>
          </cell>
          <cell r="D350" t="str">
            <v>Siliwangi Kupang CRM 2</v>
          </cell>
          <cell r="E350" t="str">
            <v>ADVANTAGE KUPANG</v>
          </cell>
          <cell r="F350">
            <v>1</v>
          </cell>
          <cell r="G350" t="str">
            <v>04-Denpasar</v>
          </cell>
          <cell r="H350" t="str">
            <v>B</v>
          </cell>
          <cell r="I350" t="str">
            <v>CRM</v>
          </cell>
          <cell r="J350" t="str">
            <v>Kupang</v>
          </cell>
          <cell r="K350" t="str">
            <v>Bali Nusra</v>
          </cell>
          <cell r="L350" t="str">
            <v xml:space="preserve">MON-SUN </v>
          </cell>
          <cell r="M350" t="str">
            <v>(00:00 - 23:59)</v>
          </cell>
          <cell r="N350">
            <v>0</v>
          </cell>
          <cell r="O350">
            <v>0</v>
          </cell>
          <cell r="P350">
            <v>0</v>
          </cell>
          <cell r="Q350">
            <v>1440</v>
          </cell>
        </row>
        <row r="351">
          <cell r="B351" t="str">
            <v>Z3TZ</v>
          </cell>
          <cell r="C351" t="str">
            <v>Lalu Riswan Hadi</v>
          </cell>
          <cell r="D351" t="str">
            <v>Sriwijaya</v>
          </cell>
          <cell r="E351" t="str">
            <v>ADVANTAGE CAKRANEGARA</v>
          </cell>
          <cell r="F351">
            <v>1</v>
          </cell>
          <cell r="G351" t="str">
            <v>04-Denpasar</v>
          </cell>
          <cell r="H351" t="str">
            <v>B</v>
          </cell>
          <cell r="I351" t="str">
            <v>CRM</v>
          </cell>
          <cell r="J351" t="str">
            <v>Mataram</v>
          </cell>
          <cell r="K351" t="str">
            <v>Bali Nusra</v>
          </cell>
          <cell r="L351" t="str">
            <v xml:space="preserve">MON-SUN </v>
          </cell>
          <cell r="M351" t="str">
            <v>(00:00 - 23:59)</v>
          </cell>
          <cell r="N351">
            <v>2</v>
          </cell>
          <cell r="O351">
            <v>79</v>
          </cell>
          <cell r="P351">
            <v>5.49</v>
          </cell>
          <cell r="Q351">
            <v>1440</v>
          </cell>
        </row>
        <row r="352">
          <cell r="B352" t="str">
            <v>Z4CB</v>
          </cell>
          <cell r="C352" t="str">
            <v>Revaldi Resha Wardhana</v>
          </cell>
          <cell r="D352" t="str">
            <v>Arys Mikro Nangka Utara</v>
          </cell>
          <cell r="E352" t="str">
            <v>ABACUS BALI</v>
          </cell>
          <cell r="F352">
            <v>1</v>
          </cell>
          <cell r="G352" t="str">
            <v>04-Denpasar</v>
          </cell>
          <cell r="H352" t="str">
            <v>B</v>
          </cell>
          <cell r="I352" t="str">
            <v>CRM</v>
          </cell>
          <cell r="J352" t="str">
            <v>Denpasar</v>
          </cell>
          <cell r="K352" t="str">
            <v>Bali Nusra</v>
          </cell>
          <cell r="L352" t="str">
            <v xml:space="preserve">MON-SUN </v>
          </cell>
          <cell r="M352" t="str">
            <v>(00:00 - 23:59)</v>
          </cell>
          <cell r="N352">
            <v>0</v>
          </cell>
          <cell r="O352">
            <v>0</v>
          </cell>
          <cell r="P352">
            <v>0</v>
          </cell>
          <cell r="Q352">
            <v>1440</v>
          </cell>
        </row>
        <row r="353">
          <cell r="B353" t="str">
            <v>Z4UL</v>
          </cell>
          <cell r="C353" t="str">
            <v>I Putu Dendy Pratama</v>
          </cell>
          <cell r="D353" t="str">
            <v>Mall Bali Galeria CRM 1</v>
          </cell>
          <cell r="E353" t="str">
            <v>ABACUS BALI</v>
          </cell>
          <cell r="F353">
            <v>1</v>
          </cell>
          <cell r="G353" t="str">
            <v>04-Denpasar</v>
          </cell>
          <cell r="H353" t="str">
            <v>B</v>
          </cell>
          <cell r="I353" t="str">
            <v>CRM</v>
          </cell>
          <cell r="J353" t="str">
            <v>Denpasar</v>
          </cell>
          <cell r="K353" t="str">
            <v>Bali Nusra</v>
          </cell>
          <cell r="L353" t="str">
            <v xml:space="preserve">MON-SUN </v>
          </cell>
          <cell r="M353" t="str">
            <v>(09:00 - 21:00)</v>
          </cell>
          <cell r="N353">
            <v>0</v>
          </cell>
          <cell r="O353">
            <v>0</v>
          </cell>
          <cell r="P353">
            <v>0</v>
          </cell>
          <cell r="Q353">
            <v>720</v>
          </cell>
        </row>
        <row r="354">
          <cell r="B354" t="str">
            <v>Z4VY</v>
          </cell>
          <cell r="C354" t="str">
            <v>Eko Adi Sugiyantoro</v>
          </cell>
          <cell r="D354" t="str">
            <v>Canggu CRM 1</v>
          </cell>
          <cell r="E354" t="str">
            <v>ABACUS BALI</v>
          </cell>
          <cell r="F354">
            <v>1</v>
          </cell>
          <cell r="G354" t="str">
            <v>04-Denpasar</v>
          </cell>
          <cell r="H354" t="str">
            <v>B</v>
          </cell>
          <cell r="I354" t="str">
            <v>CRM</v>
          </cell>
          <cell r="J354" t="str">
            <v>Denpasar</v>
          </cell>
          <cell r="K354" t="str">
            <v>Bali Nusra</v>
          </cell>
          <cell r="L354" t="str">
            <v xml:space="preserve">MON-SUN </v>
          </cell>
          <cell r="M354" t="str">
            <v>(00:00 - 23:59)</v>
          </cell>
          <cell r="N354">
            <v>0</v>
          </cell>
          <cell r="O354">
            <v>0</v>
          </cell>
          <cell r="P354">
            <v>0</v>
          </cell>
          <cell r="Q354">
            <v>1440</v>
          </cell>
        </row>
        <row r="355">
          <cell r="B355" t="str">
            <v>Z4WB</v>
          </cell>
          <cell r="C355" t="str">
            <v>Alparizi</v>
          </cell>
          <cell r="D355" t="str">
            <v>Ampenan</v>
          </cell>
          <cell r="E355" t="str">
            <v>ADVANTAGE CAKRANEGARA</v>
          </cell>
          <cell r="F355">
            <v>1</v>
          </cell>
          <cell r="G355" t="str">
            <v>04-Denpasar</v>
          </cell>
          <cell r="H355" t="str">
            <v>B</v>
          </cell>
          <cell r="I355" t="str">
            <v>CRM</v>
          </cell>
          <cell r="J355" t="str">
            <v>Mataram</v>
          </cell>
          <cell r="K355" t="str">
            <v>Bali Nusra</v>
          </cell>
          <cell r="L355" t="str">
            <v xml:space="preserve">MON-SUN </v>
          </cell>
          <cell r="M355" t="str">
            <v>(00:00 - 23:59)</v>
          </cell>
          <cell r="N355">
            <v>0</v>
          </cell>
          <cell r="O355">
            <v>0</v>
          </cell>
          <cell r="P355">
            <v>0</v>
          </cell>
          <cell r="Q355">
            <v>1440</v>
          </cell>
        </row>
        <row r="356">
          <cell r="B356" t="str">
            <v>Z4WD</v>
          </cell>
          <cell r="C356" t="str">
            <v>Farozan Ali Fahmi</v>
          </cell>
          <cell r="D356" t="str">
            <v>Renon</v>
          </cell>
          <cell r="E356" t="str">
            <v>ANDALAN BALI</v>
          </cell>
          <cell r="F356">
            <v>1</v>
          </cell>
          <cell r="G356" t="str">
            <v>04-Denpasar</v>
          </cell>
          <cell r="H356" t="str">
            <v>B</v>
          </cell>
          <cell r="I356" t="str">
            <v>CRM</v>
          </cell>
          <cell r="J356" t="str">
            <v>Denpasar</v>
          </cell>
          <cell r="K356" t="str">
            <v>Bali Nusra</v>
          </cell>
          <cell r="L356" t="str">
            <v xml:space="preserve">MON-SUN </v>
          </cell>
          <cell r="M356" t="str">
            <v>(00:00 - 23:59)</v>
          </cell>
          <cell r="N356">
            <v>0</v>
          </cell>
          <cell r="O356">
            <v>0</v>
          </cell>
          <cell r="P356">
            <v>0</v>
          </cell>
          <cell r="Q356">
            <v>1440</v>
          </cell>
        </row>
        <row r="357">
          <cell r="B357" t="str">
            <v>Z4WF</v>
          </cell>
          <cell r="C357" t="str">
            <v>Adi Irawan</v>
          </cell>
          <cell r="D357" t="str">
            <v>Sweta</v>
          </cell>
          <cell r="E357" t="str">
            <v>ADVANTAGE CAKRANEGARA</v>
          </cell>
          <cell r="F357">
            <v>1</v>
          </cell>
          <cell r="G357" t="str">
            <v>04-Denpasar</v>
          </cell>
          <cell r="H357" t="str">
            <v>B</v>
          </cell>
          <cell r="I357" t="str">
            <v>CRM</v>
          </cell>
          <cell r="J357" t="str">
            <v>Mataram</v>
          </cell>
          <cell r="K357" t="str">
            <v>Bali Nusra</v>
          </cell>
          <cell r="L357" t="str">
            <v xml:space="preserve">MON-SUN </v>
          </cell>
          <cell r="M357" t="str">
            <v>(00:00 - 23:59)</v>
          </cell>
          <cell r="N357">
            <v>2</v>
          </cell>
          <cell r="O357">
            <v>54</v>
          </cell>
          <cell r="P357">
            <v>3.75</v>
          </cell>
          <cell r="Q357">
            <v>1440</v>
          </cell>
        </row>
        <row r="358">
          <cell r="B358" t="str">
            <v>Z4WJ</v>
          </cell>
          <cell r="C358" t="str">
            <v>I Putu Dendy Pratama</v>
          </cell>
          <cell r="D358" t="str">
            <v>Mahendradata</v>
          </cell>
          <cell r="E358" t="str">
            <v>ABACUS BALI</v>
          </cell>
          <cell r="F358">
            <v>1</v>
          </cell>
          <cell r="G358" t="str">
            <v>04-Denpasar</v>
          </cell>
          <cell r="H358" t="str">
            <v>B</v>
          </cell>
          <cell r="I358" t="str">
            <v>CRM</v>
          </cell>
          <cell r="J358" t="str">
            <v>Denpasar</v>
          </cell>
          <cell r="K358" t="str">
            <v>Bali Nusra</v>
          </cell>
          <cell r="L358" t="str">
            <v xml:space="preserve">MON-SUN </v>
          </cell>
          <cell r="M358" t="str">
            <v>(00:00 - 23:59)</v>
          </cell>
          <cell r="N358">
            <v>0</v>
          </cell>
          <cell r="O358">
            <v>0</v>
          </cell>
          <cell r="P358">
            <v>0</v>
          </cell>
          <cell r="Q358">
            <v>1440</v>
          </cell>
        </row>
        <row r="359">
          <cell r="B359" t="str">
            <v>Z4XL</v>
          </cell>
          <cell r="C359" t="str">
            <v>Farozan Ali Fahmi</v>
          </cell>
          <cell r="D359" t="str">
            <v>Gianyar</v>
          </cell>
          <cell r="E359" t="str">
            <v>ABACUS BALI</v>
          </cell>
          <cell r="F359">
            <v>2</v>
          </cell>
          <cell r="G359" t="str">
            <v>04-Denpasar</v>
          </cell>
          <cell r="H359" t="str">
            <v>B</v>
          </cell>
          <cell r="I359" t="str">
            <v>CRM</v>
          </cell>
          <cell r="J359" t="str">
            <v>Denpasar</v>
          </cell>
          <cell r="K359" t="str">
            <v>Bali Nusra</v>
          </cell>
          <cell r="L359" t="str">
            <v xml:space="preserve">MON-SUN </v>
          </cell>
          <cell r="M359" t="str">
            <v>(00:00 - 23:59)</v>
          </cell>
          <cell r="N359">
            <v>0</v>
          </cell>
          <cell r="O359">
            <v>0</v>
          </cell>
          <cell r="P359">
            <v>0</v>
          </cell>
          <cell r="Q359">
            <v>1440</v>
          </cell>
        </row>
        <row r="360">
          <cell r="B360" t="str">
            <v>Z4XT</v>
          </cell>
          <cell r="C360" t="str">
            <v>Muhammad Hidayatullah</v>
          </cell>
          <cell r="D360" t="str">
            <v>Lombok Timur</v>
          </cell>
          <cell r="E360" t="str">
            <v>ADVANTAGE CAKRANEGARA</v>
          </cell>
          <cell r="F360">
            <v>1</v>
          </cell>
          <cell r="G360" t="str">
            <v>04-Denpasar</v>
          </cell>
          <cell r="H360" t="str">
            <v>B</v>
          </cell>
          <cell r="I360" t="str">
            <v>CRM</v>
          </cell>
          <cell r="J360" t="str">
            <v>Lombok Timur</v>
          </cell>
          <cell r="K360" t="str">
            <v>Bali Nusra</v>
          </cell>
          <cell r="L360" t="str">
            <v xml:space="preserve">MON-SUN </v>
          </cell>
          <cell r="M360" t="str">
            <v>(00:00 - 23:59)</v>
          </cell>
          <cell r="N360">
            <v>1</v>
          </cell>
          <cell r="O360">
            <v>5</v>
          </cell>
          <cell r="P360">
            <v>0.35</v>
          </cell>
          <cell r="Q360">
            <v>1440</v>
          </cell>
        </row>
        <row r="361">
          <cell r="B361" t="str">
            <v>Z5R5</v>
          </cell>
          <cell r="C361" t="str">
            <v>Arif Rahman Hakim</v>
          </cell>
          <cell r="D361" t="str">
            <v>Pecatu</v>
          </cell>
          <cell r="E361" t="str">
            <v>ABACUS BALI</v>
          </cell>
          <cell r="F361">
            <v>1</v>
          </cell>
          <cell r="G361" t="str">
            <v>04-Denpasar</v>
          </cell>
          <cell r="H361" t="str">
            <v>B</v>
          </cell>
          <cell r="I361" t="str">
            <v>CRM</v>
          </cell>
          <cell r="J361" t="str">
            <v>Denpasar</v>
          </cell>
          <cell r="K361" t="str">
            <v>Bali Nusra</v>
          </cell>
          <cell r="L361" t="str">
            <v xml:space="preserve">MON-SUN </v>
          </cell>
          <cell r="M361" t="str">
            <v>(00:00 - 23:59)</v>
          </cell>
          <cell r="N361">
            <v>0</v>
          </cell>
          <cell r="O361">
            <v>0</v>
          </cell>
          <cell r="P361">
            <v>0</v>
          </cell>
          <cell r="Q361">
            <v>1440</v>
          </cell>
        </row>
        <row r="362">
          <cell r="B362" t="str">
            <v>Z5R6</v>
          </cell>
          <cell r="C362" t="str">
            <v>Arif Rahman Hakim</v>
          </cell>
          <cell r="D362" t="str">
            <v>Pecatu</v>
          </cell>
          <cell r="E362" t="str">
            <v>ABACUS BALI</v>
          </cell>
          <cell r="F362">
            <v>1</v>
          </cell>
          <cell r="G362" t="str">
            <v>04-Denpasar</v>
          </cell>
          <cell r="H362" t="str">
            <v>B</v>
          </cell>
          <cell r="I362" t="str">
            <v>CRM</v>
          </cell>
          <cell r="J362" t="str">
            <v>Denpasar</v>
          </cell>
          <cell r="K362" t="str">
            <v>Bali Nusra</v>
          </cell>
          <cell r="L362" t="str">
            <v xml:space="preserve">MON-SUN </v>
          </cell>
          <cell r="M362" t="str">
            <v>(00:00 - 23:59)</v>
          </cell>
          <cell r="N362">
            <v>0</v>
          </cell>
          <cell r="O362">
            <v>0</v>
          </cell>
          <cell r="P362">
            <v>0</v>
          </cell>
          <cell r="Q362">
            <v>1440</v>
          </cell>
        </row>
        <row r="363">
          <cell r="B363" t="str">
            <v>Z5R7</v>
          </cell>
          <cell r="C363" t="str">
            <v>Arif Rahman Hakim</v>
          </cell>
          <cell r="D363" t="str">
            <v>Pecatu</v>
          </cell>
          <cell r="E363" t="str">
            <v>ABACUS BALI</v>
          </cell>
          <cell r="F363">
            <v>1</v>
          </cell>
          <cell r="G363" t="str">
            <v>04-Denpasar</v>
          </cell>
          <cell r="H363" t="str">
            <v>B</v>
          </cell>
          <cell r="I363" t="str">
            <v>CRM</v>
          </cell>
          <cell r="J363" t="str">
            <v>Denpasar</v>
          </cell>
          <cell r="K363" t="str">
            <v>Bali Nusra</v>
          </cell>
          <cell r="L363" t="str">
            <v xml:space="preserve">MON-SUN </v>
          </cell>
          <cell r="M363" t="str">
            <v>(00:00 - 23:59)</v>
          </cell>
          <cell r="N363">
            <v>0</v>
          </cell>
          <cell r="O363">
            <v>0</v>
          </cell>
          <cell r="P363">
            <v>0</v>
          </cell>
          <cell r="Q363">
            <v>1440</v>
          </cell>
        </row>
        <row r="364">
          <cell r="B364" t="str">
            <v>Z7RH</v>
          </cell>
          <cell r="C364" t="str">
            <v>Adi Irawan</v>
          </cell>
          <cell r="D364" t="str">
            <v>Cakranegara</v>
          </cell>
          <cell r="E364" t="str">
            <v>ADVANTAGE CAKRANEGARA</v>
          </cell>
          <cell r="F364">
            <v>1</v>
          </cell>
          <cell r="G364" t="str">
            <v>04-Denpasar</v>
          </cell>
          <cell r="H364" t="str">
            <v>B</v>
          </cell>
          <cell r="I364" t="str">
            <v>CRM</v>
          </cell>
          <cell r="J364" t="str">
            <v>Mataram</v>
          </cell>
          <cell r="K364" t="str">
            <v>Bali Nusra</v>
          </cell>
          <cell r="L364" t="str">
            <v xml:space="preserve">MON-SUN </v>
          </cell>
          <cell r="M364" t="str">
            <v>(00:00 - 23:59)</v>
          </cell>
          <cell r="N364">
            <v>0</v>
          </cell>
          <cell r="O364">
            <v>0</v>
          </cell>
          <cell r="P364">
            <v>0</v>
          </cell>
          <cell r="Q364">
            <v>1440</v>
          </cell>
        </row>
        <row r="365">
          <cell r="B365" t="str">
            <v>Z7RJ</v>
          </cell>
          <cell r="C365" t="str">
            <v>Adi Irawan</v>
          </cell>
          <cell r="D365" t="str">
            <v>Cakranegara</v>
          </cell>
          <cell r="E365" t="str">
            <v>ADVANTAGE CAKRANEGARA</v>
          </cell>
          <cell r="F365">
            <v>1</v>
          </cell>
          <cell r="G365" t="str">
            <v>04-Denpasar</v>
          </cell>
          <cell r="H365" t="str">
            <v>B</v>
          </cell>
          <cell r="I365" t="str">
            <v>CRM</v>
          </cell>
          <cell r="J365" t="str">
            <v>Mataram</v>
          </cell>
          <cell r="K365" t="str">
            <v>Bali Nusra</v>
          </cell>
          <cell r="L365" t="str">
            <v xml:space="preserve">MON-SUN </v>
          </cell>
          <cell r="M365" t="str">
            <v>(00:00 - 23:59)</v>
          </cell>
          <cell r="N365">
            <v>0</v>
          </cell>
          <cell r="O365">
            <v>0</v>
          </cell>
          <cell r="P365">
            <v>0</v>
          </cell>
          <cell r="Q365">
            <v>1440</v>
          </cell>
        </row>
        <row r="366">
          <cell r="B366" t="str">
            <v>Z7TR</v>
          </cell>
          <cell r="C366" t="str">
            <v>Muhammad Gufron Sofyan</v>
          </cell>
          <cell r="D366" t="str">
            <v>Negara</v>
          </cell>
          <cell r="E366" t="str">
            <v>ABACUS BALI</v>
          </cell>
          <cell r="F366">
            <v>1</v>
          </cell>
          <cell r="G366" t="str">
            <v>04-Denpasar</v>
          </cell>
          <cell r="H366" t="str">
            <v>B</v>
          </cell>
          <cell r="I366" t="str">
            <v>CRM</v>
          </cell>
          <cell r="J366" t="str">
            <v>Negara</v>
          </cell>
          <cell r="K366" t="str">
            <v>Bali Nusra</v>
          </cell>
          <cell r="L366" t="str">
            <v xml:space="preserve">MON-SUN </v>
          </cell>
          <cell r="M366" t="str">
            <v>(00:00 - 23:59)</v>
          </cell>
          <cell r="N366">
            <v>0</v>
          </cell>
          <cell r="O366">
            <v>0</v>
          </cell>
          <cell r="P366">
            <v>0</v>
          </cell>
          <cell r="Q366">
            <v>1440</v>
          </cell>
        </row>
        <row r="367">
          <cell r="B367" t="str">
            <v>Z7Z6</v>
          </cell>
          <cell r="C367" t="str">
            <v>Muhammad Gufron Sofyan</v>
          </cell>
          <cell r="D367" t="str">
            <v>ATM Center Penyaringan</v>
          </cell>
          <cell r="E367" t="str">
            <v>ABACUS BALI</v>
          </cell>
          <cell r="F367">
            <v>1</v>
          </cell>
          <cell r="G367" t="str">
            <v>04-Denpasar</v>
          </cell>
          <cell r="H367" t="str">
            <v>B</v>
          </cell>
          <cell r="I367" t="str">
            <v>CRM</v>
          </cell>
          <cell r="J367" t="str">
            <v>Negara</v>
          </cell>
          <cell r="K367" t="str">
            <v>Bali Nusra</v>
          </cell>
          <cell r="L367" t="str">
            <v xml:space="preserve">MON-SUN </v>
          </cell>
          <cell r="M367" t="str">
            <v>(00:00 - 23:59)</v>
          </cell>
          <cell r="N367">
            <v>0</v>
          </cell>
          <cell r="O367">
            <v>0</v>
          </cell>
          <cell r="P367">
            <v>0</v>
          </cell>
          <cell r="Q367">
            <v>1440</v>
          </cell>
        </row>
        <row r="368">
          <cell r="B368" t="str">
            <v>Z832</v>
          </cell>
          <cell r="C368" t="str">
            <v>Revaldi Resha Wardhana</v>
          </cell>
          <cell r="D368" t="str">
            <v>Gatot Subroto Dps</v>
          </cell>
          <cell r="E368" t="str">
            <v>ABACUS BALI</v>
          </cell>
          <cell r="F368">
            <v>1</v>
          </cell>
          <cell r="G368" t="str">
            <v>04-Denpasar</v>
          </cell>
          <cell r="H368" t="str">
            <v>B</v>
          </cell>
          <cell r="I368" t="str">
            <v>CRM</v>
          </cell>
          <cell r="J368" t="str">
            <v>Denpasar</v>
          </cell>
          <cell r="K368" t="str">
            <v>Bali Nusra</v>
          </cell>
          <cell r="L368" t="str">
            <v xml:space="preserve">MON-SUN </v>
          </cell>
          <cell r="M368" t="str">
            <v>(00:00 - 23:59)</v>
          </cell>
          <cell r="N368">
            <v>0</v>
          </cell>
          <cell r="O368">
            <v>0</v>
          </cell>
          <cell r="P368">
            <v>0</v>
          </cell>
          <cell r="Q368">
            <v>1440</v>
          </cell>
        </row>
        <row r="369">
          <cell r="B369" t="str">
            <v>Z833</v>
          </cell>
          <cell r="C369" t="str">
            <v>Revaldi Resha Wardhana</v>
          </cell>
          <cell r="D369" t="str">
            <v>Gatot Subroto Dps</v>
          </cell>
          <cell r="E369" t="str">
            <v>ABACUS BALI</v>
          </cell>
          <cell r="F369">
            <v>1</v>
          </cell>
          <cell r="G369" t="str">
            <v>04-Denpasar</v>
          </cell>
          <cell r="H369" t="str">
            <v>B</v>
          </cell>
          <cell r="I369" t="str">
            <v>CRM</v>
          </cell>
          <cell r="J369" t="str">
            <v>Denpasar</v>
          </cell>
          <cell r="K369" t="str">
            <v>Bali Nusra</v>
          </cell>
          <cell r="L369" t="str">
            <v xml:space="preserve">MON-SUN </v>
          </cell>
          <cell r="M369" t="str">
            <v>(00:00 - 23:59)</v>
          </cell>
          <cell r="N369">
            <v>0</v>
          </cell>
          <cell r="O369">
            <v>0</v>
          </cell>
          <cell r="P369">
            <v>0</v>
          </cell>
          <cell r="Q369">
            <v>1440</v>
          </cell>
        </row>
        <row r="370">
          <cell r="B370" t="str">
            <v>Z836</v>
          </cell>
          <cell r="C370" t="str">
            <v>Farozan Ali Fahmi</v>
          </cell>
          <cell r="D370" t="str">
            <v>Klungkung</v>
          </cell>
          <cell r="E370" t="str">
            <v>ABACUS BALI</v>
          </cell>
          <cell r="F370">
            <v>2</v>
          </cell>
          <cell r="G370" t="str">
            <v>04-Denpasar</v>
          </cell>
          <cell r="H370" t="str">
            <v>B</v>
          </cell>
          <cell r="I370" t="str">
            <v>CRM</v>
          </cell>
          <cell r="J370" t="str">
            <v>Denpasar</v>
          </cell>
          <cell r="K370" t="str">
            <v>Bali Nusra</v>
          </cell>
          <cell r="L370" t="str">
            <v xml:space="preserve">MON-SUN </v>
          </cell>
          <cell r="M370" t="str">
            <v>(00:00 - 23:59)</v>
          </cell>
          <cell r="N370">
            <v>0</v>
          </cell>
          <cell r="O370">
            <v>0</v>
          </cell>
          <cell r="P370">
            <v>0</v>
          </cell>
          <cell r="Q370">
            <v>1440</v>
          </cell>
        </row>
        <row r="371">
          <cell r="B371" t="str">
            <v>Z837</v>
          </cell>
          <cell r="C371" t="str">
            <v>Farozan Ali Fahmi</v>
          </cell>
          <cell r="D371" t="str">
            <v>Klungkung</v>
          </cell>
          <cell r="E371" t="str">
            <v>ABACUS BALI</v>
          </cell>
          <cell r="F371">
            <v>2</v>
          </cell>
          <cell r="G371" t="str">
            <v>04-Denpasar</v>
          </cell>
          <cell r="H371" t="str">
            <v>B</v>
          </cell>
          <cell r="I371" t="str">
            <v>CRM</v>
          </cell>
          <cell r="J371" t="str">
            <v>Denpasar</v>
          </cell>
          <cell r="K371" t="str">
            <v>Bali Nusra</v>
          </cell>
          <cell r="L371" t="str">
            <v xml:space="preserve">MON-SUN </v>
          </cell>
          <cell r="M371" t="str">
            <v>(00:00 - 23:59)</v>
          </cell>
          <cell r="N371">
            <v>0</v>
          </cell>
          <cell r="O371">
            <v>0</v>
          </cell>
          <cell r="P371">
            <v>0</v>
          </cell>
          <cell r="Q371">
            <v>1440</v>
          </cell>
        </row>
        <row r="372">
          <cell r="B372" t="str">
            <v>Z840</v>
          </cell>
          <cell r="C372" t="str">
            <v>Suhel Risdianto</v>
          </cell>
          <cell r="D372" t="str">
            <v>Maluku</v>
          </cell>
          <cell r="E372" t="str">
            <v>ANDALAN BALI</v>
          </cell>
          <cell r="F372">
            <v>1</v>
          </cell>
          <cell r="G372" t="str">
            <v>04-Denpasar</v>
          </cell>
          <cell r="H372" t="str">
            <v>B</v>
          </cell>
          <cell r="I372" t="str">
            <v>CRM</v>
          </cell>
          <cell r="J372" t="str">
            <v>Denpasar</v>
          </cell>
          <cell r="K372" t="str">
            <v>Bali Nusra</v>
          </cell>
          <cell r="L372" t="str">
            <v xml:space="preserve">MON-SUN </v>
          </cell>
          <cell r="M372" t="str">
            <v>(00:00 - 23:59)</v>
          </cell>
          <cell r="N372">
            <v>0</v>
          </cell>
          <cell r="O372">
            <v>0</v>
          </cell>
          <cell r="P372">
            <v>0</v>
          </cell>
          <cell r="Q372">
            <v>1440</v>
          </cell>
        </row>
        <row r="373">
          <cell r="B373" t="str">
            <v>Z841</v>
          </cell>
          <cell r="C373" t="str">
            <v>Suhel Risdianto</v>
          </cell>
          <cell r="D373" t="str">
            <v>Maluku</v>
          </cell>
          <cell r="E373" t="str">
            <v>ANDALAN BALI</v>
          </cell>
          <cell r="F373">
            <v>1</v>
          </cell>
          <cell r="G373" t="str">
            <v>04-Denpasar</v>
          </cell>
          <cell r="H373" t="str">
            <v>B</v>
          </cell>
          <cell r="I373" t="str">
            <v>CRM</v>
          </cell>
          <cell r="J373" t="str">
            <v>Denpasar</v>
          </cell>
          <cell r="K373" t="str">
            <v>Bali Nusra</v>
          </cell>
          <cell r="L373" t="str">
            <v xml:space="preserve">MON-SUN </v>
          </cell>
          <cell r="M373" t="str">
            <v>(00:00 - 23:59)</v>
          </cell>
          <cell r="N373">
            <v>0</v>
          </cell>
          <cell r="O373">
            <v>0</v>
          </cell>
          <cell r="P373">
            <v>0</v>
          </cell>
          <cell r="Q373">
            <v>1440</v>
          </cell>
        </row>
        <row r="374">
          <cell r="B374" t="str">
            <v>Z843</v>
          </cell>
          <cell r="C374" t="str">
            <v>Farozan Ali Fahmi</v>
          </cell>
          <cell r="D374" t="str">
            <v>Gianyar</v>
          </cell>
          <cell r="E374" t="str">
            <v>ABACUS BALI</v>
          </cell>
          <cell r="F374">
            <v>2</v>
          </cell>
          <cell r="G374" t="str">
            <v>04-Denpasar</v>
          </cell>
          <cell r="H374" t="str">
            <v>B</v>
          </cell>
          <cell r="I374" t="str">
            <v>CRM</v>
          </cell>
          <cell r="J374" t="str">
            <v>Denpasar</v>
          </cell>
          <cell r="K374" t="str">
            <v>Bali Nusra</v>
          </cell>
          <cell r="L374" t="str">
            <v xml:space="preserve">MON-SUN </v>
          </cell>
          <cell r="M374" t="str">
            <v>(00:00 - 23:59)</v>
          </cell>
          <cell r="N374">
            <v>0</v>
          </cell>
          <cell r="O374">
            <v>0</v>
          </cell>
          <cell r="P374">
            <v>0</v>
          </cell>
          <cell r="Q374">
            <v>1440</v>
          </cell>
        </row>
        <row r="375">
          <cell r="B375" t="str">
            <v>Z844</v>
          </cell>
          <cell r="C375" t="str">
            <v>Farozan Ali Fahmi</v>
          </cell>
          <cell r="D375" t="str">
            <v>Gianyar</v>
          </cell>
          <cell r="E375" t="str">
            <v>ABACUS BALI</v>
          </cell>
          <cell r="F375">
            <v>2</v>
          </cell>
          <cell r="G375" t="str">
            <v>04-Denpasar</v>
          </cell>
          <cell r="H375" t="str">
            <v>B</v>
          </cell>
          <cell r="I375" t="str">
            <v>CRM</v>
          </cell>
          <cell r="J375" t="str">
            <v>Denpasar</v>
          </cell>
          <cell r="K375" t="str">
            <v>Bali Nusra</v>
          </cell>
          <cell r="L375" t="str">
            <v xml:space="preserve">MON-SUN </v>
          </cell>
          <cell r="M375" t="str">
            <v>(00:00 - 23:59)</v>
          </cell>
          <cell r="N375">
            <v>1</v>
          </cell>
          <cell r="O375">
            <v>25</v>
          </cell>
          <cell r="P375">
            <v>1.74</v>
          </cell>
          <cell r="Q375">
            <v>1440</v>
          </cell>
        </row>
        <row r="376">
          <cell r="B376" t="str">
            <v>Z847</v>
          </cell>
          <cell r="C376" t="str">
            <v>Suhel Risdianto</v>
          </cell>
          <cell r="D376" t="str">
            <v>Benoa</v>
          </cell>
          <cell r="E376" t="str">
            <v>ABACUS BALI</v>
          </cell>
          <cell r="F376">
            <v>1</v>
          </cell>
          <cell r="G376" t="str">
            <v>04-Denpasar</v>
          </cell>
          <cell r="H376" t="str">
            <v>B</v>
          </cell>
          <cell r="I376" t="str">
            <v>CRM</v>
          </cell>
          <cell r="J376" t="str">
            <v>Denpasar</v>
          </cell>
          <cell r="K376" t="str">
            <v>Bali Nusra</v>
          </cell>
          <cell r="L376" t="str">
            <v xml:space="preserve">MON-SUN </v>
          </cell>
          <cell r="M376" t="str">
            <v>(00:00 - 23:59)</v>
          </cell>
          <cell r="N376">
            <v>0</v>
          </cell>
          <cell r="O376">
            <v>0</v>
          </cell>
          <cell r="P376">
            <v>0</v>
          </cell>
          <cell r="Q376">
            <v>1440</v>
          </cell>
        </row>
        <row r="377">
          <cell r="B377" t="str">
            <v>Z848</v>
          </cell>
          <cell r="C377" t="str">
            <v>Suhel Risdianto</v>
          </cell>
          <cell r="D377" t="str">
            <v>Benoa</v>
          </cell>
          <cell r="E377" t="str">
            <v>ABACUS BALI</v>
          </cell>
          <cell r="F377">
            <v>1</v>
          </cell>
          <cell r="G377" t="str">
            <v>04-Denpasar</v>
          </cell>
          <cell r="H377" t="str">
            <v>B</v>
          </cell>
          <cell r="I377" t="str">
            <v>CRM</v>
          </cell>
          <cell r="J377" t="str">
            <v>Denpasar</v>
          </cell>
          <cell r="K377" t="str">
            <v>Bali Nusra</v>
          </cell>
          <cell r="L377" t="str">
            <v xml:space="preserve">MON-SUN </v>
          </cell>
          <cell r="M377" t="str">
            <v>(00:00 - 23:59)</v>
          </cell>
          <cell r="N377">
            <v>1</v>
          </cell>
          <cell r="O377">
            <v>10</v>
          </cell>
          <cell r="P377">
            <v>0.69</v>
          </cell>
          <cell r="Q377">
            <v>1440</v>
          </cell>
        </row>
        <row r="378">
          <cell r="B378" t="str">
            <v>Z849</v>
          </cell>
          <cell r="C378" t="str">
            <v>Suhel Risdianto</v>
          </cell>
          <cell r="D378" t="str">
            <v>Benoa</v>
          </cell>
          <cell r="E378" t="str">
            <v>ABACUS BALI</v>
          </cell>
          <cell r="F378">
            <v>1</v>
          </cell>
          <cell r="G378" t="str">
            <v>04-Denpasar</v>
          </cell>
          <cell r="H378" t="str">
            <v>B</v>
          </cell>
          <cell r="I378" t="str">
            <v>CRM</v>
          </cell>
          <cell r="J378" t="str">
            <v>Denpasar</v>
          </cell>
          <cell r="K378" t="str">
            <v>Bali Nusra</v>
          </cell>
          <cell r="L378" t="str">
            <v xml:space="preserve">MON-SUN </v>
          </cell>
          <cell r="M378" t="str">
            <v>(00:00 - 23:59)</v>
          </cell>
          <cell r="N378">
            <v>0</v>
          </cell>
          <cell r="O378">
            <v>0</v>
          </cell>
          <cell r="P378">
            <v>0</v>
          </cell>
          <cell r="Q378">
            <v>1440</v>
          </cell>
        </row>
        <row r="379">
          <cell r="B379" t="str">
            <v>Z858</v>
          </cell>
          <cell r="C379" t="str">
            <v>I Putu Dendy Pratama</v>
          </cell>
          <cell r="D379" t="str">
            <v>Raya Kuta - Ccr</v>
          </cell>
          <cell r="E379" t="str">
            <v>ABACUS BALI</v>
          </cell>
          <cell r="F379">
            <v>1</v>
          </cell>
          <cell r="G379" t="str">
            <v>04-Denpasar</v>
          </cell>
          <cell r="H379" t="str">
            <v>B</v>
          </cell>
          <cell r="I379" t="str">
            <v>CRM</v>
          </cell>
          <cell r="J379" t="str">
            <v>Denpasar</v>
          </cell>
          <cell r="K379" t="str">
            <v>Bali Nusra</v>
          </cell>
          <cell r="L379" t="str">
            <v xml:space="preserve">MON-SUN </v>
          </cell>
          <cell r="M379" t="str">
            <v>(00:00 - 23:59)</v>
          </cell>
          <cell r="N379">
            <v>0</v>
          </cell>
          <cell r="O379">
            <v>0</v>
          </cell>
          <cell r="P379">
            <v>0</v>
          </cell>
          <cell r="Q379">
            <v>1440</v>
          </cell>
        </row>
        <row r="380">
          <cell r="B380" t="str">
            <v>Z861</v>
          </cell>
          <cell r="C380" t="str">
            <v>I Putu Dendy Pratama</v>
          </cell>
          <cell r="D380" t="str">
            <v>Sunset Boulevard</v>
          </cell>
          <cell r="E380" t="str">
            <v>ABACUS BALI</v>
          </cell>
          <cell r="F380">
            <v>1</v>
          </cell>
          <cell r="G380" t="str">
            <v>04-Denpasar</v>
          </cell>
          <cell r="H380" t="str">
            <v>B</v>
          </cell>
          <cell r="I380" t="str">
            <v>CRM</v>
          </cell>
          <cell r="J380" t="str">
            <v>Denpasar</v>
          </cell>
          <cell r="K380" t="str">
            <v>Bali Nusra</v>
          </cell>
          <cell r="L380" t="str">
            <v xml:space="preserve">MON-SUN </v>
          </cell>
          <cell r="M380" t="str">
            <v>(00:00 - 23:59)</v>
          </cell>
          <cell r="N380">
            <v>0</v>
          </cell>
          <cell r="O380">
            <v>0</v>
          </cell>
          <cell r="P380">
            <v>0</v>
          </cell>
          <cell r="Q380">
            <v>1440</v>
          </cell>
        </row>
        <row r="381">
          <cell r="B381" t="str">
            <v>Z866</v>
          </cell>
          <cell r="C381" t="str">
            <v>Eko Adi Sugiyantoro</v>
          </cell>
          <cell r="D381" t="str">
            <v>KCP Kas Gajah Mada</v>
          </cell>
          <cell r="E381" t="str">
            <v>ABACUS BALI</v>
          </cell>
          <cell r="F381">
            <v>1</v>
          </cell>
          <cell r="G381" t="str">
            <v>04-Denpasar</v>
          </cell>
          <cell r="H381" t="str">
            <v>B</v>
          </cell>
          <cell r="I381" t="str">
            <v>CRM</v>
          </cell>
          <cell r="J381" t="str">
            <v>Denpasar</v>
          </cell>
          <cell r="K381" t="str">
            <v>Bali Nusra</v>
          </cell>
          <cell r="L381" t="str">
            <v xml:space="preserve">MON-SUN </v>
          </cell>
          <cell r="M381" t="str">
            <v>(00:00 - 23:59)</v>
          </cell>
          <cell r="N381">
            <v>0</v>
          </cell>
          <cell r="O381">
            <v>0</v>
          </cell>
          <cell r="P381">
            <v>0</v>
          </cell>
          <cell r="Q381">
            <v>1440</v>
          </cell>
        </row>
        <row r="382">
          <cell r="B382" t="str">
            <v>Z867</v>
          </cell>
          <cell r="C382" t="str">
            <v>Eko Adi Sugiyantoro</v>
          </cell>
          <cell r="D382" t="str">
            <v>KCP Kas Gajah Mada</v>
          </cell>
          <cell r="E382" t="str">
            <v>ABACUS BALI</v>
          </cell>
          <cell r="F382">
            <v>1</v>
          </cell>
          <cell r="G382" t="str">
            <v>04-Denpasar</v>
          </cell>
          <cell r="H382" t="str">
            <v>B</v>
          </cell>
          <cell r="I382" t="str">
            <v>CRM</v>
          </cell>
          <cell r="J382" t="str">
            <v>Denpasar</v>
          </cell>
          <cell r="K382" t="str">
            <v>Bali Nusra</v>
          </cell>
          <cell r="L382" t="str">
            <v xml:space="preserve">MON-SUN </v>
          </cell>
          <cell r="M382" t="str">
            <v>(00:00 - 23:59)</v>
          </cell>
          <cell r="N382">
            <v>0</v>
          </cell>
          <cell r="O382">
            <v>0</v>
          </cell>
          <cell r="P382">
            <v>0</v>
          </cell>
          <cell r="Q382">
            <v>1440</v>
          </cell>
        </row>
        <row r="383">
          <cell r="B383" t="str">
            <v>ZC06</v>
          </cell>
          <cell r="C383" t="str">
            <v>Rio Erdiansyah</v>
          </cell>
          <cell r="D383" t="str">
            <v>Baturiti</v>
          </cell>
          <cell r="E383" t="str">
            <v>ABACUS BALI</v>
          </cell>
          <cell r="F383">
            <v>2</v>
          </cell>
          <cell r="G383" t="str">
            <v>04-Denpasar</v>
          </cell>
          <cell r="H383" t="str">
            <v>B</v>
          </cell>
          <cell r="I383" t="str">
            <v>CRM</v>
          </cell>
          <cell r="J383" t="str">
            <v>Singaraja</v>
          </cell>
          <cell r="K383" t="str">
            <v>Bali Nusra</v>
          </cell>
          <cell r="L383" t="str">
            <v xml:space="preserve">MON-SUN </v>
          </cell>
          <cell r="M383" t="str">
            <v>(00:00 - 23:59)</v>
          </cell>
          <cell r="N383">
            <v>0</v>
          </cell>
          <cell r="O383">
            <v>0</v>
          </cell>
          <cell r="P383">
            <v>0</v>
          </cell>
          <cell r="Q383">
            <v>1440</v>
          </cell>
        </row>
        <row r="384">
          <cell r="B384" t="str">
            <v>ZC07</v>
          </cell>
          <cell r="C384" t="str">
            <v>Rio Erdiansyah</v>
          </cell>
          <cell r="D384" t="str">
            <v>Baturiti</v>
          </cell>
          <cell r="E384" t="str">
            <v>ABACUS BALI</v>
          </cell>
          <cell r="F384">
            <v>2</v>
          </cell>
          <cell r="G384" t="str">
            <v>04-Denpasar</v>
          </cell>
          <cell r="H384" t="str">
            <v>B</v>
          </cell>
          <cell r="I384" t="str">
            <v>CRM</v>
          </cell>
          <cell r="J384" t="str">
            <v>Singaraja</v>
          </cell>
          <cell r="K384" t="str">
            <v>Bali Nusra</v>
          </cell>
          <cell r="L384" t="str">
            <v xml:space="preserve">MON-SUN </v>
          </cell>
          <cell r="M384" t="str">
            <v>(00:00 - 23:59)</v>
          </cell>
          <cell r="N384">
            <v>0</v>
          </cell>
          <cell r="O384">
            <v>0</v>
          </cell>
          <cell r="P384">
            <v>0</v>
          </cell>
          <cell r="Q384">
            <v>1440</v>
          </cell>
        </row>
        <row r="385">
          <cell r="B385" t="str">
            <v>ZCD2</v>
          </cell>
          <cell r="C385" t="str">
            <v>Rio Erdiansyah</v>
          </cell>
          <cell r="D385" t="str">
            <v>IDM Banyuasri</v>
          </cell>
          <cell r="E385" t="str">
            <v>ABACUS BALI</v>
          </cell>
          <cell r="F385">
            <v>1</v>
          </cell>
          <cell r="G385" t="str">
            <v>04-Denpasar</v>
          </cell>
          <cell r="H385" t="str">
            <v>B</v>
          </cell>
          <cell r="I385" t="str">
            <v>CRM</v>
          </cell>
          <cell r="J385" t="str">
            <v>Singaraja</v>
          </cell>
          <cell r="K385" t="str">
            <v>Bali Nusra</v>
          </cell>
          <cell r="L385" t="str">
            <v xml:space="preserve">MON-SUN </v>
          </cell>
          <cell r="M385" t="str">
            <v>(00:00 - 23:59)</v>
          </cell>
          <cell r="N385">
            <v>0</v>
          </cell>
          <cell r="O385">
            <v>0</v>
          </cell>
          <cell r="P385">
            <v>0</v>
          </cell>
          <cell r="Q385">
            <v>1440</v>
          </cell>
        </row>
        <row r="386">
          <cell r="B386" t="str">
            <v>ZDX5</v>
          </cell>
          <cell r="C386" t="str">
            <v>Eko Adi Sugiyantoro</v>
          </cell>
          <cell r="D386" t="str">
            <v>Alfa Imam Bonjol Tabanan</v>
          </cell>
          <cell r="E386" t="str">
            <v>ABACUS BALI</v>
          </cell>
          <cell r="F386">
            <v>1</v>
          </cell>
          <cell r="G386" t="str">
            <v>04-Denpasar</v>
          </cell>
          <cell r="H386" t="str">
            <v>B</v>
          </cell>
          <cell r="I386" t="str">
            <v>CRM</v>
          </cell>
          <cell r="J386" t="str">
            <v>Denpasar</v>
          </cell>
          <cell r="K386" t="str">
            <v>Bali Nusra</v>
          </cell>
          <cell r="L386" t="str">
            <v xml:space="preserve">MON-SUN </v>
          </cell>
          <cell r="M386" t="str">
            <v>(00:00 - 23:59)</v>
          </cell>
          <cell r="N386">
            <v>2</v>
          </cell>
          <cell r="O386">
            <v>84</v>
          </cell>
          <cell r="P386">
            <v>5.83</v>
          </cell>
          <cell r="Q386">
            <v>1440</v>
          </cell>
        </row>
        <row r="387">
          <cell r="B387" t="str">
            <v>ZDZ5</v>
          </cell>
          <cell r="C387" t="str">
            <v>Farozan Ali Fahmi</v>
          </cell>
          <cell r="D387" t="str">
            <v>Alfa Toko Nesh</v>
          </cell>
          <cell r="E387" t="str">
            <v>ABACUS BALI</v>
          </cell>
          <cell r="F387">
            <v>2</v>
          </cell>
          <cell r="G387" t="str">
            <v>04-Denpasar</v>
          </cell>
          <cell r="H387" t="str">
            <v>B</v>
          </cell>
          <cell r="I387" t="str">
            <v>CRM</v>
          </cell>
          <cell r="J387" t="str">
            <v>Denpasar</v>
          </cell>
          <cell r="K387" t="str">
            <v>Bali Nusra</v>
          </cell>
          <cell r="L387" t="str">
            <v xml:space="preserve">MON-SUN </v>
          </cell>
          <cell r="M387" t="str">
            <v>(06:00 - 22:00)</v>
          </cell>
          <cell r="N387">
            <v>0</v>
          </cell>
          <cell r="O387">
            <v>0</v>
          </cell>
          <cell r="P387">
            <v>0</v>
          </cell>
          <cell r="Q387">
            <v>960</v>
          </cell>
        </row>
        <row r="388">
          <cell r="B388" t="str">
            <v>ZKL9</v>
          </cell>
          <cell r="C388" t="str">
            <v>Eko Adi Sugiyantoro</v>
          </cell>
          <cell r="D388" t="str">
            <v>KCP Kas Dalung</v>
          </cell>
          <cell r="E388" t="str">
            <v>ABACUS BALI</v>
          </cell>
          <cell r="F388">
            <v>1</v>
          </cell>
          <cell r="G388" t="str">
            <v>04-Denpasar</v>
          </cell>
          <cell r="H388" t="str">
            <v>B</v>
          </cell>
          <cell r="I388" t="str">
            <v>CRM</v>
          </cell>
          <cell r="J388" t="str">
            <v>Denpasar</v>
          </cell>
          <cell r="K388" t="str">
            <v>Bali Nusra</v>
          </cell>
          <cell r="L388" t="str">
            <v xml:space="preserve">MON-SUN </v>
          </cell>
          <cell r="M388" t="str">
            <v>(00:00 - 23:59)</v>
          </cell>
          <cell r="N388">
            <v>0</v>
          </cell>
          <cell r="O388">
            <v>0</v>
          </cell>
          <cell r="P388">
            <v>0</v>
          </cell>
          <cell r="Q388">
            <v>1440</v>
          </cell>
        </row>
        <row r="389">
          <cell r="B389" t="str">
            <v>ZKP9</v>
          </cell>
          <cell r="C389" t="str">
            <v>Yunarius Raynold Gege</v>
          </cell>
          <cell r="D389" t="str">
            <v>IDM H.R.Koroh</v>
          </cell>
          <cell r="E389" t="str">
            <v>ADVANTAGE KUPANG</v>
          </cell>
          <cell r="F389">
            <v>1</v>
          </cell>
          <cell r="G389" t="str">
            <v>04-Denpasar</v>
          </cell>
          <cell r="H389" t="str">
            <v>B</v>
          </cell>
          <cell r="I389" t="str">
            <v>CRM</v>
          </cell>
          <cell r="J389" t="str">
            <v>Kupang</v>
          </cell>
          <cell r="K389" t="str">
            <v>Bali Nusra</v>
          </cell>
          <cell r="L389" t="str">
            <v xml:space="preserve">MON-SUN </v>
          </cell>
          <cell r="M389" t="str">
            <v>(00:00 - 23:59)</v>
          </cell>
          <cell r="N389">
            <v>0</v>
          </cell>
          <cell r="O389">
            <v>0</v>
          </cell>
          <cell r="P389">
            <v>0</v>
          </cell>
          <cell r="Q389">
            <v>1440</v>
          </cell>
        </row>
        <row r="390">
          <cell r="B390" t="str">
            <v>ZLN2</v>
          </cell>
          <cell r="C390" t="str">
            <v>Alparizi</v>
          </cell>
          <cell r="D390" t="str">
            <v>Alfa Mantang</v>
          </cell>
          <cell r="E390" t="str">
            <v>ADVANTAGE CAKRANEGARA</v>
          </cell>
          <cell r="F390">
            <v>1</v>
          </cell>
          <cell r="G390" t="str">
            <v>04-Denpasar</v>
          </cell>
          <cell r="H390" t="str">
            <v>B</v>
          </cell>
          <cell r="I390" t="str">
            <v>CRM</v>
          </cell>
          <cell r="J390" t="str">
            <v>Mataram</v>
          </cell>
          <cell r="K390" t="str">
            <v>Bali Nusra</v>
          </cell>
          <cell r="L390" t="str">
            <v xml:space="preserve">MON-SUN </v>
          </cell>
          <cell r="M390" t="str">
            <v>(00:00 - 23:59)</v>
          </cell>
          <cell r="N390">
            <v>0</v>
          </cell>
          <cell r="O390">
            <v>0</v>
          </cell>
          <cell r="P390">
            <v>0</v>
          </cell>
          <cell r="Q390">
            <v>1440</v>
          </cell>
        </row>
        <row r="391">
          <cell r="B391" t="str">
            <v>ZLQ2</v>
          </cell>
          <cell r="C391" t="str">
            <v>Yunarius Raynold Gege</v>
          </cell>
          <cell r="D391" t="str">
            <v>Alfa Raya Atambua Belu</v>
          </cell>
          <cell r="E391" t="str">
            <v>KUPANG</v>
          </cell>
          <cell r="F391">
            <v>4</v>
          </cell>
          <cell r="G391" t="str">
            <v>04-Denpasar</v>
          </cell>
          <cell r="H391" t="str">
            <v>B</v>
          </cell>
          <cell r="I391" t="str">
            <v>CRM</v>
          </cell>
          <cell r="J391" t="str">
            <v>Kupang</v>
          </cell>
          <cell r="K391" t="str">
            <v>Bali Nusra</v>
          </cell>
          <cell r="L391" t="str">
            <v xml:space="preserve">MON-SUN </v>
          </cell>
          <cell r="M391" t="str">
            <v>(00:00 - 23:59)</v>
          </cell>
          <cell r="N391">
            <v>0</v>
          </cell>
          <cell r="O391">
            <v>0</v>
          </cell>
          <cell r="P391">
            <v>0</v>
          </cell>
          <cell r="Q391">
            <v>1440</v>
          </cell>
        </row>
        <row r="392">
          <cell r="B392" t="str">
            <v>ZLR2</v>
          </cell>
          <cell r="C392" t="str">
            <v>Yohanes Yeximus Tritanto</v>
          </cell>
          <cell r="D392" t="str">
            <v>Alfa Thomas Aquinas</v>
          </cell>
          <cell r="E392" t="str">
            <v>KUPANG</v>
          </cell>
          <cell r="F392">
            <v>4</v>
          </cell>
          <cell r="G392" t="str">
            <v>04-Denpasar</v>
          </cell>
          <cell r="H392" t="str">
            <v>B</v>
          </cell>
          <cell r="I392" t="str">
            <v>CRM</v>
          </cell>
          <cell r="J392" t="str">
            <v>Ende</v>
          </cell>
          <cell r="K392" t="str">
            <v>Bali Nusra</v>
          </cell>
          <cell r="L392" t="str">
            <v xml:space="preserve">MON-SUN </v>
          </cell>
          <cell r="M392" t="str">
            <v>(00:00 - 23:59)</v>
          </cell>
          <cell r="N392">
            <v>0</v>
          </cell>
          <cell r="O392">
            <v>0</v>
          </cell>
          <cell r="P392">
            <v>0</v>
          </cell>
          <cell r="Q392">
            <v>1440</v>
          </cell>
        </row>
        <row r="393">
          <cell r="B393" t="str">
            <v>ZLX2</v>
          </cell>
          <cell r="C393" t="str">
            <v>Adi Irawan</v>
          </cell>
          <cell r="D393" t="str">
            <v>Alfa Mandalika Mataram</v>
          </cell>
          <cell r="E393" t="str">
            <v>ADVANTAGE CAKRANEGARA</v>
          </cell>
          <cell r="F393">
            <v>1</v>
          </cell>
          <cell r="G393" t="str">
            <v>04-Denpasar</v>
          </cell>
          <cell r="H393" t="str">
            <v>B</v>
          </cell>
          <cell r="I393" t="str">
            <v>CRM</v>
          </cell>
          <cell r="J393" t="str">
            <v>Mataram</v>
          </cell>
          <cell r="K393" t="str">
            <v>Bali Nusra</v>
          </cell>
          <cell r="L393" t="str">
            <v xml:space="preserve">MON-SUN </v>
          </cell>
          <cell r="M393" t="str">
            <v>(00:00 - 23:59)</v>
          </cell>
          <cell r="N393">
            <v>0</v>
          </cell>
          <cell r="O393">
            <v>0</v>
          </cell>
          <cell r="P393">
            <v>0</v>
          </cell>
          <cell r="Q393">
            <v>1440</v>
          </cell>
        </row>
        <row r="394">
          <cell r="B394" t="str">
            <v>ZLY2</v>
          </cell>
          <cell r="C394" t="str">
            <v>Adi Irawan</v>
          </cell>
          <cell r="D394" t="str">
            <v>Alfa Batu Ringgit</v>
          </cell>
          <cell r="E394" t="str">
            <v>ADVANTAGE CAKRANEGARA</v>
          </cell>
          <cell r="F394">
            <v>1</v>
          </cell>
          <cell r="G394" t="str">
            <v>04-Denpasar</v>
          </cell>
          <cell r="H394" t="str">
            <v>B</v>
          </cell>
          <cell r="I394" t="str">
            <v>CRM</v>
          </cell>
          <cell r="J394" t="str">
            <v>Mataram</v>
          </cell>
          <cell r="K394" t="str">
            <v>Bali Nusra</v>
          </cell>
          <cell r="L394" t="str">
            <v xml:space="preserve">MON-SUN </v>
          </cell>
          <cell r="M394" t="str">
            <v>(00:00 - 23:59)</v>
          </cell>
          <cell r="N394">
            <v>0</v>
          </cell>
          <cell r="O394">
            <v>0</v>
          </cell>
          <cell r="P394">
            <v>0</v>
          </cell>
          <cell r="Q394">
            <v>1440</v>
          </cell>
        </row>
        <row r="395">
          <cell r="B395" t="str">
            <v>ZQ1R</v>
          </cell>
          <cell r="C395" t="str">
            <v>Adi Irawan</v>
          </cell>
          <cell r="D395" t="str">
            <v>Sweta</v>
          </cell>
          <cell r="E395" t="str">
            <v>ADVANTAGE CAKRANEGARA</v>
          </cell>
          <cell r="F395">
            <v>1</v>
          </cell>
          <cell r="G395" t="str">
            <v>04-Denpasar</v>
          </cell>
          <cell r="H395" t="str">
            <v>B</v>
          </cell>
          <cell r="I395" t="str">
            <v>CRM</v>
          </cell>
          <cell r="J395" t="str">
            <v>Mataram</v>
          </cell>
          <cell r="K395" t="str">
            <v>Bali Nusra</v>
          </cell>
          <cell r="L395" t="str">
            <v xml:space="preserve">MON-SUN </v>
          </cell>
          <cell r="M395" t="str">
            <v>(00:00 - 23:59)</v>
          </cell>
          <cell r="N395">
            <v>1</v>
          </cell>
          <cell r="O395">
            <v>26</v>
          </cell>
          <cell r="P395">
            <v>1.81</v>
          </cell>
          <cell r="Q395">
            <v>1440</v>
          </cell>
        </row>
        <row r="396">
          <cell r="B396" t="str">
            <v>ZQA4</v>
          </cell>
          <cell r="C396" t="str">
            <v>I Putu Dendy Pratama</v>
          </cell>
          <cell r="D396" t="str">
            <v>Bali Padma Hotel</v>
          </cell>
          <cell r="E396" t="str">
            <v>ABACUS BALI</v>
          </cell>
          <cell r="F396">
            <v>1</v>
          </cell>
          <cell r="G396" t="str">
            <v>04-Denpasar</v>
          </cell>
          <cell r="H396" t="str">
            <v>B</v>
          </cell>
          <cell r="I396" t="str">
            <v>CRM</v>
          </cell>
          <cell r="J396" t="str">
            <v>Denpasar</v>
          </cell>
          <cell r="K396" t="str">
            <v>Bali Nusra</v>
          </cell>
          <cell r="L396" t="str">
            <v xml:space="preserve">MON-SUN </v>
          </cell>
          <cell r="M396" t="str">
            <v>(00:00 - 23:59)</v>
          </cell>
          <cell r="N396">
            <v>0</v>
          </cell>
          <cell r="O396">
            <v>0</v>
          </cell>
          <cell r="P396">
            <v>0</v>
          </cell>
          <cell r="Q396">
            <v>1440</v>
          </cell>
        </row>
        <row r="397">
          <cell r="B397" t="str">
            <v>ZQB4</v>
          </cell>
          <cell r="C397" t="str">
            <v>Suhel Risdianto</v>
          </cell>
          <cell r="D397" t="str">
            <v>Padma Resort Ubud</v>
          </cell>
          <cell r="E397" t="str">
            <v>ABACUS BALI</v>
          </cell>
          <cell r="F397">
            <v>2</v>
          </cell>
          <cell r="G397" t="str">
            <v>04-Denpasar</v>
          </cell>
          <cell r="H397" t="str">
            <v>B</v>
          </cell>
          <cell r="I397" t="str">
            <v>CRM</v>
          </cell>
          <cell r="J397" t="str">
            <v>Denpasar</v>
          </cell>
          <cell r="K397" t="str">
            <v>Bali Nusra</v>
          </cell>
          <cell r="L397" t="str">
            <v xml:space="preserve">MON-SUN </v>
          </cell>
          <cell r="M397" t="str">
            <v>(00:00 - 23:59)</v>
          </cell>
          <cell r="N397">
            <v>0</v>
          </cell>
          <cell r="O397">
            <v>0</v>
          </cell>
          <cell r="P397">
            <v>0</v>
          </cell>
          <cell r="Q397">
            <v>1440</v>
          </cell>
        </row>
        <row r="398">
          <cell r="B398" t="str">
            <v>ZQC4</v>
          </cell>
          <cell r="C398" t="str">
            <v>I Putu Dendy Pratama</v>
          </cell>
          <cell r="D398" t="str">
            <v>Toko Kawan</v>
          </cell>
          <cell r="E398" t="str">
            <v>ABACUS BALI</v>
          </cell>
          <cell r="F398">
            <v>1</v>
          </cell>
          <cell r="G398" t="str">
            <v>04-Denpasar</v>
          </cell>
          <cell r="H398" t="str">
            <v>B</v>
          </cell>
          <cell r="I398" t="str">
            <v>CRM</v>
          </cell>
          <cell r="J398" t="str">
            <v>Denpasar</v>
          </cell>
          <cell r="K398" t="str">
            <v>Bali Nusra</v>
          </cell>
          <cell r="L398" t="str">
            <v xml:space="preserve">MON-SUN </v>
          </cell>
          <cell r="M398" t="str">
            <v>(00:00 - 23:59)</v>
          </cell>
          <cell r="N398">
            <v>0</v>
          </cell>
          <cell r="O398">
            <v>0</v>
          </cell>
          <cell r="P398">
            <v>0</v>
          </cell>
          <cell r="Q398">
            <v>1440</v>
          </cell>
        </row>
        <row r="399">
          <cell r="B399" t="str">
            <v>ZQD4</v>
          </cell>
          <cell r="C399" t="str">
            <v>I Putu Dendy Pratama</v>
          </cell>
          <cell r="D399" t="str">
            <v>IDM Toko Shinta FACT</v>
          </cell>
          <cell r="E399" t="str">
            <v>ABACUS BALI</v>
          </cell>
          <cell r="F399">
            <v>1</v>
          </cell>
          <cell r="G399" t="str">
            <v>04-Denpasar</v>
          </cell>
          <cell r="H399" t="str">
            <v>B</v>
          </cell>
          <cell r="I399" t="str">
            <v>CRM</v>
          </cell>
          <cell r="J399" t="str">
            <v>Denpasar</v>
          </cell>
          <cell r="K399" t="str">
            <v>Bali Nusra</v>
          </cell>
          <cell r="L399" t="str">
            <v xml:space="preserve">MON-SUN </v>
          </cell>
          <cell r="M399" t="str">
            <v>(00:00 - 23:59)</v>
          </cell>
          <cell r="N399">
            <v>1</v>
          </cell>
          <cell r="O399">
            <v>147</v>
          </cell>
          <cell r="P399">
            <v>10.210000000000001</v>
          </cell>
          <cell r="Q399">
            <v>1440</v>
          </cell>
        </row>
        <row r="400">
          <cell r="B400" t="str">
            <v>ZQE4</v>
          </cell>
          <cell r="C400" t="str">
            <v>Suhel Risdianto</v>
          </cell>
          <cell r="D400" t="str">
            <v>Bintang Ubud</v>
          </cell>
          <cell r="E400" t="str">
            <v>ABACUS BALI</v>
          </cell>
          <cell r="F400">
            <v>1</v>
          </cell>
          <cell r="G400" t="str">
            <v>04-Denpasar</v>
          </cell>
          <cell r="H400" t="str">
            <v>B</v>
          </cell>
          <cell r="I400" t="str">
            <v>CRM</v>
          </cell>
          <cell r="J400" t="str">
            <v>Denpasar</v>
          </cell>
          <cell r="K400" t="str">
            <v>Bali Nusra</v>
          </cell>
          <cell r="L400" t="str">
            <v xml:space="preserve">MON-SUN </v>
          </cell>
          <cell r="M400" t="str">
            <v>(00:00 - 23:59)</v>
          </cell>
          <cell r="N400">
            <v>2</v>
          </cell>
          <cell r="O400">
            <v>176</v>
          </cell>
          <cell r="P400">
            <v>12.22</v>
          </cell>
          <cell r="Q400">
            <v>1440</v>
          </cell>
        </row>
        <row r="401">
          <cell r="B401" t="str">
            <v>ZQF4</v>
          </cell>
          <cell r="C401" t="str">
            <v>Eko Adi Sugiyantoro</v>
          </cell>
          <cell r="D401" t="str">
            <v>CK 114 Canggu</v>
          </cell>
          <cell r="E401" t="str">
            <v>ABACUS BALI</v>
          </cell>
          <cell r="F401">
            <v>1</v>
          </cell>
          <cell r="G401" t="str">
            <v>04-Denpasar</v>
          </cell>
          <cell r="H401" t="str">
            <v>B</v>
          </cell>
          <cell r="I401" t="str">
            <v>CRM</v>
          </cell>
          <cell r="J401" t="str">
            <v>Denpasar</v>
          </cell>
          <cell r="K401" t="str">
            <v>Bali Nusra</v>
          </cell>
          <cell r="L401" t="str">
            <v xml:space="preserve">MON-SUN </v>
          </cell>
          <cell r="M401" t="str">
            <v>(00:00 - 23:59)</v>
          </cell>
          <cell r="N401">
            <v>0</v>
          </cell>
          <cell r="O401">
            <v>0</v>
          </cell>
          <cell r="P401">
            <v>0</v>
          </cell>
          <cell r="Q401">
            <v>1440</v>
          </cell>
        </row>
        <row r="402">
          <cell r="B402" t="str">
            <v>ZQH4</v>
          </cell>
          <cell r="C402" t="str">
            <v>Leonardo A Ruly</v>
          </cell>
          <cell r="D402" t="str">
            <v>Moderent Elektronik</v>
          </cell>
          <cell r="E402" t="str">
            <v>ADVANTAGE KUPANG</v>
          </cell>
          <cell r="F402">
            <v>1</v>
          </cell>
          <cell r="G402" t="str">
            <v>04-Denpasar</v>
          </cell>
          <cell r="H402" t="str">
            <v>B</v>
          </cell>
          <cell r="I402" t="str">
            <v>CRM</v>
          </cell>
          <cell r="J402" t="str">
            <v>Kupang</v>
          </cell>
          <cell r="K402" t="str">
            <v>Bali Nusra</v>
          </cell>
          <cell r="L402" t="str">
            <v xml:space="preserve">MON-SUN </v>
          </cell>
          <cell r="M402" t="str">
            <v>(00:00 - 23:59)</v>
          </cell>
          <cell r="N402">
            <v>1</v>
          </cell>
          <cell r="O402">
            <v>26</v>
          </cell>
          <cell r="P402">
            <v>1.81</v>
          </cell>
          <cell r="Q402">
            <v>1440</v>
          </cell>
        </row>
        <row r="403">
          <cell r="B403" t="str">
            <v>ZQJ4</v>
          </cell>
          <cell r="C403" t="str">
            <v>Rio Erdiansyah</v>
          </cell>
          <cell r="D403" t="str">
            <v>Mini Market Cahaya Baru</v>
          </cell>
          <cell r="E403" t="str">
            <v>ABACUS BALI</v>
          </cell>
          <cell r="F403">
            <v>1</v>
          </cell>
          <cell r="G403" t="str">
            <v>04-Denpasar</v>
          </cell>
          <cell r="H403" t="str">
            <v>B</v>
          </cell>
          <cell r="I403" t="str">
            <v>CRM</v>
          </cell>
          <cell r="J403" t="str">
            <v>Singaraja</v>
          </cell>
          <cell r="K403" t="str">
            <v>Bali Nusra</v>
          </cell>
          <cell r="L403" t="str">
            <v xml:space="preserve">MON-SUN </v>
          </cell>
          <cell r="M403" t="str">
            <v>(08:00 - 21:00)</v>
          </cell>
          <cell r="N403">
            <v>0</v>
          </cell>
          <cell r="O403">
            <v>0</v>
          </cell>
          <cell r="P403">
            <v>0</v>
          </cell>
          <cell r="Q403">
            <v>780</v>
          </cell>
        </row>
        <row r="404">
          <cell r="B404" t="str">
            <v>ZQP3</v>
          </cell>
          <cell r="C404" t="str">
            <v>Arif Rahman Hakim</v>
          </cell>
          <cell r="D404" t="str">
            <v>Wana Mart Uluwatu</v>
          </cell>
          <cell r="E404" t="str">
            <v>ABACUS BALI</v>
          </cell>
          <cell r="F404">
            <v>1</v>
          </cell>
          <cell r="G404" t="str">
            <v>04-Denpasar</v>
          </cell>
          <cell r="H404" t="str">
            <v>B</v>
          </cell>
          <cell r="I404" t="str">
            <v>CRM</v>
          </cell>
          <cell r="J404" t="str">
            <v>Denpasar</v>
          </cell>
          <cell r="K404" t="str">
            <v>Bali Nusra</v>
          </cell>
          <cell r="L404" t="str">
            <v xml:space="preserve">MON-SUN </v>
          </cell>
          <cell r="M404" t="str">
            <v>(00:00 - 23:59)</v>
          </cell>
          <cell r="N404">
            <v>0</v>
          </cell>
          <cell r="O404">
            <v>0</v>
          </cell>
          <cell r="P404">
            <v>0</v>
          </cell>
          <cell r="Q404">
            <v>1440</v>
          </cell>
        </row>
        <row r="405">
          <cell r="B405" t="str">
            <v>ZQU2</v>
          </cell>
          <cell r="C405" t="str">
            <v>Lalu Riswan Hadi</v>
          </cell>
          <cell r="D405" t="str">
            <v>Alfa Gerung II</v>
          </cell>
          <cell r="E405" t="str">
            <v>ADVANTAGE CAKRANEGARA</v>
          </cell>
          <cell r="F405">
            <v>1</v>
          </cell>
          <cell r="G405" t="str">
            <v>04-Denpasar</v>
          </cell>
          <cell r="H405" t="str">
            <v>B</v>
          </cell>
          <cell r="I405" t="str">
            <v>CRM</v>
          </cell>
          <cell r="J405" t="str">
            <v>Mataram</v>
          </cell>
          <cell r="K405" t="str">
            <v>Bali Nusra</v>
          </cell>
          <cell r="L405" t="str">
            <v xml:space="preserve">MON-SUN </v>
          </cell>
          <cell r="M405" t="str">
            <v>(00:00 - 23:59)</v>
          </cell>
          <cell r="N405">
            <v>1</v>
          </cell>
          <cell r="O405">
            <v>63</v>
          </cell>
          <cell r="P405">
            <v>4.38</v>
          </cell>
          <cell r="Q405">
            <v>1440</v>
          </cell>
        </row>
        <row r="406">
          <cell r="B406" t="str">
            <v>ZQV2</v>
          </cell>
          <cell r="C406" t="str">
            <v>Alparizi</v>
          </cell>
          <cell r="D406" t="str">
            <v>Alfa Gunung Sari Lombok</v>
          </cell>
          <cell r="E406" t="str">
            <v>ADVANTAGE CAKRANEGARA</v>
          </cell>
          <cell r="F406">
            <v>1</v>
          </cell>
          <cell r="G406" t="str">
            <v>04-Denpasar</v>
          </cell>
          <cell r="H406" t="str">
            <v>B</v>
          </cell>
          <cell r="I406" t="str">
            <v>CRM</v>
          </cell>
          <cell r="J406" t="str">
            <v>Mataram</v>
          </cell>
          <cell r="K406" t="str">
            <v>Bali Nusra</v>
          </cell>
          <cell r="L406" t="str">
            <v xml:space="preserve">MON-SUN </v>
          </cell>
          <cell r="M406" t="str">
            <v>(00:00 - 23:59)</v>
          </cell>
          <cell r="N406">
            <v>0</v>
          </cell>
          <cell r="O406">
            <v>0</v>
          </cell>
          <cell r="P406">
            <v>0</v>
          </cell>
          <cell r="Q406">
            <v>1440</v>
          </cell>
        </row>
        <row r="407">
          <cell r="B407" t="str">
            <v>ZRA6</v>
          </cell>
          <cell r="C407" t="str">
            <v>Eko Adi Sugiyantoro</v>
          </cell>
          <cell r="D407" t="str">
            <v>IDM Gatot Subroto Bali</v>
          </cell>
          <cell r="E407" t="str">
            <v>ABACUS BALI</v>
          </cell>
          <cell r="F407">
            <v>1</v>
          </cell>
          <cell r="G407" t="str">
            <v>04-Denpasar</v>
          </cell>
          <cell r="H407" t="str">
            <v>B</v>
          </cell>
          <cell r="I407" t="str">
            <v>CRM</v>
          </cell>
          <cell r="J407" t="str">
            <v>Denpasar</v>
          </cell>
          <cell r="K407" t="str">
            <v>Bali Nusra</v>
          </cell>
          <cell r="L407" t="str">
            <v xml:space="preserve">MON-SUN </v>
          </cell>
          <cell r="M407" t="str">
            <v>(00:00 - 23:59)</v>
          </cell>
          <cell r="N407">
            <v>1</v>
          </cell>
          <cell r="O407">
            <v>39</v>
          </cell>
          <cell r="P407">
            <v>2.71</v>
          </cell>
          <cell r="Q407">
            <v>1440</v>
          </cell>
        </row>
        <row r="408">
          <cell r="B408" t="str">
            <v>ZRA7</v>
          </cell>
          <cell r="C408" t="str">
            <v>Suhel Risdianto</v>
          </cell>
          <cell r="D408" t="str">
            <v>Arys Mikro Batanta</v>
          </cell>
          <cell r="E408" t="str">
            <v>ABACUS BALI</v>
          </cell>
          <cell r="F408">
            <v>1</v>
          </cell>
          <cell r="G408" t="str">
            <v>04-Denpasar</v>
          </cell>
          <cell r="H408" t="str">
            <v>B</v>
          </cell>
          <cell r="I408" t="str">
            <v>CRM</v>
          </cell>
          <cell r="J408" t="str">
            <v>Denpasar</v>
          </cell>
          <cell r="K408" t="str">
            <v>Bali Nusra</v>
          </cell>
          <cell r="L408" t="str">
            <v xml:space="preserve">MON-SUN </v>
          </cell>
          <cell r="M408" t="str">
            <v>(00:00 - 23:59)</v>
          </cell>
          <cell r="N408">
            <v>1</v>
          </cell>
          <cell r="O408">
            <v>24</v>
          </cell>
          <cell r="P408">
            <v>1.67</v>
          </cell>
          <cell r="Q408">
            <v>1440</v>
          </cell>
        </row>
        <row r="409">
          <cell r="B409" t="str">
            <v>ZRB6</v>
          </cell>
          <cell r="C409" t="str">
            <v>Eko Adi Sugiyantoro</v>
          </cell>
          <cell r="D409" t="str">
            <v>IDM Tualakilang Tabanan</v>
          </cell>
          <cell r="E409" t="str">
            <v>ABACUS BALI</v>
          </cell>
          <cell r="F409">
            <v>1</v>
          </cell>
          <cell r="G409" t="str">
            <v>04-Denpasar</v>
          </cell>
          <cell r="H409" t="str">
            <v>B</v>
          </cell>
          <cell r="I409" t="str">
            <v>CRM</v>
          </cell>
          <cell r="J409" t="str">
            <v>Denpasar</v>
          </cell>
          <cell r="K409" t="str">
            <v>Bali Nusra</v>
          </cell>
          <cell r="L409" t="str">
            <v xml:space="preserve">MON-SUN </v>
          </cell>
          <cell r="M409" t="str">
            <v>(07:00 - 22:00)</v>
          </cell>
          <cell r="N409">
            <v>0</v>
          </cell>
          <cell r="O409">
            <v>0</v>
          </cell>
          <cell r="P409">
            <v>0</v>
          </cell>
          <cell r="Q409">
            <v>900</v>
          </cell>
        </row>
        <row r="410">
          <cell r="B410" t="str">
            <v>ZRB7</v>
          </cell>
          <cell r="C410" t="str">
            <v>Revaldi Resha Wardhana</v>
          </cell>
          <cell r="D410" t="str">
            <v>Arys Mikro Buana Raya</v>
          </cell>
          <cell r="E410" t="str">
            <v>ABACUS BALI</v>
          </cell>
          <cell r="F410">
            <v>1</v>
          </cell>
          <cell r="G410" t="str">
            <v>04-Denpasar</v>
          </cell>
          <cell r="H410" t="str">
            <v>B</v>
          </cell>
          <cell r="I410" t="str">
            <v>CRM</v>
          </cell>
          <cell r="J410" t="str">
            <v>Denpasar</v>
          </cell>
          <cell r="K410" t="str">
            <v>Bali Nusra</v>
          </cell>
          <cell r="L410" t="str">
            <v xml:space="preserve">MON-SUN </v>
          </cell>
          <cell r="M410" t="str">
            <v>(00:00 - 23:59)</v>
          </cell>
          <cell r="N410">
            <v>0</v>
          </cell>
          <cell r="O410">
            <v>0</v>
          </cell>
          <cell r="P410">
            <v>0</v>
          </cell>
          <cell r="Q410">
            <v>1440</v>
          </cell>
        </row>
        <row r="411">
          <cell r="B411" t="str">
            <v>ZRC7</v>
          </cell>
          <cell r="C411" t="str">
            <v>Suhel Risdianto</v>
          </cell>
          <cell r="D411" t="str">
            <v>Arys Mikro Pulau Galang</v>
          </cell>
          <cell r="E411" t="str">
            <v>ABACUS BALI</v>
          </cell>
          <cell r="F411">
            <v>1</v>
          </cell>
          <cell r="G411" t="str">
            <v>04-Denpasar</v>
          </cell>
          <cell r="H411" t="str">
            <v>B</v>
          </cell>
          <cell r="I411" t="str">
            <v>CRM</v>
          </cell>
          <cell r="J411" t="str">
            <v>Denpasar</v>
          </cell>
          <cell r="K411" t="str">
            <v>Bali Nusra</v>
          </cell>
          <cell r="L411" t="str">
            <v xml:space="preserve">MON-SUN </v>
          </cell>
          <cell r="M411" t="str">
            <v>(00:00 - 23:59)</v>
          </cell>
          <cell r="N411">
            <v>0</v>
          </cell>
          <cell r="O411">
            <v>0</v>
          </cell>
          <cell r="P411">
            <v>0</v>
          </cell>
          <cell r="Q411">
            <v>1440</v>
          </cell>
        </row>
        <row r="412">
          <cell r="B412" t="str">
            <v>ZRD6</v>
          </cell>
          <cell r="C412" t="str">
            <v>Arif Rahman Hakim</v>
          </cell>
          <cell r="D412" t="str">
            <v>Alfa Pratama Celuk</v>
          </cell>
          <cell r="E412" t="str">
            <v>ABACUS BALI</v>
          </cell>
          <cell r="F412">
            <v>1</v>
          </cell>
          <cell r="G412" t="str">
            <v>04-Denpasar</v>
          </cell>
          <cell r="H412" t="str">
            <v>B</v>
          </cell>
          <cell r="I412" t="str">
            <v>CRM</v>
          </cell>
          <cell r="J412" t="str">
            <v>Denpasar</v>
          </cell>
          <cell r="K412" t="str">
            <v>Bali Nusra</v>
          </cell>
          <cell r="L412" t="str">
            <v xml:space="preserve">MON-SUN </v>
          </cell>
          <cell r="M412" t="str">
            <v>(00:00 - 23:59)</v>
          </cell>
          <cell r="N412">
            <v>0</v>
          </cell>
          <cell r="O412">
            <v>0</v>
          </cell>
          <cell r="P412">
            <v>0</v>
          </cell>
          <cell r="Q412">
            <v>1440</v>
          </cell>
        </row>
        <row r="413">
          <cell r="B413" t="str">
            <v>ZRD7</v>
          </cell>
          <cell r="C413" t="str">
            <v>Bambang Yuniarko</v>
          </cell>
          <cell r="D413" t="str">
            <v>Arys Mikro Tukd Pakerisan</v>
          </cell>
          <cell r="E413" t="str">
            <v>ANDALAN BALI</v>
          </cell>
          <cell r="F413">
            <v>1</v>
          </cell>
          <cell r="G413" t="str">
            <v>04-Denpasar</v>
          </cell>
          <cell r="H413" t="str">
            <v>B</v>
          </cell>
          <cell r="I413" t="str">
            <v>CRM</v>
          </cell>
          <cell r="J413" t="str">
            <v>Denpasar</v>
          </cell>
          <cell r="K413" t="str">
            <v>Bali Nusra</v>
          </cell>
          <cell r="L413" t="str">
            <v xml:space="preserve">MON-SUN </v>
          </cell>
          <cell r="M413" t="str">
            <v>(00:00 - 23:59)</v>
          </cell>
          <cell r="N413">
            <v>0</v>
          </cell>
          <cell r="O413">
            <v>0</v>
          </cell>
          <cell r="P413">
            <v>0</v>
          </cell>
          <cell r="Q413">
            <v>1440</v>
          </cell>
        </row>
        <row r="414">
          <cell r="B414" t="str">
            <v>ZRE5</v>
          </cell>
          <cell r="C414" t="str">
            <v>Lalu Riswan Hadi</v>
          </cell>
          <cell r="D414" t="str">
            <v>IDM S Parman Lombok Tgh</v>
          </cell>
          <cell r="E414" t="str">
            <v>ADVANTAGE CAKRANEGARA</v>
          </cell>
          <cell r="F414">
            <v>2</v>
          </cell>
          <cell r="G414" t="str">
            <v>04-Denpasar</v>
          </cell>
          <cell r="H414" t="str">
            <v>B</v>
          </cell>
          <cell r="I414" t="str">
            <v>CRM</v>
          </cell>
          <cell r="J414" t="str">
            <v>Mataram</v>
          </cell>
          <cell r="K414" t="str">
            <v>Bali Nusra</v>
          </cell>
          <cell r="L414" t="str">
            <v xml:space="preserve">MON-SUN </v>
          </cell>
          <cell r="M414" t="str">
            <v>(00:00 - 23:59)</v>
          </cell>
          <cell r="N414">
            <v>0</v>
          </cell>
          <cell r="O414">
            <v>0</v>
          </cell>
          <cell r="P414">
            <v>0</v>
          </cell>
          <cell r="Q414">
            <v>1440</v>
          </cell>
        </row>
        <row r="415">
          <cell r="B415" t="str">
            <v>ZRE6</v>
          </cell>
          <cell r="C415" t="str">
            <v>Suhel Risdianto</v>
          </cell>
          <cell r="D415" t="str">
            <v>CK 0193 Tangkuban Perahu</v>
          </cell>
          <cell r="E415" t="str">
            <v>ABACUS BALI</v>
          </cell>
          <cell r="F415">
            <v>1</v>
          </cell>
          <cell r="G415" t="str">
            <v>04-Denpasar</v>
          </cell>
          <cell r="H415" t="str">
            <v>B</v>
          </cell>
          <cell r="I415" t="str">
            <v>CRM</v>
          </cell>
          <cell r="J415" t="str">
            <v>Denpasar</v>
          </cell>
          <cell r="K415" t="str">
            <v>Bali Nusra</v>
          </cell>
          <cell r="L415" t="str">
            <v xml:space="preserve">MON-SUN </v>
          </cell>
          <cell r="M415" t="str">
            <v>(00:00 - 23:59)</v>
          </cell>
          <cell r="N415">
            <v>0</v>
          </cell>
          <cell r="O415">
            <v>0</v>
          </cell>
          <cell r="P415">
            <v>0</v>
          </cell>
          <cell r="Q415">
            <v>1440</v>
          </cell>
        </row>
        <row r="416">
          <cell r="B416" t="str">
            <v>ZRE7</v>
          </cell>
          <cell r="C416" t="str">
            <v>Farozan Ali Fahmi</v>
          </cell>
          <cell r="D416" t="str">
            <v>Celuk Trade Center</v>
          </cell>
          <cell r="E416" t="str">
            <v>ABACUS BALI</v>
          </cell>
          <cell r="F416">
            <v>1</v>
          </cell>
          <cell r="G416" t="str">
            <v>04-Denpasar</v>
          </cell>
          <cell r="H416" t="str">
            <v>B</v>
          </cell>
          <cell r="I416" t="str">
            <v>CRM</v>
          </cell>
          <cell r="J416" t="str">
            <v>Denpasar</v>
          </cell>
          <cell r="K416" t="str">
            <v>Bali Nusra</v>
          </cell>
          <cell r="L416" t="str">
            <v xml:space="preserve">MON-SUN </v>
          </cell>
          <cell r="M416" t="str">
            <v>(00:00 - 23:59)</v>
          </cell>
          <cell r="N416">
            <v>0</v>
          </cell>
          <cell r="O416">
            <v>0</v>
          </cell>
          <cell r="P416">
            <v>0</v>
          </cell>
          <cell r="Q416">
            <v>1440</v>
          </cell>
        </row>
        <row r="417">
          <cell r="B417" t="str">
            <v>ZRF5</v>
          </cell>
          <cell r="C417" t="str">
            <v>Adi Irawan</v>
          </cell>
          <cell r="D417" t="str">
            <v>Alfa Pantai Kuta Loteng</v>
          </cell>
          <cell r="E417" t="str">
            <v>ADVANTAGE CAKRANEGARA</v>
          </cell>
          <cell r="F417">
            <v>2</v>
          </cell>
          <cell r="G417" t="str">
            <v>04-Denpasar</v>
          </cell>
          <cell r="H417" t="str">
            <v>B</v>
          </cell>
          <cell r="I417" t="str">
            <v>CRM</v>
          </cell>
          <cell r="J417" t="str">
            <v>Mataram</v>
          </cell>
          <cell r="K417" t="str">
            <v>Bali Nusra</v>
          </cell>
          <cell r="L417" t="str">
            <v xml:space="preserve">MON-SUN </v>
          </cell>
          <cell r="M417" t="str">
            <v>(00:00 - 23:59)</v>
          </cell>
          <cell r="N417">
            <v>2</v>
          </cell>
          <cell r="O417">
            <v>24</v>
          </cell>
          <cell r="P417">
            <v>1.67</v>
          </cell>
          <cell r="Q417">
            <v>1440</v>
          </cell>
        </row>
        <row r="418">
          <cell r="B418" t="str">
            <v>ZRF6</v>
          </cell>
          <cell r="C418" t="str">
            <v>Eko Adi Sugiyantoro</v>
          </cell>
          <cell r="D418" t="str">
            <v>CK Raya Buduk</v>
          </cell>
          <cell r="E418" t="str">
            <v>ABACUS BALI</v>
          </cell>
          <cell r="F418">
            <v>1</v>
          </cell>
          <cell r="G418" t="str">
            <v>04-Denpasar</v>
          </cell>
          <cell r="H418" t="str">
            <v>B</v>
          </cell>
          <cell r="I418" t="str">
            <v>CRM</v>
          </cell>
          <cell r="J418" t="str">
            <v>Denpasar</v>
          </cell>
          <cell r="K418" t="str">
            <v>Bali Nusra</v>
          </cell>
          <cell r="L418" t="str">
            <v xml:space="preserve">MON-SUN </v>
          </cell>
          <cell r="M418" t="str">
            <v>(00:00 - 23:59)</v>
          </cell>
          <cell r="N418">
            <v>1</v>
          </cell>
          <cell r="O418">
            <v>43</v>
          </cell>
          <cell r="P418">
            <v>2.99</v>
          </cell>
          <cell r="Q418">
            <v>1440</v>
          </cell>
        </row>
        <row r="419">
          <cell r="B419" t="str">
            <v>ZRF7</v>
          </cell>
          <cell r="C419" t="str">
            <v>Revaldi Resha Wardhana</v>
          </cell>
          <cell r="D419" t="str">
            <v>CK 0233 Gunung Agung I</v>
          </cell>
          <cell r="E419" t="str">
            <v>ABACUS BALI</v>
          </cell>
          <cell r="F419">
            <v>1</v>
          </cell>
          <cell r="G419" t="str">
            <v>04-Denpasar</v>
          </cell>
          <cell r="H419" t="str">
            <v>B</v>
          </cell>
          <cell r="I419" t="str">
            <v>CRM</v>
          </cell>
          <cell r="J419" t="str">
            <v>Denpasar</v>
          </cell>
          <cell r="K419" t="str">
            <v>Bali Nusra</v>
          </cell>
          <cell r="L419" t="str">
            <v xml:space="preserve">MON-SUN </v>
          </cell>
          <cell r="M419" t="str">
            <v>(00:00 - 23:59)</v>
          </cell>
          <cell r="N419">
            <v>2</v>
          </cell>
          <cell r="O419">
            <v>118</v>
          </cell>
          <cell r="P419">
            <v>8.19</v>
          </cell>
          <cell r="Q419">
            <v>1440</v>
          </cell>
        </row>
        <row r="420">
          <cell r="B420" t="str">
            <v>ZRH5</v>
          </cell>
          <cell r="C420" t="str">
            <v>Muhammad Hidayatullah</v>
          </cell>
          <cell r="D420" t="str">
            <v>Alfa Raya Masbagik</v>
          </cell>
          <cell r="E420" t="str">
            <v>ADVANTAGE CAKRANEGARA</v>
          </cell>
          <cell r="F420">
            <v>1</v>
          </cell>
          <cell r="G420" t="str">
            <v>04-Denpasar</v>
          </cell>
          <cell r="H420" t="str">
            <v>B</v>
          </cell>
          <cell r="I420" t="str">
            <v>CRM</v>
          </cell>
          <cell r="J420" t="str">
            <v>Lombok Timur</v>
          </cell>
          <cell r="K420" t="str">
            <v>Bali Nusra</v>
          </cell>
          <cell r="L420" t="str">
            <v xml:space="preserve">MON-SUN </v>
          </cell>
          <cell r="M420" t="str">
            <v>(00:00 - 23:59)</v>
          </cell>
          <cell r="N420">
            <v>0</v>
          </cell>
          <cell r="O420">
            <v>0</v>
          </cell>
          <cell r="P420">
            <v>0</v>
          </cell>
          <cell r="Q420">
            <v>1440</v>
          </cell>
        </row>
        <row r="421">
          <cell r="B421" t="str">
            <v>ZRH6</v>
          </cell>
          <cell r="C421" t="str">
            <v>Eko Adi Sugiyantoro</v>
          </cell>
          <cell r="D421" t="str">
            <v>IDM Buduk Badung Denpasar</v>
          </cell>
          <cell r="E421" t="str">
            <v>ABACUS BALI</v>
          </cell>
          <cell r="F421">
            <v>1</v>
          </cell>
          <cell r="G421" t="str">
            <v>04-Denpasar</v>
          </cell>
          <cell r="H421" t="str">
            <v>B</v>
          </cell>
          <cell r="I421" t="str">
            <v>CRM</v>
          </cell>
          <cell r="J421" t="str">
            <v>Denpasar</v>
          </cell>
          <cell r="K421" t="str">
            <v>Bali Nusra</v>
          </cell>
          <cell r="L421" t="str">
            <v xml:space="preserve">MON-SUN </v>
          </cell>
          <cell r="M421" t="str">
            <v>(00:00 - 23:59)</v>
          </cell>
          <cell r="N421">
            <v>0</v>
          </cell>
          <cell r="O421">
            <v>0</v>
          </cell>
          <cell r="P421">
            <v>0</v>
          </cell>
          <cell r="Q421">
            <v>1440</v>
          </cell>
        </row>
        <row r="422">
          <cell r="B422" t="str">
            <v>ZRJ5</v>
          </cell>
          <cell r="C422" t="str">
            <v>Adi Irawan</v>
          </cell>
          <cell r="D422" t="str">
            <v>IDM Bung Hatta Mataram</v>
          </cell>
          <cell r="E422" t="str">
            <v>ADVANTAGE CAKRANEGARA</v>
          </cell>
          <cell r="F422">
            <v>1</v>
          </cell>
          <cell r="G422" t="str">
            <v>04-Denpasar</v>
          </cell>
          <cell r="H422" t="str">
            <v>B</v>
          </cell>
          <cell r="I422" t="str">
            <v>CRM</v>
          </cell>
          <cell r="J422" t="str">
            <v>Mataram</v>
          </cell>
          <cell r="K422" t="str">
            <v>Bali Nusra</v>
          </cell>
          <cell r="L422" t="str">
            <v xml:space="preserve">MON-SUN </v>
          </cell>
          <cell r="M422" t="str">
            <v>(00:00 - 23:59)</v>
          </cell>
          <cell r="N422">
            <v>0</v>
          </cell>
          <cell r="O422">
            <v>0</v>
          </cell>
          <cell r="P422">
            <v>0</v>
          </cell>
          <cell r="Q422">
            <v>1440</v>
          </cell>
        </row>
        <row r="423">
          <cell r="B423" t="str">
            <v>ZRJ7</v>
          </cell>
          <cell r="C423" t="str">
            <v>Revaldi Resha Wardhana</v>
          </cell>
          <cell r="D423" t="str">
            <v>IDM Buana Raya Denpasar</v>
          </cell>
          <cell r="E423" t="str">
            <v>ABACUS BALI</v>
          </cell>
          <cell r="F423">
            <v>1</v>
          </cell>
          <cell r="G423" t="str">
            <v>04-Denpasar</v>
          </cell>
          <cell r="H423" t="str">
            <v>B</v>
          </cell>
          <cell r="I423" t="str">
            <v>CRM</v>
          </cell>
          <cell r="J423" t="str">
            <v>Denpasar</v>
          </cell>
          <cell r="K423" t="str">
            <v>Bali Nusra</v>
          </cell>
          <cell r="L423" t="str">
            <v xml:space="preserve">MON-SUN </v>
          </cell>
          <cell r="M423" t="str">
            <v>(00:00 - 23:59)</v>
          </cell>
          <cell r="N423">
            <v>1</v>
          </cell>
          <cell r="O423">
            <v>37</v>
          </cell>
          <cell r="P423">
            <v>2.57</v>
          </cell>
          <cell r="Q423">
            <v>1440</v>
          </cell>
        </row>
        <row r="424">
          <cell r="B424" t="str">
            <v>ZRK5</v>
          </cell>
          <cell r="C424" t="str">
            <v>Alparizi</v>
          </cell>
          <cell r="D424" t="str">
            <v>IDM Dr Wahidin Mataram</v>
          </cell>
          <cell r="E424" t="str">
            <v>ADVANTAGE CAKRANEGARA</v>
          </cell>
          <cell r="F424">
            <v>1</v>
          </cell>
          <cell r="G424" t="str">
            <v>04-Denpasar</v>
          </cell>
          <cell r="H424" t="str">
            <v>B</v>
          </cell>
          <cell r="I424" t="str">
            <v>CRM</v>
          </cell>
          <cell r="J424" t="str">
            <v>Mataram</v>
          </cell>
          <cell r="K424" t="str">
            <v>Bali Nusra</v>
          </cell>
          <cell r="L424" t="str">
            <v xml:space="preserve">MON-SUN </v>
          </cell>
          <cell r="M424" t="str">
            <v>(00:00 - 23:59)</v>
          </cell>
          <cell r="N424">
            <v>1</v>
          </cell>
          <cell r="O424">
            <v>54</v>
          </cell>
          <cell r="P424">
            <v>3.75</v>
          </cell>
          <cell r="Q424">
            <v>1440</v>
          </cell>
        </row>
        <row r="425">
          <cell r="B425" t="str">
            <v>ZRK6</v>
          </cell>
          <cell r="C425" t="str">
            <v>Arif Rahman Hakim</v>
          </cell>
          <cell r="D425" t="str">
            <v>IDM Taman Griya Badung</v>
          </cell>
          <cell r="E425" t="str">
            <v>ABACUS BALI</v>
          </cell>
          <cell r="F425">
            <v>1</v>
          </cell>
          <cell r="G425" t="str">
            <v>04-Denpasar</v>
          </cell>
          <cell r="H425" t="str">
            <v>B</v>
          </cell>
          <cell r="I425" t="str">
            <v>CRM</v>
          </cell>
          <cell r="J425" t="str">
            <v>Denpasar</v>
          </cell>
          <cell r="K425" t="str">
            <v>Bali Nusra</v>
          </cell>
          <cell r="L425" t="str">
            <v xml:space="preserve">MON-SUN </v>
          </cell>
          <cell r="M425" t="str">
            <v>(07:00 - 22:00)</v>
          </cell>
          <cell r="N425">
            <v>0</v>
          </cell>
          <cell r="O425">
            <v>0</v>
          </cell>
          <cell r="P425">
            <v>0</v>
          </cell>
          <cell r="Q425">
            <v>900</v>
          </cell>
        </row>
        <row r="426">
          <cell r="B426" t="str">
            <v>ZRL5</v>
          </cell>
          <cell r="C426" t="str">
            <v>Alparizi</v>
          </cell>
          <cell r="D426" t="str">
            <v>IDM Industri Ampenan</v>
          </cell>
          <cell r="E426" t="str">
            <v>ADVANTAGE CAKRANEGARA</v>
          </cell>
          <cell r="F426">
            <v>1</v>
          </cell>
          <cell r="G426" t="str">
            <v>04-Denpasar</v>
          </cell>
          <cell r="H426" t="str">
            <v>B</v>
          </cell>
          <cell r="I426" t="str">
            <v>CRM</v>
          </cell>
          <cell r="J426" t="str">
            <v>Mataram</v>
          </cell>
          <cell r="K426" t="str">
            <v>Bali Nusra</v>
          </cell>
          <cell r="L426" t="str">
            <v xml:space="preserve">MON-SUN </v>
          </cell>
          <cell r="M426" t="str">
            <v>(07:00 - 22:00)</v>
          </cell>
          <cell r="N426">
            <v>1</v>
          </cell>
          <cell r="O426">
            <v>55</v>
          </cell>
          <cell r="P426">
            <v>6.11</v>
          </cell>
          <cell r="Q426">
            <v>900</v>
          </cell>
        </row>
        <row r="427">
          <cell r="B427" t="str">
            <v>ZRL6</v>
          </cell>
          <cell r="C427" t="str">
            <v>Eko Adi Sugiyantoro</v>
          </cell>
          <cell r="D427" t="str">
            <v>IDM TQ45 Munggu Badung</v>
          </cell>
          <cell r="E427" t="str">
            <v>ABACUS BALI</v>
          </cell>
          <cell r="F427">
            <v>1</v>
          </cell>
          <cell r="G427" t="str">
            <v>04-Denpasar</v>
          </cell>
          <cell r="H427" t="str">
            <v>B</v>
          </cell>
          <cell r="I427" t="str">
            <v>CRM</v>
          </cell>
          <cell r="J427" t="str">
            <v>Denpasar</v>
          </cell>
          <cell r="K427" t="str">
            <v>Bali Nusra</v>
          </cell>
          <cell r="L427" t="str">
            <v xml:space="preserve">MON-SUN </v>
          </cell>
          <cell r="M427" t="str">
            <v>(08:00 - 23:00)</v>
          </cell>
          <cell r="N427">
            <v>0</v>
          </cell>
          <cell r="O427">
            <v>0</v>
          </cell>
          <cell r="P427">
            <v>0</v>
          </cell>
          <cell r="Q427">
            <v>900</v>
          </cell>
        </row>
        <row r="428">
          <cell r="B428" t="str">
            <v>ZRM5</v>
          </cell>
          <cell r="C428" t="str">
            <v>Lalu Riswan Hadi</v>
          </cell>
          <cell r="D428" t="str">
            <v>IDM Lembar Lombok Barat</v>
          </cell>
          <cell r="E428" t="str">
            <v>ADVANTAGE CAKRANEGARA</v>
          </cell>
          <cell r="F428">
            <v>1</v>
          </cell>
          <cell r="G428" t="str">
            <v>04-Denpasar</v>
          </cell>
          <cell r="H428" t="str">
            <v>B</v>
          </cell>
          <cell r="I428" t="str">
            <v>CRM</v>
          </cell>
          <cell r="J428" t="str">
            <v>Mataram</v>
          </cell>
          <cell r="K428" t="str">
            <v>Bali Nusra</v>
          </cell>
          <cell r="L428" t="str">
            <v xml:space="preserve">MON-SUN </v>
          </cell>
          <cell r="M428" t="str">
            <v>(00:00 - 23:59)</v>
          </cell>
          <cell r="N428">
            <v>0</v>
          </cell>
          <cell r="O428">
            <v>0</v>
          </cell>
          <cell r="P428">
            <v>0</v>
          </cell>
          <cell r="Q428">
            <v>1440</v>
          </cell>
        </row>
        <row r="429">
          <cell r="B429" t="str">
            <v>ZRM6</v>
          </cell>
          <cell r="C429" t="str">
            <v>Muhammad Ngainun Najib</v>
          </cell>
          <cell r="D429" t="str">
            <v>Kalimas Arcade</v>
          </cell>
          <cell r="E429" t="str">
            <v>ABACUS BALI</v>
          </cell>
          <cell r="F429">
            <v>1</v>
          </cell>
          <cell r="G429" t="str">
            <v>04-Denpasar</v>
          </cell>
          <cell r="H429" t="str">
            <v>B</v>
          </cell>
          <cell r="I429" t="str">
            <v>CRM</v>
          </cell>
          <cell r="J429" t="str">
            <v>Denpasar</v>
          </cell>
          <cell r="K429" t="str">
            <v>Bali Nusra</v>
          </cell>
          <cell r="L429" t="str">
            <v xml:space="preserve">MON-SUN </v>
          </cell>
          <cell r="M429" t="str">
            <v>(00:00 - 23:59)</v>
          </cell>
          <cell r="N429">
            <v>0</v>
          </cell>
          <cell r="O429">
            <v>0</v>
          </cell>
          <cell r="P429">
            <v>0</v>
          </cell>
          <cell r="Q429">
            <v>1440</v>
          </cell>
        </row>
        <row r="430">
          <cell r="B430" t="str">
            <v>ZRN5</v>
          </cell>
          <cell r="C430" t="str">
            <v>Lalu Riswan Hadi</v>
          </cell>
          <cell r="D430" t="str">
            <v>IDM Kuta Lombok Tengah</v>
          </cell>
          <cell r="E430" t="str">
            <v>ADVANTAGE CAKRANEGARA</v>
          </cell>
          <cell r="F430">
            <v>2</v>
          </cell>
          <cell r="G430" t="str">
            <v>04-Denpasar</v>
          </cell>
          <cell r="H430" t="str">
            <v>B</v>
          </cell>
          <cell r="I430" t="str">
            <v>CRM</v>
          </cell>
          <cell r="J430" t="str">
            <v>Mataram</v>
          </cell>
          <cell r="K430" t="str">
            <v>Bali Nusra</v>
          </cell>
          <cell r="L430" t="str">
            <v xml:space="preserve">MON-SUN </v>
          </cell>
          <cell r="M430" t="str">
            <v>(00:00 - 23:59)</v>
          </cell>
          <cell r="N430">
            <v>0</v>
          </cell>
          <cell r="O430">
            <v>0</v>
          </cell>
          <cell r="P430">
            <v>0</v>
          </cell>
          <cell r="Q430">
            <v>1440</v>
          </cell>
        </row>
        <row r="431">
          <cell r="B431" t="str">
            <v>ZRN6</v>
          </cell>
          <cell r="C431" t="str">
            <v>I Putu Dendy Pratama</v>
          </cell>
          <cell r="D431" t="str">
            <v>Alfa Q400 Nakula Seminyak</v>
          </cell>
          <cell r="E431" t="str">
            <v>ABACUS BALI</v>
          </cell>
          <cell r="F431">
            <v>1</v>
          </cell>
          <cell r="G431" t="str">
            <v>04-Denpasar</v>
          </cell>
          <cell r="H431" t="str">
            <v>B</v>
          </cell>
          <cell r="I431" t="str">
            <v>CRM</v>
          </cell>
          <cell r="J431" t="str">
            <v>Denpasar</v>
          </cell>
          <cell r="K431" t="str">
            <v>Bali Nusra</v>
          </cell>
          <cell r="L431" t="str">
            <v xml:space="preserve">MON-SUN </v>
          </cell>
          <cell r="M431" t="str">
            <v>(00:00 - 23:59)</v>
          </cell>
          <cell r="N431">
            <v>0</v>
          </cell>
          <cell r="O431">
            <v>0</v>
          </cell>
          <cell r="P431">
            <v>0</v>
          </cell>
          <cell r="Q431">
            <v>1440</v>
          </cell>
        </row>
        <row r="432">
          <cell r="B432" t="str">
            <v>ZRP5</v>
          </cell>
          <cell r="C432" t="str">
            <v>Adi Irawan</v>
          </cell>
          <cell r="D432" t="str">
            <v>Coco Mart Gili Trawangan</v>
          </cell>
          <cell r="E432" t="str">
            <v>ADVANTAGE CAKRANEGARA</v>
          </cell>
          <cell r="F432">
            <v>4</v>
          </cell>
          <cell r="G432" t="str">
            <v>04-Denpasar</v>
          </cell>
          <cell r="H432" t="str">
            <v>B</v>
          </cell>
          <cell r="I432" t="str">
            <v>CRM</v>
          </cell>
          <cell r="J432" t="str">
            <v>Mataram</v>
          </cell>
          <cell r="K432" t="str">
            <v>Bali Nusra</v>
          </cell>
          <cell r="L432" t="str">
            <v xml:space="preserve">MON-SUN </v>
          </cell>
          <cell r="M432" t="str">
            <v>(00:00 - 23:59)</v>
          </cell>
          <cell r="N432">
            <v>0</v>
          </cell>
          <cell r="O432">
            <v>0</v>
          </cell>
          <cell r="P432">
            <v>0</v>
          </cell>
          <cell r="Q432">
            <v>1440</v>
          </cell>
        </row>
        <row r="433">
          <cell r="B433" t="str">
            <v>ZRQ5</v>
          </cell>
          <cell r="C433" t="str">
            <v>Rio Erdiansyah</v>
          </cell>
          <cell r="D433" t="str">
            <v>Alfa Banjar Jawa</v>
          </cell>
          <cell r="E433" t="str">
            <v>ABACUS BALI</v>
          </cell>
          <cell r="F433">
            <v>1</v>
          </cell>
          <cell r="G433" t="str">
            <v>04-Denpasar</v>
          </cell>
          <cell r="H433" t="str">
            <v>B</v>
          </cell>
          <cell r="I433" t="str">
            <v>CRM</v>
          </cell>
          <cell r="J433" t="str">
            <v>Singaraja</v>
          </cell>
          <cell r="K433" t="str">
            <v>Bali Nusra</v>
          </cell>
          <cell r="L433" t="str">
            <v xml:space="preserve">MON-SUN </v>
          </cell>
          <cell r="M433" t="str">
            <v>(00:00 - 23:59)</v>
          </cell>
          <cell r="N433">
            <v>0</v>
          </cell>
          <cell r="O433">
            <v>0</v>
          </cell>
          <cell r="P433">
            <v>0</v>
          </cell>
          <cell r="Q433">
            <v>1440</v>
          </cell>
        </row>
        <row r="434">
          <cell r="B434" t="str">
            <v>ZRQ6</v>
          </cell>
          <cell r="C434" t="str">
            <v>Farozan Ali Fahmi</v>
          </cell>
          <cell r="D434" t="str">
            <v>Bagoes Bangunan</v>
          </cell>
          <cell r="E434" t="str">
            <v>ABACUS BALI</v>
          </cell>
          <cell r="F434">
            <v>1</v>
          </cell>
          <cell r="G434" t="str">
            <v>04-Denpasar</v>
          </cell>
          <cell r="H434" t="str">
            <v>B</v>
          </cell>
          <cell r="I434" t="str">
            <v>CRM</v>
          </cell>
          <cell r="J434" t="str">
            <v>Denpasar</v>
          </cell>
          <cell r="K434" t="str">
            <v>Bali Nusra</v>
          </cell>
          <cell r="L434" t="str">
            <v xml:space="preserve">MON-SUN </v>
          </cell>
          <cell r="M434" t="str">
            <v>(00:00 - 23:59)</v>
          </cell>
          <cell r="N434">
            <v>0</v>
          </cell>
          <cell r="O434">
            <v>0</v>
          </cell>
          <cell r="P434">
            <v>0</v>
          </cell>
          <cell r="Q434">
            <v>1440</v>
          </cell>
        </row>
        <row r="435">
          <cell r="B435" t="str">
            <v>ZRR5</v>
          </cell>
          <cell r="C435" t="str">
            <v>Muhammad Gufron Sofyan</v>
          </cell>
          <cell r="D435" t="str">
            <v>IDM Arafah Lelateng</v>
          </cell>
          <cell r="E435" t="str">
            <v>ABACUS BALI</v>
          </cell>
          <cell r="F435">
            <v>1</v>
          </cell>
          <cell r="G435" t="str">
            <v>04-Denpasar</v>
          </cell>
          <cell r="H435" t="str">
            <v>B</v>
          </cell>
          <cell r="I435" t="str">
            <v>CRM</v>
          </cell>
          <cell r="J435" t="str">
            <v>Negara</v>
          </cell>
          <cell r="K435" t="str">
            <v>Bali Nusra</v>
          </cell>
          <cell r="L435" t="str">
            <v xml:space="preserve">MON-SUN </v>
          </cell>
          <cell r="M435" t="str">
            <v>(00:00 - 23:59)</v>
          </cell>
          <cell r="N435">
            <v>0</v>
          </cell>
          <cell r="O435">
            <v>0</v>
          </cell>
          <cell r="P435">
            <v>0</v>
          </cell>
          <cell r="Q435">
            <v>1440</v>
          </cell>
        </row>
        <row r="436">
          <cell r="B436" t="str">
            <v>ZRR6</v>
          </cell>
          <cell r="C436" t="str">
            <v>Farozan Ali Fahmi</v>
          </cell>
          <cell r="D436" t="str">
            <v>IDM Celuk 3 Gianyar</v>
          </cell>
          <cell r="E436" t="str">
            <v>ABACUS BALI</v>
          </cell>
          <cell r="F436">
            <v>1</v>
          </cell>
          <cell r="G436" t="str">
            <v>04-Denpasar</v>
          </cell>
          <cell r="H436" t="str">
            <v>B</v>
          </cell>
          <cell r="I436" t="str">
            <v>CRM</v>
          </cell>
          <cell r="J436" t="str">
            <v>Denpasar</v>
          </cell>
          <cell r="K436" t="str">
            <v>Bali Nusra</v>
          </cell>
          <cell r="L436" t="str">
            <v xml:space="preserve">MON-SUN </v>
          </cell>
          <cell r="M436" t="str">
            <v>(00:00 - 23:59)</v>
          </cell>
          <cell r="N436">
            <v>0</v>
          </cell>
          <cell r="O436">
            <v>0</v>
          </cell>
          <cell r="P436">
            <v>0</v>
          </cell>
          <cell r="Q436">
            <v>1440</v>
          </cell>
        </row>
        <row r="437">
          <cell r="B437" t="str">
            <v>ZRT5</v>
          </cell>
          <cell r="C437" t="str">
            <v>Muhammad Gufron Sofyan</v>
          </cell>
          <cell r="D437" t="str">
            <v>IDM F511 Udayana</v>
          </cell>
          <cell r="E437" t="str">
            <v>ABACUS BALI</v>
          </cell>
          <cell r="F437">
            <v>1</v>
          </cell>
          <cell r="G437" t="str">
            <v>04-Denpasar</v>
          </cell>
          <cell r="H437" t="str">
            <v>B</v>
          </cell>
          <cell r="I437" t="str">
            <v>CRM</v>
          </cell>
          <cell r="J437" t="str">
            <v>Negara</v>
          </cell>
          <cell r="K437" t="str">
            <v>Bali Nusra</v>
          </cell>
          <cell r="L437" t="str">
            <v xml:space="preserve">MON-SUN </v>
          </cell>
          <cell r="M437" t="str">
            <v>(00:00 - 23:59)</v>
          </cell>
          <cell r="N437">
            <v>1</v>
          </cell>
          <cell r="O437">
            <v>23</v>
          </cell>
          <cell r="P437">
            <v>1.6</v>
          </cell>
          <cell r="Q437">
            <v>1440</v>
          </cell>
        </row>
        <row r="438">
          <cell r="B438" t="str">
            <v>ZRT6</v>
          </cell>
          <cell r="C438" t="str">
            <v>Farozan Ali Fahmi</v>
          </cell>
          <cell r="D438" t="str">
            <v>IDM Candibaru Gianyar</v>
          </cell>
          <cell r="E438" t="str">
            <v>ABACUS BALI</v>
          </cell>
          <cell r="F438">
            <v>1</v>
          </cell>
          <cell r="G438" t="str">
            <v>04-Denpasar</v>
          </cell>
          <cell r="H438" t="str">
            <v>B</v>
          </cell>
          <cell r="I438" t="str">
            <v>CRM</v>
          </cell>
          <cell r="J438" t="str">
            <v>Denpasar</v>
          </cell>
          <cell r="K438" t="str">
            <v>Bali Nusra</v>
          </cell>
          <cell r="L438" t="str">
            <v xml:space="preserve">MON-SUN </v>
          </cell>
          <cell r="M438" t="str">
            <v>(07:00 - 22:00)</v>
          </cell>
          <cell r="N438">
            <v>0</v>
          </cell>
          <cell r="O438">
            <v>0</v>
          </cell>
          <cell r="P438">
            <v>0</v>
          </cell>
          <cell r="Q438">
            <v>900</v>
          </cell>
        </row>
        <row r="439">
          <cell r="B439" t="str">
            <v>ZRU6</v>
          </cell>
          <cell r="C439" t="str">
            <v>Revaldi Resha Wardhana</v>
          </cell>
          <cell r="D439" t="str">
            <v>Alfa Gatsu Barat I Dps</v>
          </cell>
          <cell r="E439" t="str">
            <v>ABACUS BALI</v>
          </cell>
          <cell r="F439">
            <v>1</v>
          </cell>
          <cell r="G439" t="str">
            <v>04-Denpasar</v>
          </cell>
          <cell r="H439" t="str">
            <v>B</v>
          </cell>
          <cell r="I439" t="str">
            <v>CRM</v>
          </cell>
          <cell r="J439" t="str">
            <v>Denpasar</v>
          </cell>
          <cell r="K439" t="str">
            <v>Bali Nusra</v>
          </cell>
          <cell r="L439" t="str">
            <v xml:space="preserve">MON-SUN </v>
          </cell>
          <cell r="M439" t="str">
            <v>(06:00 - 23:00)</v>
          </cell>
          <cell r="N439">
            <v>0</v>
          </cell>
          <cell r="O439">
            <v>0</v>
          </cell>
          <cell r="P439">
            <v>0</v>
          </cell>
          <cell r="Q439">
            <v>1020</v>
          </cell>
        </row>
        <row r="440">
          <cell r="B440" t="str">
            <v>ZRW6</v>
          </cell>
          <cell r="C440" t="str">
            <v>Bambang Yuniarko</v>
          </cell>
          <cell r="D440" t="str">
            <v>Alfa Q207 Akasia Denpasar</v>
          </cell>
          <cell r="E440" t="str">
            <v>ANDALAN BALI</v>
          </cell>
          <cell r="F440">
            <v>1</v>
          </cell>
          <cell r="G440" t="str">
            <v>04-Denpasar</v>
          </cell>
          <cell r="H440" t="str">
            <v>B</v>
          </cell>
          <cell r="I440" t="str">
            <v>CRM</v>
          </cell>
          <cell r="J440" t="str">
            <v>Denpasar</v>
          </cell>
          <cell r="K440" t="str">
            <v>Bali Nusra</v>
          </cell>
          <cell r="L440" t="str">
            <v xml:space="preserve">MON-SUN </v>
          </cell>
          <cell r="M440" t="str">
            <v>(06:00 - 23:00)</v>
          </cell>
          <cell r="N440">
            <v>0</v>
          </cell>
          <cell r="O440">
            <v>0</v>
          </cell>
          <cell r="P440">
            <v>0</v>
          </cell>
          <cell r="Q440">
            <v>1020</v>
          </cell>
        </row>
        <row r="441">
          <cell r="B441" t="str">
            <v>ZRX6</v>
          </cell>
          <cell r="C441" t="str">
            <v>Bambang Yuniarko</v>
          </cell>
          <cell r="D441" t="str">
            <v>Alfa Sesetan II</v>
          </cell>
          <cell r="E441" t="str">
            <v>ANDALAN BALI</v>
          </cell>
          <cell r="F441">
            <v>1</v>
          </cell>
          <cell r="G441" t="str">
            <v>04-Denpasar</v>
          </cell>
          <cell r="H441" t="str">
            <v>B</v>
          </cell>
          <cell r="I441" t="str">
            <v>CRM</v>
          </cell>
          <cell r="J441" t="str">
            <v>Denpasar</v>
          </cell>
          <cell r="K441" t="str">
            <v>Bali Nusra</v>
          </cell>
          <cell r="L441" t="str">
            <v xml:space="preserve">MON-SUN </v>
          </cell>
          <cell r="M441" t="str">
            <v>(00:00 - 23:59)</v>
          </cell>
          <cell r="N441">
            <v>0</v>
          </cell>
          <cell r="O441">
            <v>0</v>
          </cell>
          <cell r="P441">
            <v>0</v>
          </cell>
          <cell r="Q441">
            <v>1440</v>
          </cell>
        </row>
        <row r="442">
          <cell r="B442" t="str">
            <v>ZRY6</v>
          </cell>
          <cell r="C442" t="str">
            <v>Bambang Yuniarko</v>
          </cell>
          <cell r="D442" t="str">
            <v>Alfa Suropati</v>
          </cell>
          <cell r="E442" t="str">
            <v>ANDALAN BALI</v>
          </cell>
          <cell r="F442">
            <v>1</v>
          </cell>
          <cell r="G442" t="str">
            <v>04-Denpasar</v>
          </cell>
          <cell r="H442" t="str">
            <v>B</v>
          </cell>
          <cell r="I442" t="str">
            <v>CRM</v>
          </cell>
          <cell r="J442" t="str">
            <v>Denpasar</v>
          </cell>
          <cell r="K442" t="str">
            <v>Bali Nusra</v>
          </cell>
          <cell r="L442" t="str">
            <v xml:space="preserve">MON-SUN </v>
          </cell>
          <cell r="M442" t="str">
            <v>(00:00 - 23:59)</v>
          </cell>
          <cell r="N442">
            <v>2</v>
          </cell>
          <cell r="O442">
            <v>114</v>
          </cell>
          <cell r="P442">
            <v>7.92</v>
          </cell>
          <cell r="Q442">
            <v>1440</v>
          </cell>
        </row>
        <row r="443">
          <cell r="B443" t="str">
            <v>ZRZ6</v>
          </cell>
          <cell r="C443" t="str">
            <v>Bambang Yuniarko</v>
          </cell>
          <cell r="D443" t="str">
            <v>Alfa Tukad Buaji</v>
          </cell>
          <cell r="E443" t="str">
            <v>ANDALAN BALI</v>
          </cell>
          <cell r="F443">
            <v>1</v>
          </cell>
          <cell r="G443" t="str">
            <v>04-Denpasar</v>
          </cell>
          <cell r="H443" t="str">
            <v>B</v>
          </cell>
          <cell r="I443" t="str">
            <v>CRM</v>
          </cell>
          <cell r="J443" t="str">
            <v>Denpasar</v>
          </cell>
          <cell r="K443" t="str">
            <v>Bali Nusra</v>
          </cell>
          <cell r="L443" t="str">
            <v xml:space="preserve">MON-SUN </v>
          </cell>
          <cell r="M443" t="str">
            <v>(00:00 - 23:59)</v>
          </cell>
          <cell r="N443">
            <v>1</v>
          </cell>
          <cell r="O443">
            <v>32</v>
          </cell>
          <cell r="P443">
            <v>2.2200000000000002</v>
          </cell>
          <cell r="Q443">
            <v>1440</v>
          </cell>
        </row>
        <row r="444">
          <cell r="B444" t="str">
            <v>ZTQ4</v>
          </cell>
          <cell r="C444" t="str">
            <v>Leonardo A Ruly</v>
          </cell>
          <cell r="D444" t="str">
            <v>Waingapu</v>
          </cell>
          <cell r="E444" t="str">
            <v>KUPANG</v>
          </cell>
          <cell r="F444">
            <v>4</v>
          </cell>
          <cell r="G444" t="str">
            <v>04-Denpasar</v>
          </cell>
          <cell r="H444" t="str">
            <v>B</v>
          </cell>
          <cell r="I444" t="str">
            <v>CRM</v>
          </cell>
          <cell r="J444" t="str">
            <v>Kupang</v>
          </cell>
          <cell r="K444" t="str">
            <v>Bali Nusra</v>
          </cell>
          <cell r="L444" t="str">
            <v xml:space="preserve">MON-SUN </v>
          </cell>
          <cell r="M444" t="str">
            <v>(00:00 - 23:59)</v>
          </cell>
          <cell r="N444">
            <v>0</v>
          </cell>
          <cell r="O444">
            <v>414</v>
          </cell>
          <cell r="P444">
            <v>28.75</v>
          </cell>
          <cell r="Q444">
            <v>1440</v>
          </cell>
        </row>
        <row r="445">
          <cell r="B445" t="str">
            <v>ZTR4</v>
          </cell>
          <cell r="C445" t="str">
            <v>Leonardo A Ruly</v>
          </cell>
          <cell r="D445" t="str">
            <v>Waingapu</v>
          </cell>
          <cell r="E445" t="str">
            <v>KUPANG</v>
          </cell>
          <cell r="F445">
            <v>4</v>
          </cell>
          <cell r="G445" t="str">
            <v>04-Denpasar</v>
          </cell>
          <cell r="H445" t="str">
            <v>B</v>
          </cell>
          <cell r="I445" t="str">
            <v>CRM</v>
          </cell>
          <cell r="J445" t="str">
            <v>Kupang</v>
          </cell>
          <cell r="K445" t="str">
            <v>Bali Nusra</v>
          </cell>
          <cell r="L445" t="str">
            <v xml:space="preserve">MON-SUN </v>
          </cell>
          <cell r="M445" t="str">
            <v>(00:00 - 23:59)</v>
          </cell>
          <cell r="N445">
            <v>1</v>
          </cell>
          <cell r="O445">
            <v>92</v>
          </cell>
          <cell r="P445">
            <v>6.39</v>
          </cell>
          <cell r="Q445">
            <v>1440</v>
          </cell>
        </row>
        <row r="446">
          <cell r="B446" t="str">
            <v>ZTZ9</v>
          </cell>
          <cell r="C446" t="str">
            <v>Yunarius Raynold Gege</v>
          </cell>
          <cell r="D446" t="str">
            <v>IDM Veteran Kupang</v>
          </cell>
          <cell r="E446" t="str">
            <v>ADVANTAGE KUPANG</v>
          </cell>
          <cell r="F446">
            <v>1</v>
          </cell>
          <cell r="G446" t="str">
            <v>04-Denpasar</v>
          </cell>
          <cell r="H446" t="str">
            <v>B</v>
          </cell>
          <cell r="I446" t="str">
            <v>CRM</v>
          </cell>
          <cell r="J446" t="str">
            <v>Kupang</v>
          </cell>
          <cell r="K446" t="str">
            <v>Bali Nusra</v>
          </cell>
          <cell r="L446" t="str">
            <v xml:space="preserve">MON-SUN </v>
          </cell>
          <cell r="M446" t="str">
            <v>(07:00 - 23:00)</v>
          </cell>
          <cell r="N446">
            <v>0</v>
          </cell>
          <cell r="O446">
            <v>0</v>
          </cell>
          <cell r="P446">
            <v>0</v>
          </cell>
          <cell r="Q446">
            <v>960</v>
          </cell>
        </row>
        <row r="447">
          <cell r="B447" t="str">
            <v>ZUB7</v>
          </cell>
          <cell r="C447" t="str">
            <v>Revaldi Resha Wardhana</v>
          </cell>
          <cell r="D447" t="str">
            <v>Alfa Q661Liligundi</v>
          </cell>
          <cell r="E447" t="str">
            <v>ABACUS BALI</v>
          </cell>
          <cell r="F447">
            <v>1</v>
          </cell>
          <cell r="G447" t="str">
            <v>04-Denpasar</v>
          </cell>
          <cell r="H447" t="str">
            <v>B</v>
          </cell>
          <cell r="I447" t="str">
            <v>CRM</v>
          </cell>
          <cell r="J447" t="str">
            <v>Denpasar</v>
          </cell>
          <cell r="K447" t="str">
            <v>Bali Nusra</v>
          </cell>
          <cell r="L447" t="str">
            <v xml:space="preserve">MON-SUN </v>
          </cell>
          <cell r="M447" t="str">
            <v>(07:00 - 22:00)</v>
          </cell>
          <cell r="N447">
            <v>0</v>
          </cell>
          <cell r="O447">
            <v>0</v>
          </cell>
          <cell r="P447">
            <v>0</v>
          </cell>
          <cell r="Q447">
            <v>900</v>
          </cell>
        </row>
        <row r="448">
          <cell r="B448" t="str">
            <v>ZUP8</v>
          </cell>
          <cell r="C448" t="str">
            <v>Muhammad Ngainun Najib</v>
          </cell>
          <cell r="D448" t="str">
            <v>IDM Uluwatu II</v>
          </cell>
          <cell r="E448" t="str">
            <v>ABACUS BALI</v>
          </cell>
          <cell r="F448">
            <v>1</v>
          </cell>
          <cell r="G448" t="str">
            <v>04-Denpasar</v>
          </cell>
          <cell r="H448" t="str">
            <v>B</v>
          </cell>
          <cell r="I448" t="str">
            <v>CRM</v>
          </cell>
          <cell r="J448" t="str">
            <v>Denpasar</v>
          </cell>
          <cell r="K448" t="str">
            <v>Bali Nusra</v>
          </cell>
          <cell r="L448" t="str">
            <v xml:space="preserve">MON-SUN </v>
          </cell>
          <cell r="M448" t="str">
            <v>(00:00 - 23:59)</v>
          </cell>
          <cell r="N448">
            <v>0</v>
          </cell>
          <cell r="O448">
            <v>0</v>
          </cell>
          <cell r="P448">
            <v>0</v>
          </cell>
          <cell r="Q448">
            <v>1440</v>
          </cell>
        </row>
        <row r="449">
          <cell r="B449" t="str">
            <v>ZY9N</v>
          </cell>
          <cell r="C449" t="str">
            <v>Rio Erdiansyah</v>
          </cell>
          <cell r="D449" t="str">
            <v>Alfa Sangsit</v>
          </cell>
          <cell r="E449" t="str">
            <v>ABACUS BALI</v>
          </cell>
          <cell r="F449">
            <v>1</v>
          </cell>
          <cell r="G449" t="str">
            <v>04-Denpasar</v>
          </cell>
          <cell r="H449" t="str">
            <v>B</v>
          </cell>
          <cell r="I449" t="str">
            <v>CRM</v>
          </cell>
          <cell r="J449" t="str">
            <v>Singaraja</v>
          </cell>
          <cell r="K449" t="str">
            <v>Bali Nusra</v>
          </cell>
          <cell r="L449" t="str">
            <v xml:space="preserve">MON-SUN </v>
          </cell>
          <cell r="M449" t="str">
            <v>(00:00 - 23:59)</v>
          </cell>
          <cell r="N449">
            <v>0</v>
          </cell>
          <cell r="O449">
            <v>0</v>
          </cell>
          <cell r="P449">
            <v>0</v>
          </cell>
          <cell r="Q449">
            <v>1440</v>
          </cell>
        </row>
        <row r="450">
          <cell r="B450" t="str">
            <v>ZY9P</v>
          </cell>
          <cell r="C450" t="str">
            <v>Rio Erdiansyah</v>
          </cell>
          <cell r="D450" t="str">
            <v>IDM Untung Surapati</v>
          </cell>
          <cell r="E450" t="str">
            <v>ABACUS BALI</v>
          </cell>
          <cell r="F450">
            <v>1</v>
          </cell>
          <cell r="G450" t="str">
            <v>04-Denpasar</v>
          </cell>
          <cell r="H450" t="str">
            <v>B</v>
          </cell>
          <cell r="I450" t="str">
            <v>CRM</v>
          </cell>
          <cell r="J450" t="str">
            <v>Singaraja</v>
          </cell>
          <cell r="K450" t="str">
            <v>Bali Nusra</v>
          </cell>
          <cell r="L450" t="str">
            <v xml:space="preserve">MON-SUN </v>
          </cell>
          <cell r="M450" t="str">
            <v>(00:00 - 23:59)</v>
          </cell>
          <cell r="N450">
            <v>0</v>
          </cell>
          <cell r="O450">
            <v>0</v>
          </cell>
          <cell r="P450">
            <v>0</v>
          </cell>
          <cell r="Q450">
            <v>1440</v>
          </cell>
        </row>
        <row r="451">
          <cell r="B451" t="str">
            <v>ZZ4A</v>
          </cell>
          <cell r="C451" t="str">
            <v>Eko Adi Sugiyantoro</v>
          </cell>
          <cell r="D451" t="str">
            <v>IDM Tegal Permai</v>
          </cell>
          <cell r="E451" t="str">
            <v>ABACUS BALI</v>
          </cell>
          <cell r="F451">
            <v>1</v>
          </cell>
          <cell r="G451" t="str">
            <v>04-Denpasar</v>
          </cell>
          <cell r="H451" t="str">
            <v>B</v>
          </cell>
          <cell r="I451" t="str">
            <v>CRM</v>
          </cell>
          <cell r="J451" t="str">
            <v>Denpasar</v>
          </cell>
          <cell r="K451" t="str">
            <v>Bali Nusra</v>
          </cell>
          <cell r="L451" t="str">
            <v xml:space="preserve">MON-SUN </v>
          </cell>
          <cell r="M451" t="str">
            <v>(07:00 - 22:00)</v>
          </cell>
          <cell r="N451">
            <v>1</v>
          </cell>
          <cell r="O451">
            <v>34</v>
          </cell>
          <cell r="P451">
            <v>3.78</v>
          </cell>
          <cell r="Q451">
            <v>900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I NUSRA"/>
      <sheetName val="UPTIME HARIAN"/>
      <sheetName val="BY SN &amp; PKT"/>
      <sheetName val="PKT TIPE MESIN"/>
      <sheetName val="FRX DT"/>
      <sheetName val="atm total"/>
      <sheetName val="SITE BLNS"/>
      <sheetName val="MainVisi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 t="str">
            <v>ATM Downtime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</row>
        <row r="2">
          <cell r="B2" t="str">
            <v>Period :</v>
          </cell>
          <cell r="C2" t="str">
            <v>10/1/2026 12:00:00 AM</v>
          </cell>
          <cell r="D2" t="str">
            <v>-</v>
          </cell>
          <cell r="G2" t="str">
            <v>10/1/2026 12:00:00 AM</v>
          </cell>
        </row>
        <row r="3">
          <cell r="B3" t="str">
            <v>UT :</v>
          </cell>
          <cell r="C3">
            <v>99.055555555555557</v>
          </cell>
          <cell r="D3">
            <v>2108</v>
          </cell>
          <cell r="E3">
            <v>223200</v>
          </cell>
          <cell r="F3">
            <v>162</v>
          </cell>
          <cell r="G3"/>
          <cell r="H3"/>
          <cell r="I3" t="str">
            <v>A=0, B=445, C=0, J=0 , #N/A= 0, Inactive = 0, TL = 0</v>
          </cell>
          <cell r="J3"/>
          <cell r="K3"/>
          <cell r="L3"/>
          <cell r="M3"/>
          <cell r="N3"/>
          <cell r="O3"/>
          <cell r="P3"/>
          <cell r="Q3">
            <v>137.77777777777777</v>
          </cell>
        </row>
        <row r="5">
          <cell r="E5" t="str">
            <v>Maintenance</v>
          </cell>
          <cell r="F5" t="str">
            <v>Maintenance</v>
          </cell>
          <cell r="G5" t="str">
            <v>Maintenance</v>
          </cell>
          <cell r="H5"/>
          <cell r="I5"/>
          <cell r="J5"/>
          <cell r="K5"/>
          <cell r="L5"/>
          <cell r="M5"/>
          <cell r="N5" t="str">
            <v>HW</v>
          </cell>
          <cell r="O5"/>
          <cell r="P5"/>
          <cell r="Q5"/>
        </row>
        <row r="6">
          <cell r="B6" t="str">
            <v>WSID</v>
          </cell>
          <cell r="C6" t="str">
            <v>SE</v>
          </cell>
          <cell r="D6" t="str">
            <v>LOKASI</v>
          </cell>
          <cell r="E6" t="str">
            <v>DESCKCU</v>
          </cell>
          <cell r="F6" t="str">
            <v>Zona</v>
          </cell>
          <cell r="G6" t="str">
            <v>Kanwil</v>
          </cell>
          <cell r="H6" t="str">
            <v>Reg</v>
          </cell>
          <cell r="I6" t="str">
            <v>Type</v>
          </cell>
          <cell r="J6" t="str">
            <v>SERVICE AREA</v>
          </cell>
          <cell r="K6" t="str">
            <v>GROUP</v>
          </cell>
          <cell r="L6" t="str">
            <v>HARI</v>
          </cell>
          <cell r="M6" t="str">
            <v>JAM</v>
          </cell>
          <cell r="N6" t="str">
            <v>FRX</v>
          </cell>
          <cell r="O6" t="str">
            <v>DUR</v>
          </cell>
          <cell r="P6" t="str">
            <v>%</v>
          </cell>
          <cell r="Q6" t="str">
            <v>OPR</v>
          </cell>
        </row>
        <row r="7">
          <cell r="B7" t="str">
            <v>006S</v>
          </cell>
          <cell r="C7" t="str">
            <v>Suhel Risdianto</v>
          </cell>
          <cell r="D7" t="str">
            <v>DepoB Denpasar</v>
          </cell>
          <cell r="E7" t="str">
            <v>ABACUS BALI</v>
          </cell>
          <cell r="F7">
            <v>1</v>
          </cell>
          <cell r="G7" t="str">
            <v>04-Denpasar</v>
          </cell>
          <cell r="H7" t="str">
            <v>B</v>
          </cell>
          <cell r="I7" t="str">
            <v>ATM</v>
          </cell>
          <cell r="J7" t="str">
            <v>Denpasar</v>
          </cell>
          <cell r="K7" t="str">
            <v>Bali Nusra</v>
          </cell>
          <cell r="L7" t="str">
            <v xml:space="preserve">MON-SUN </v>
          </cell>
          <cell r="M7" t="str">
            <v>(07:00 - 22:00)</v>
          </cell>
          <cell r="N7">
            <v>0</v>
          </cell>
          <cell r="O7">
            <v>0</v>
          </cell>
          <cell r="P7">
            <v>0</v>
          </cell>
          <cell r="Q7">
            <v>900</v>
          </cell>
        </row>
        <row r="8">
          <cell r="B8" t="str">
            <v>0072</v>
          </cell>
          <cell r="C8" t="str">
            <v>Lalu Riswan Hadi</v>
          </cell>
          <cell r="D8" t="str">
            <v>Bandara Intl Lombok</v>
          </cell>
          <cell r="E8" t="str">
            <v>ADVANTAGE CAKRANEGARA</v>
          </cell>
          <cell r="F8">
            <v>2</v>
          </cell>
          <cell r="G8" t="str">
            <v>04-Denpasar</v>
          </cell>
          <cell r="H8" t="str">
            <v>B</v>
          </cell>
          <cell r="I8" t="str">
            <v>ATM</v>
          </cell>
          <cell r="J8" t="str">
            <v>Mataram</v>
          </cell>
          <cell r="K8" t="str">
            <v>Bali Nusra</v>
          </cell>
          <cell r="L8" t="str">
            <v xml:space="preserve">MON-SUN </v>
          </cell>
          <cell r="M8" t="str">
            <v>(06:00 - 20:00)</v>
          </cell>
          <cell r="N8">
            <v>0</v>
          </cell>
          <cell r="O8">
            <v>0</v>
          </cell>
          <cell r="P8">
            <v>0</v>
          </cell>
          <cell r="Q8">
            <v>840</v>
          </cell>
        </row>
        <row r="9">
          <cell r="B9" t="str">
            <v>00AN</v>
          </cell>
          <cell r="C9" t="str">
            <v>Farozan Ali Fahmi</v>
          </cell>
          <cell r="D9" t="str">
            <v>Solaluna Mart Amed</v>
          </cell>
          <cell r="E9" t="str">
            <v>ABACUS BALI</v>
          </cell>
          <cell r="F9">
            <v>3</v>
          </cell>
          <cell r="G9" t="str">
            <v>04-Denpasar</v>
          </cell>
          <cell r="H9" t="str">
            <v>B</v>
          </cell>
          <cell r="I9" t="str">
            <v>ATM</v>
          </cell>
          <cell r="J9" t="str">
            <v>Denpasar</v>
          </cell>
          <cell r="K9" t="str">
            <v>Bali Nusra</v>
          </cell>
          <cell r="L9" t="str">
            <v xml:space="preserve">MON-SUN </v>
          </cell>
          <cell r="M9" t="str">
            <v>(07:00 - 22:00)</v>
          </cell>
          <cell r="N9">
            <v>0</v>
          </cell>
          <cell r="O9">
            <v>0</v>
          </cell>
          <cell r="P9">
            <v>0</v>
          </cell>
          <cell r="Q9">
            <v>900</v>
          </cell>
        </row>
        <row r="10">
          <cell r="B10" t="str">
            <v>00B7</v>
          </cell>
          <cell r="C10" t="str">
            <v>Eko Adi Sugiyantoro</v>
          </cell>
          <cell r="D10" t="str">
            <v>IDM Penatahan</v>
          </cell>
          <cell r="E10" t="str">
            <v>ABACUS BALI</v>
          </cell>
          <cell r="F10">
            <v>2</v>
          </cell>
          <cell r="G10" t="str">
            <v>04-Denpasar</v>
          </cell>
          <cell r="H10" t="str">
            <v>B</v>
          </cell>
          <cell r="I10" t="str">
            <v>ATM</v>
          </cell>
          <cell r="J10" t="str">
            <v>Denpasar</v>
          </cell>
          <cell r="K10" t="str">
            <v>Bali Nusra</v>
          </cell>
          <cell r="L10" t="str">
            <v xml:space="preserve">MON-SUN </v>
          </cell>
          <cell r="M10" t="str">
            <v>(07:00 - 22:00)</v>
          </cell>
          <cell r="N10">
            <v>0</v>
          </cell>
          <cell r="O10">
            <v>0</v>
          </cell>
          <cell r="P10">
            <v>0</v>
          </cell>
          <cell r="Q10">
            <v>900</v>
          </cell>
        </row>
        <row r="11">
          <cell r="B11" t="str">
            <v>00BH</v>
          </cell>
          <cell r="C11" t="str">
            <v>Muhammad Gufron Sofyan</v>
          </cell>
          <cell r="D11" t="str">
            <v>Alfa Kaliakah</v>
          </cell>
          <cell r="E11" t="str">
            <v>ABACUS BALI</v>
          </cell>
          <cell r="F11">
            <v>1</v>
          </cell>
          <cell r="G11" t="str">
            <v>04-Denpasar</v>
          </cell>
          <cell r="H11" t="str">
            <v>B</v>
          </cell>
          <cell r="I11" t="str">
            <v>ATM</v>
          </cell>
          <cell r="J11" t="str">
            <v>Negara</v>
          </cell>
          <cell r="K11" t="str">
            <v>Bali Nusra</v>
          </cell>
          <cell r="L11" t="str">
            <v xml:space="preserve">MON-SUN </v>
          </cell>
          <cell r="M11" t="str">
            <v>(00:00 - 23:59)</v>
          </cell>
          <cell r="N11">
            <v>0</v>
          </cell>
          <cell r="O11">
            <v>0</v>
          </cell>
          <cell r="P11">
            <v>0</v>
          </cell>
          <cell r="Q11">
            <v>1440</v>
          </cell>
        </row>
        <row r="12">
          <cell r="B12" t="str">
            <v>00BJ</v>
          </cell>
          <cell r="C12" t="str">
            <v>Muhammad Gufron Sofyan</v>
          </cell>
          <cell r="D12" t="str">
            <v>Alfa Yeh Embang Mendo</v>
          </cell>
          <cell r="E12" t="str">
            <v>ABACUS BALI</v>
          </cell>
          <cell r="F12">
            <v>2</v>
          </cell>
          <cell r="G12" t="str">
            <v>04-Denpasar</v>
          </cell>
          <cell r="H12" t="str">
            <v>B</v>
          </cell>
          <cell r="I12" t="str">
            <v>ATM</v>
          </cell>
          <cell r="J12" t="str">
            <v>Negara</v>
          </cell>
          <cell r="K12" t="str">
            <v>Bali Nusra</v>
          </cell>
          <cell r="L12" t="str">
            <v xml:space="preserve">MON-SUN </v>
          </cell>
          <cell r="M12" t="str">
            <v>(06:00 - 23:00)</v>
          </cell>
          <cell r="N12">
            <v>0</v>
          </cell>
          <cell r="O12">
            <v>0</v>
          </cell>
          <cell r="P12">
            <v>0</v>
          </cell>
          <cell r="Q12">
            <v>1020</v>
          </cell>
        </row>
        <row r="13">
          <cell r="B13" t="str">
            <v>00C6</v>
          </cell>
          <cell r="C13" t="str">
            <v>Rio Erdiansyah</v>
          </cell>
          <cell r="D13" t="str">
            <v>IDM Laksamana</v>
          </cell>
          <cell r="E13" t="str">
            <v>ABACUS BALI</v>
          </cell>
          <cell r="F13">
            <v>1</v>
          </cell>
          <cell r="G13" t="str">
            <v>04-Denpasar</v>
          </cell>
          <cell r="H13" t="str">
            <v>B</v>
          </cell>
          <cell r="I13" t="str">
            <v>ATM</v>
          </cell>
          <cell r="J13" t="str">
            <v>Singaraja</v>
          </cell>
          <cell r="K13" t="str">
            <v>Bali Nusra</v>
          </cell>
          <cell r="L13" t="str">
            <v xml:space="preserve">MON-SUN </v>
          </cell>
          <cell r="M13" t="str">
            <v>(08:00 - 22:00)</v>
          </cell>
          <cell r="N13">
            <v>0</v>
          </cell>
          <cell r="O13">
            <v>0</v>
          </cell>
          <cell r="P13">
            <v>0</v>
          </cell>
          <cell r="Q13">
            <v>840</v>
          </cell>
        </row>
        <row r="14">
          <cell r="B14" t="str">
            <v>00C9</v>
          </cell>
          <cell r="C14" t="str">
            <v>Muhammad Hidayatullah</v>
          </cell>
          <cell r="D14" t="str">
            <v>IDM Labuhan Lombok</v>
          </cell>
          <cell r="E14" t="str">
            <v>ADVANTAGE CAKRANEGARA</v>
          </cell>
          <cell r="F14">
            <v>2</v>
          </cell>
          <cell r="G14" t="str">
            <v>04-Denpasar</v>
          </cell>
          <cell r="H14" t="str">
            <v>B</v>
          </cell>
          <cell r="I14" t="str">
            <v>ATM</v>
          </cell>
          <cell r="J14" t="str">
            <v>Lombok Timur</v>
          </cell>
          <cell r="K14" t="str">
            <v>Bali Nusra</v>
          </cell>
          <cell r="L14" t="str">
            <v xml:space="preserve">MON-SUN </v>
          </cell>
          <cell r="M14" t="str">
            <v>(00:00 - 23:59)</v>
          </cell>
          <cell r="N14">
            <v>0</v>
          </cell>
          <cell r="O14">
            <v>0</v>
          </cell>
          <cell r="P14">
            <v>0</v>
          </cell>
          <cell r="Q14">
            <v>1440</v>
          </cell>
        </row>
        <row r="15">
          <cell r="B15" t="str">
            <v>00CH</v>
          </cell>
          <cell r="C15" t="str">
            <v>Eko Adi Sugiyantoro</v>
          </cell>
          <cell r="D15" t="str">
            <v>CK Munggu Tanah Lot</v>
          </cell>
          <cell r="E15" t="str">
            <v>ABACUS BALI</v>
          </cell>
          <cell r="F15">
            <v>1</v>
          </cell>
          <cell r="G15" t="str">
            <v>04-Denpasar</v>
          </cell>
          <cell r="H15" t="str">
            <v>B</v>
          </cell>
          <cell r="I15" t="str">
            <v>ATM</v>
          </cell>
          <cell r="J15" t="str">
            <v>Denpasar</v>
          </cell>
          <cell r="K15" t="str">
            <v>Bali Nusra</v>
          </cell>
          <cell r="L15" t="str">
            <v xml:space="preserve">MON-SUN </v>
          </cell>
          <cell r="M15" t="str">
            <v>(00:00 - 23:59)</v>
          </cell>
          <cell r="N15">
            <v>0</v>
          </cell>
          <cell r="O15">
            <v>0</v>
          </cell>
          <cell r="P15">
            <v>0</v>
          </cell>
          <cell r="Q15">
            <v>1440</v>
          </cell>
        </row>
        <row r="16">
          <cell r="B16" t="str">
            <v>00CZ</v>
          </cell>
          <cell r="C16" t="str">
            <v>Lalu Riswan Hadi</v>
          </cell>
          <cell r="D16" t="str">
            <v>Alfa Raya Beleka</v>
          </cell>
          <cell r="E16" t="str">
            <v>ADVANTAGE CAKRANEGARA</v>
          </cell>
          <cell r="F16">
            <v>1</v>
          </cell>
          <cell r="G16" t="str">
            <v>04-Denpasar</v>
          </cell>
          <cell r="H16" t="str">
            <v>B</v>
          </cell>
          <cell r="I16" t="str">
            <v>ATM</v>
          </cell>
          <cell r="J16" t="str">
            <v>Mataram</v>
          </cell>
          <cell r="K16" t="str">
            <v>Bali Nusra</v>
          </cell>
          <cell r="L16" t="str">
            <v xml:space="preserve">MON-SUN </v>
          </cell>
          <cell r="M16" t="str">
            <v>(00:00 - 23:59)</v>
          </cell>
          <cell r="N16">
            <v>0</v>
          </cell>
          <cell r="O16">
            <v>0</v>
          </cell>
          <cell r="P16">
            <v>0</v>
          </cell>
          <cell r="Q16">
            <v>1440</v>
          </cell>
        </row>
        <row r="17">
          <cell r="B17" t="str">
            <v>00D9</v>
          </cell>
          <cell r="C17" t="str">
            <v>Suhel Risdianto</v>
          </cell>
          <cell r="D17" t="str">
            <v>IDM Sebatu Gianyar</v>
          </cell>
          <cell r="E17" t="str">
            <v>ABACUS BALI</v>
          </cell>
          <cell r="F17">
            <v>2</v>
          </cell>
          <cell r="G17" t="str">
            <v>04-Denpasar</v>
          </cell>
          <cell r="H17" t="str">
            <v>B</v>
          </cell>
          <cell r="I17" t="str">
            <v>ATM</v>
          </cell>
          <cell r="J17" t="str">
            <v>Denpasar</v>
          </cell>
          <cell r="K17" t="str">
            <v>Bali Nusra</v>
          </cell>
          <cell r="L17" t="str">
            <v xml:space="preserve">MON-SUN </v>
          </cell>
          <cell r="M17" t="str">
            <v>(07:00 - 22:00)</v>
          </cell>
          <cell r="N17">
            <v>0</v>
          </cell>
          <cell r="O17">
            <v>0</v>
          </cell>
          <cell r="P17">
            <v>0</v>
          </cell>
          <cell r="Q17">
            <v>900</v>
          </cell>
        </row>
        <row r="18">
          <cell r="B18" t="str">
            <v>00DM</v>
          </cell>
          <cell r="C18" t="str">
            <v>Suhel Risdianto</v>
          </cell>
          <cell r="D18" t="str">
            <v>Alfa Segina Kertapura</v>
          </cell>
          <cell r="E18" t="str">
            <v>ABACUS BALI</v>
          </cell>
          <cell r="F18">
            <v>1</v>
          </cell>
          <cell r="G18" t="str">
            <v>04-Denpasar</v>
          </cell>
          <cell r="H18" t="str">
            <v>B</v>
          </cell>
          <cell r="I18" t="str">
            <v>ATM</v>
          </cell>
          <cell r="J18" t="str">
            <v>Denpasar</v>
          </cell>
          <cell r="K18" t="str">
            <v>Bali Nusra</v>
          </cell>
          <cell r="L18" t="str">
            <v xml:space="preserve">MON-SUN </v>
          </cell>
          <cell r="M18" t="str">
            <v>(00:00 - 23:59)</v>
          </cell>
          <cell r="N18">
            <v>0</v>
          </cell>
          <cell r="O18">
            <v>0</v>
          </cell>
          <cell r="P18">
            <v>0</v>
          </cell>
          <cell r="Q18">
            <v>1440</v>
          </cell>
        </row>
        <row r="19">
          <cell r="B19" t="str">
            <v>00DN</v>
          </cell>
          <cell r="C19" t="str">
            <v>Muhammad Rifki R</v>
          </cell>
          <cell r="D19" t="str">
            <v>Yamaha Sumbawa</v>
          </cell>
          <cell r="E19" t="str">
            <v>SSI SUMBAWA</v>
          </cell>
          <cell r="F19">
            <v>1</v>
          </cell>
          <cell r="G19" t="str">
            <v>04-Denpasar</v>
          </cell>
          <cell r="H19" t="str">
            <v>B</v>
          </cell>
          <cell r="I19" t="str">
            <v>ATM</v>
          </cell>
          <cell r="J19" t="str">
            <v>Sumbawa</v>
          </cell>
          <cell r="K19" t="str">
            <v>Bali Nusra</v>
          </cell>
          <cell r="L19" t="str">
            <v xml:space="preserve">MON-SUN </v>
          </cell>
          <cell r="M19" t="str">
            <v>(00:00 - 23:59)</v>
          </cell>
          <cell r="N19">
            <v>0</v>
          </cell>
          <cell r="O19">
            <v>0</v>
          </cell>
          <cell r="P19">
            <v>0</v>
          </cell>
          <cell r="Q19">
            <v>1440</v>
          </cell>
        </row>
        <row r="20">
          <cell r="B20" t="str">
            <v>00DP</v>
          </cell>
          <cell r="C20" t="str">
            <v>Lalu Riswan Hadi</v>
          </cell>
          <cell r="D20" t="str">
            <v>SPBU Pagutan</v>
          </cell>
          <cell r="E20" t="str">
            <v>ADVANTAGE CAKRANEGARA</v>
          </cell>
          <cell r="F20">
            <v>1</v>
          </cell>
          <cell r="G20" t="str">
            <v>04-Denpasar</v>
          </cell>
          <cell r="H20" t="str">
            <v>B</v>
          </cell>
          <cell r="I20" t="str">
            <v>ATM</v>
          </cell>
          <cell r="J20" t="str">
            <v>Mataram</v>
          </cell>
          <cell r="K20" t="str">
            <v>Bali Nusra</v>
          </cell>
          <cell r="L20" t="str">
            <v xml:space="preserve">MON-SUN </v>
          </cell>
          <cell r="M20" t="str">
            <v>(00:00 - 23:59)</v>
          </cell>
          <cell r="N20">
            <v>0</v>
          </cell>
          <cell r="O20">
            <v>0</v>
          </cell>
          <cell r="P20">
            <v>0</v>
          </cell>
          <cell r="Q20">
            <v>1440</v>
          </cell>
        </row>
        <row r="21">
          <cell r="B21" t="str">
            <v>00E2</v>
          </cell>
          <cell r="C21" t="str">
            <v>Eko Adi Sugiyantoro</v>
          </cell>
          <cell r="D21" t="str">
            <v>Shocked Dog Canggu</v>
          </cell>
          <cell r="E21" t="str">
            <v>ABACUS BALI</v>
          </cell>
          <cell r="F21">
            <v>1</v>
          </cell>
          <cell r="G21" t="str">
            <v>04-Denpasar</v>
          </cell>
          <cell r="H21" t="str">
            <v>B</v>
          </cell>
          <cell r="I21" t="str">
            <v>ATM</v>
          </cell>
          <cell r="J21" t="str">
            <v>Denpasar</v>
          </cell>
          <cell r="K21" t="str">
            <v>Bali Nusra</v>
          </cell>
          <cell r="L21" t="str">
            <v xml:space="preserve">MON-SUN </v>
          </cell>
          <cell r="M21" t="str">
            <v>(00:00 - 23:59)</v>
          </cell>
          <cell r="N21">
            <v>1</v>
          </cell>
          <cell r="O21">
            <v>23</v>
          </cell>
          <cell r="P21">
            <v>1.6</v>
          </cell>
          <cell r="Q21">
            <v>1440</v>
          </cell>
        </row>
        <row r="22">
          <cell r="B22" t="str">
            <v>00E3</v>
          </cell>
          <cell r="C22" t="str">
            <v>Revaldi Resha Wardhana</v>
          </cell>
          <cell r="D22" t="str">
            <v>CK Wangaya</v>
          </cell>
          <cell r="E22" t="str">
            <v>ABACUS BALI</v>
          </cell>
          <cell r="F22">
            <v>1</v>
          </cell>
          <cell r="G22" t="str">
            <v>04-Denpasar</v>
          </cell>
          <cell r="H22" t="str">
            <v>B</v>
          </cell>
          <cell r="I22" t="str">
            <v>ATM</v>
          </cell>
          <cell r="J22" t="str">
            <v>Denpasar</v>
          </cell>
          <cell r="K22" t="str">
            <v>Bali Nusra</v>
          </cell>
          <cell r="L22" t="str">
            <v xml:space="preserve">MON-SUN </v>
          </cell>
          <cell r="M22" t="str">
            <v>(00:00 - 23:59)</v>
          </cell>
          <cell r="N22">
            <v>0</v>
          </cell>
          <cell r="O22">
            <v>0</v>
          </cell>
          <cell r="P22">
            <v>0</v>
          </cell>
          <cell r="Q22">
            <v>1440</v>
          </cell>
        </row>
        <row r="23">
          <cell r="B23" t="str">
            <v>00E5</v>
          </cell>
          <cell r="C23" t="str">
            <v>Arif Rahman Hakim</v>
          </cell>
          <cell r="D23" t="str">
            <v>Pura Uluwatu</v>
          </cell>
          <cell r="E23" t="str">
            <v>ABACUS BALI</v>
          </cell>
          <cell r="F23">
            <v>1</v>
          </cell>
          <cell r="G23" t="str">
            <v>04-Denpasar</v>
          </cell>
          <cell r="H23" t="str">
            <v>B</v>
          </cell>
          <cell r="I23" t="str">
            <v>ATM</v>
          </cell>
          <cell r="J23" t="str">
            <v>Denpasar</v>
          </cell>
          <cell r="K23" t="str">
            <v>Bali Nusra</v>
          </cell>
          <cell r="L23" t="str">
            <v xml:space="preserve">MON-SUN </v>
          </cell>
          <cell r="M23" t="str">
            <v>(00:00 - 23:59)</v>
          </cell>
          <cell r="N23">
            <v>0</v>
          </cell>
          <cell r="O23">
            <v>0</v>
          </cell>
          <cell r="P23">
            <v>0</v>
          </cell>
          <cell r="Q23">
            <v>1440</v>
          </cell>
        </row>
        <row r="24">
          <cell r="B24" t="str">
            <v>00F5</v>
          </cell>
          <cell r="C24" t="str">
            <v>Suhel Risdianto</v>
          </cell>
          <cell r="D24" t="str">
            <v>Hotel The Mansion Ubud</v>
          </cell>
          <cell r="E24" t="str">
            <v>ABACUS BALI</v>
          </cell>
          <cell r="F24">
            <v>2</v>
          </cell>
          <cell r="G24" t="str">
            <v>04-Denpasar</v>
          </cell>
          <cell r="H24" t="str">
            <v>B</v>
          </cell>
          <cell r="I24" t="str">
            <v>ATM</v>
          </cell>
          <cell r="J24" t="str">
            <v>Denpasar</v>
          </cell>
          <cell r="K24" t="str">
            <v>Bali Nusra</v>
          </cell>
          <cell r="L24" t="str">
            <v xml:space="preserve">MON-SUN </v>
          </cell>
          <cell r="M24" t="str">
            <v>(00:00 - 23:59)</v>
          </cell>
          <cell r="N24">
            <v>0</v>
          </cell>
          <cell r="O24">
            <v>0</v>
          </cell>
          <cell r="P24">
            <v>0</v>
          </cell>
          <cell r="Q24">
            <v>1440</v>
          </cell>
        </row>
        <row r="25">
          <cell r="B25" t="str">
            <v>00FR</v>
          </cell>
          <cell r="C25" t="str">
            <v>Farozan Ali Fahmi</v>
          </cell>
          <cell r="D25" t="str">
            <v>Alfa Penatih Dangin Puri</v>
          </cell>
          <cell r="E25" t="str">
            <v>ABACUS BALI</v>
          </cell>
          <cell r="F25">
            <v>1</v>
          </cell>
          <cell r="G25" t="str">
            <v>04-Denpasar</v>
          </cell>
          <cell r="H25" t="str">
            <v>B</v>
          </cell>
          <cell r="I25" t="str">
            <v>ATM</v>
          </cell>
          <cell r="J25" t="str">
            <v>Denpasar</v>
          </cell>
          <cell r="K25" t="str">
            <v>Bali Nusra</v>
          </cell>
          <cell r="L25" t="str">
            <v xml:space="preserve">MON-SUN </v>
          </cell>
          <cell r="M25" t="str">
            <v>(07:00 - 22:00)</v>
          </cell>
          <cell r="N25">
            <v>0</v>
          </cell>
          <cell r="O25">
            <v>0</v>
          </cell>
          <cell r="P25">
            <v>0</v>
          </cell>
          <cell r="Q25">
            <v>900</v>
          </cell>
        </row>
        <row r="26">
          <cell r="B26" t="str">
            <v>00FT</v>
          </cell>
          <cell r="C26" t="str">
            <v>Farozan Ali Fahmi</v>
          </cell>
          <cell r="D26" t="str">
            <v>IDM Lodtunduh</v>
          </cell>
          <cell r="E26" t="str">
            <v>ABACUS BALI</v>
          </cell>
          <cell r="F26">
            <v>1</v>
          </cell>
          <cell r="G26" t="str">
            <v>04-Denpasar</v>
          </cell>
          <cell r="H26" t="str">
            <v>B</v>
          </cell>
          <cell r="I26" t="str">
            <v>ATM</v>
          </cell>
          <cell r="J26" t="str">
            <v>Denpasar</v>
          </cell>
          <cell r="K26" t="str">
            <v>Bali Nusra</v>
          </cell>
          <cell r="L26" t="str">
            <v xml:space="preserve">MON-SUN </v>
          </cell>
          <cell r="M26" t="str">
            <v>(07:00 - 22:00)</v>
          </cell>
          <cell r="N26">
            <v>0</v>
          </cell>
          <cell r="O26">
            <v>0</v>
          </cell>
          <cell r="P26">
            <v>0</v>
          </cell>
          <cell r="Q26">
            <v>900</v>
          </cell>
        </row>
        <row r="27">
          <cell r="B27" t="str">
            <v>00FU</v>
          </cell>
          <cell r="C27" t="str">
            <v>Alparizi</v>
          </cell>
          <cell r="D27" t="str">
            <v>Kantor OJK NTB</v>
          </cell>
          <cell r="E27" t="str">
            <v>ADVANTAGE CAKRANEGARA</v>
          </cell>
          <cell r="F27">
            <v>1</v>
          </cell>
          <cell r="G27" t="str">
            <v>04-Denpasar</v>
          </cell>
          <cell r="H27" t="str">
            <v>B</v>
          </cell>
          <cell r="I27" t="str">
            <v>ATM</v>
          </cell>
          <cell r="J27" t="str">
            <v>Mataram</v>
          </cell>
          <cell r="K27" t="str">
            <v>Bali Nusra</v>
          </cell>
          <cell r="L27" t="str">
            <v xml:space="preserve">MON-SUN </v>
          </cell>
          <cell r="M27" t="str">
            <v>(07:00 - 22:00)</v>
          </cell>
          <cell r="N27">
            <v>0</v>
          </cell>
          <cell r="O27">
            <v>0</v>
          </cell>
          <cell r="P27">
            <v>0</v>
          </cell>
          <cell r="Q27">
            <v>900</v>
          </cell>
        </row>
        <row r="28">
          <cell r="B28" t="str">
            <v>00H1</v>
          </cell>
          <cell r="C28" t="str">
            <v>Arif Rahman Hakim</v>
          </cell>
          <cell r="D28" t="str">
            <v>The Apurva Kempinski</v>
          </cell>
          <cell r="E28" t="str">
            <v>ABACUS BALI</v>
          </cell>
          <cell r="F28">
            <v>1</v>
          </cell>
          <cell r="G28" t="str">
            <v>04-Denpasar</v>
          </cell>
          <cell r="H28" t="str">
            <v>B</v>
          </cell>
          <cell r="I28" t="str">
            <v>ATM</v>
          </cell>
          <cell r="J28" t="str">
            <v>Denpasar</v>
          </cell>
          <cell r="K28" t="str">
            <v>Bali Nusra</v>
          </cell>
          <cell r="L28" t="str">
            <v xml:space="preserve">MON-SUN </v>
          </cell>
          <cell r="M28" t="str">
            <v>(00:00 - 23:59)</v>
          </cell>
          <cell r="N28">
            <v>0</v>
          </cell>
          <cell r="O28">
            <v>0</v>
          </cell>
          <cell r="P28">
            <v>0</v>
          </cell>
          <cell r="Q28">
            <v>1440</v>
          </cell>
        </row>
        <row r="29">
          <cell r="B29" t="str">
            <v>00H8</v>
          </cell>
          <cell r="C29" t="str">
            <v>Arif Rahman Hakim</v>
          </cell>
          <cell r="D29" t="str">
            <v>CK Pecatu Utara</v>
          </cell>
          <cell r="E29" t="str">
            <v>ABACUS BALI</v>
          </cell>
          <cell r="F29">
            <v>1</v>
          </cell>
          <cell r="G29" t="str">
            <v>04-Denpasar</v>
          </cell>
          <cell r="H29" t="str">
            <v>B</v>
          </cell>
          <cell r="I29" t="str">
            <v>ATM</v>
          </cell>
          <cell r="J29" t="str">
            <v>Denpasar</v>
          </cell>
          <cell r="K29" t="str">
            <v>Bali Nusra</v>
          </cell>
          <cell r="L29" t="str">
            <v xml:space="preserve">MON-SUN </v>
          </cell>
          <cell r="M29" t="str">
            <v>(00:00 - 23:59)</v>
          </cell>
          <cell r="N29">
            <v>0</v>
          </cell>
          <cell r="O29">
            <v>0</v>
          </cell>
          <cell r="P29">
            <v>0</v>
          </cell>
          <cell r="Q29">
            <v>1440</v>
          </cell>
        </row>
        <row r="30">
          <cell r="B30" t="str">
            <v>00H9</v>
          </cell>
          <cell r="C30" t="str">
            <v>Eko Adi Sugiyantoro</v>
          </cell>
          <cell r="D30" t="str">
            <v>CK Kapal Badung</v>
          </cell>
          <cell r="E30" t="str">
            <v>ABACUS BALI</v>
          </cell>
          <cell r="F30">
            <v>1</v>
          </cell>
          <cell r="G30" t="str">
            <v>04-Denpasar</v>
          </cell>
          <cell r="H30" t="str">
            <v>B</v>
          </cell>
          <cell r="I30" t="str">
            <v>ATM</v>
          </cell>
          <cell r="J30" t="str">
            <v>Denpasar</v>
          </cell>
          <cell r="K30" t="str">
            <v>Bali Nusra</v>
          </cell>
          <cell r="L30" t="str">
            <v xml:space="preserve">MON-SUN </v>
          </cell>
          <cell r="M30" t="str">
            <v>(00:00 - 23:59)</v>
          </cell>
          <cell r="N30">
            <v>1</v>
          </cell>
          <cell r="O30">
            <v>23</v>
          </cell>
          <cell r="P30">
            <v>1.6</v>
          </cell>
          <cell r="Q30">
            <v>1440</v>
          </cell>
        </row>
        <row r="31">
          <cell r="B31" t="str">
            <v>00HC</v>
          </cell>
          <cell r="C31" t="str">
            <v>Yunarius Raynold Gege</v>
          </cell>
          <cell r="D31" t="str">
            <v>Alfa Pasir Panjang</v>
          </cell>
          <cell r="E31" t="str">
            <v>ADVANTAGE KUPANG</v>
          </cell>
          <cell r="F31">
            <v>1</v>
          </cell>
          <cell r="G31" t="str">
            <v>04-Denpasar</v>
          </cell>
          <cell r="H31" t="str">
            <v>B</v>
          </cell>
          <cell r="I31" t="str">
            <v>ATM</v>
          </cell>
          <cell r="J31" t="str">
            <v>Kupang</v>
          </cell>
          <cell r="K31" t="str">
            <v>Bali Nusra</v>
          </cell>
          <cell r="L31" t="str">
            <v xml:space="preserve">MON-SUN </v>
          </cell>
          <cell r="M31" t="str">
            <v>(00:00 - 23:59)</v>
          </cell>
          <cell r="N31">
            <v>0</v>
          </cell>
          <cell r="O31">
            <v>0</v>
          </cell>
          <cell r="P31">
            <v>0</v>
          </cell>
          <cell r="Q31">
            <v>1440</v>
          </cell>
        </row>
        <row r="32">
          <cell r="B32" t="str">
            <v>00JK</v>
          </cell>
          <cell r="C32" t="str">
            <v>I Putu Dendy Pratama</v>
          </cell>
          <cell r="D32" t="str">
            <v>Beachwalk</v>
          </cell>
          <cell r="E32" t="str">
            <v>ABACUS BALI</v>
          </cell>
          <cell r="F32">
            <v>1</v>
          </cell>
          <cell r="G32" t="str">
            <v>04-Denpasar</v>
          </cell>
          <cell r="H32" t="str">
            <v>B</v>
          </cell>
          <cell r="I32" t="str">
            <v>ATM</v>
          </cell>
          <cell r="J32" t="str">
            <v>Denpasar</v>
          </cell>
          <cell r="K32" t="str">
            <v>Bali Nusra</v>
          </cell>
          <cell r="L32" t="str">
            <v xml:space="preserve">MON-SUN </v>
          </cell>
          <cell r="M32" t="str">
            <v>(09:00 - 22:00)</v>
          </cell>
          <cell r="N32">
            <v>0</v>
          </cell>
          <cell r="O32">
            <v>0</v>
          </cell>
          <cell r="P32">
            <v>0</v>
          </cell>
          <cell r="Q32">
            <v>780</v>
          </cell>
        </row>
        <row r="33">
          <cell r="B33" t="str">
            <v>00JN</v>
          </cell>
          <cell r="C33" t="str">
            <v>Farozan Ali Fahmi</v>
          </cell>
          <cell r="D33" t="str">
            <v>Gogo Sedap Malam</v>
          </cell>
          <cell r="E33" t="str">
            <v>ANDALAN BALI</v>
          </cell>
          <cell r="F33">
            <v>1</v>
          </cell>
          <cell r="G33" t="str">
            <v>04-Denpasar</v>
          </cell>
          <cell r="H33" t="str">
            <v>B</v>
          </cell>
          <cell r="I33" t="str">
            <v>ATM</v>
          </cell>
          <cell r="J33" t="str">
            <v>Denpasar</v>
          </cell>
          <cell r="K33" t="str">
            <v>Bali Nusra</v>
          </cell>
          <cell r="L33" t="str">
            <v xml:space="preserve">MON-SUN </v>
          </cell>
          <cell r="M33" t="str">
            <v>(00:00 - 23:59)</v>
          </cell>
          <cell r="N33">
            <v>0</v>
          </cell>
          <cell r="O33">
            <v>0</v>
          </cell>
          <cell r="P33">
            <v>0</v>
          </cell>
          <cell r="Q33">
            <v>1440</v>
          </cell>
        </row>
        <row r="34">
          <cell r="B34" t="str">
            <v>00JP</v>
          </cell>
          <cell r="C34" t="str">
            <v>Farozan Ali Fahmi</v>
          </cell>
          <cell r="D34" t="str">
            <v>Toko Wisma Tani Gelgel</v>
          </cell>
          <cell r="E34" t="str">
            <v>ABACUS BALI</v>
          </cell>
          <cell r="F34">
            <v>2</v>
          </cell>
          <cell r="G34" t="str">
            <v>04-Denpasar</v>
          </cell>
          <cell r="H34" t="str">
            <v>B</v>
          </cell>
          <cell r="I34" t="str">
            <v>ATM</v>
          </cell>
          <cell r="J34" t="str">
            <v>Denpasar</v>
          </cell>
          <cell r="K34" t="str">
            <v>Bali Nusra</v>
          </cell>
          <cell r="L34" t="str">
            <v xml:space="preserve">MON-SUN </v>
          </cell>
          <cell r="M34" t="str">
            <v>(00:00 - 23:59)</v>
          </cell>
          <cell r="N34">
            <v>0</v>
          </cell>
          <cell r="O34">
            <v>0</v>
          </cell>
          <cell r="P34">
            <v>0</v>
          </cell>
          <cell r="Q34">
            <v>1440</v>
          </cell>
        </row>
        <row r="35">
          <cell r="B35" t="str">
            <v>00KJ</v>
          </cell>
          <cell r="C35" t="str">
            <v>Farozan Ali Fahmi</v>
          </cell>
          <cell r="D35" t="str">
            <v>Alfa Merdeka Bangli</v>
          </cell>
          <cell r="E35" t="str">
            <v>ABACUS BALI</v>
          </cell>
          <cell r="F35">
            <v>2</v>
          </cell>
          <cell r="G35" t="str">
            <v>04-Denpasar</v>
          </cell>
          <cell r="H35" t="str">
            <v>B</v>
          </cell>
          <cell r="I35" t="str">
            <v>ATM</v>
          </cell>
          <cell r="J35" t="str">
            <v>Denpasar</v>
          </cell>
          <cell r="K35" t="str">
            <v>Bali Nusra</v>
          </cell>
          <cell r="L35" t="str">
            <v xml:space="preserve">MON-SUN </v>
          </cell>
          <cell r="M35" t="str">
            <v>(07:00 - 22:00)</v>
          </cell>
          <cell r="N35">
            <v>0</v>
          </cell>
          <cell r="O35">
            <v>0</v>
          </cell>
          <cell r="P35">
            <v>0</v>
          </cell>
          <cell r="Q35">
            <v>900</v>
          </cell>
        </row>
        <row r="36">
          <cell r="B36" t="str">
            <v>00KK</v>
          </cell>
          <cell r="C36" t="str">
            <v>Rio Erdiansyah</v>
          </cell>
          <cell r="D36" t="str">
            <v>CK Saras Bedugul</v>
          </cell>
          <cell r="E36" t="str">
            <v>ABACUS BALI</v>
          </cell>
          <cell r="F36">
            <v>2</v>
          </cell>
          <cell r="G36" t="str">
            <v>04-Denpasar</v>
          </cell>
          <cell r="H36" t="str">
            <v>B</v>
          </cell>
          <cell r="I36" t="str">
            <v>ATM</v>
          </cell>
          <cell r="J36" t="str">
            <v>Singaraja</v>
          </cell>
          <cell r="K36" t="str">
            <v>Bali Nusra</v>
          </cell>
          <cell r="L36" t="str">
            <v xml:space="preserve">MON-SUN </v>
          </cell>
          <cell r="M36" t="str">
            <v>(00:00 - 23:59)</v>
          </cell>
          <cell r="N36">
            <v>0</v>
          </cell>
          <cell r="O36">
            <v>0</v>
          </cell>
          <cell r="P36">
            <v>0</v>
          </cell>
          <cell r="Q36">
            <v>1440</v>
          </cell>
        </row>
        <row r="37">
          <cell r="B37" t="str">
            <v>00KL</v>
          </cell>
          <cell r="C37" t="str">
            <v>Revaldi Resha Wardhana</v>
          </cell>
          <cell r="D37" t="str">
            <v>Sari Limo Antasura</v>
          </cell>
          <cell r="E37" t="str">
            <v>ABACUS BALI</v>
          </cell>
          <cell r="F37">
            <v>1</v>
          </cell>
          <cell r="G37" t="str">
            <v>04-Denpasar</v>
          </cell>
          <cell r="H37" t="str">
            <v>B</v>
          </cell>
          <cell r="I37" t="str">
            <v>ATM</v>
          </cell>
          <cell r="J37" t="str">
            <v>Denpasar</v>
          </cell>
          <cell r="K37" t="str">
            <v>Bali Nusra</v>
          </cell>
          <cell r="L37" t="str">
            <v xml:space="preserve">MON-SUN </v>
          </cell>
          <cell r="M37" t="str">
            <v>(00:00 - 23:59)</v>
          </cell>
          <cell r="N37">
            <v>0</v>
          </cell>
          <cell r="O37">
            <v>0</v>
          </cell>
          <cell r="P37">
            <v>0</v>
          </cell>
          <cell r="Q37">
            <v>1440</v>
          </cell>
        </row>
        <row r="38">
          <cell r="B38" t="str">
            <v>00KP</v>
          </cell>
          <cell r="C38" t="str">
            <v>Farozan Ali Fahmi</v>
          </cell>
          <cell r="D38" t="str">
            <v>IDM Geopark Kintamani</v>
          </cell>
          <cell r="E38" t="str">
            <v>ABACUS BALI</v>
          </cell>
          <cell r="F38">
            <v>2</v>
          </cell>
          <cell r="G38" t="str">
            <v>04-Denpasar</v>
          </cell>
          <cell r="H38" t="str">
            <v>B</v>
          </cell>
          <cell r="I38" t="str">
            <v>ATM</v>
          </cell>
          <cell r="J38" t="str">
            <v>Denpasar</v>
          </cell>
          <cell r="K38" t="str">
            <v>Bali Nusra</v>
          </cell>
          <cell r="L38" t="str">
            <v xml:space="preserve">MON-SUN </v>
          </cell>
          <cell r="M38" t="str">
            <v>(07:00 - 21:00)</v>
          </cell>
          <cell r="N38">
            <v>0</v>
          </cell>
          <cell r="O38">
            <v>0</v>
          </cell>
          <cell r="P38">
            <v>0</v>
          </cell>
          <cell r="Q38">
            <v>840</v>
          </cell>
        </row>
        <row r="39">
          <cell r="B39" t="str">
            <v>00LT</v>
          </cell>
          <cell r="C39" t="str">
            <v>Muhammad Gufron Sofyan</v>
          </cell>
          <cell r="D39" t="str">
            <v>Toko Harapan Jaya</v>
          </cell>
          <cell r="E39" t="str">
            <v>ABACUS BALI</v>
          </cell>
          <cell r="F39">
            <v>2</v>
          </cell>
          <cell r="G39" t="str">
            <v>04-Denpasar</v>
          </cell>
          <cell r="H39" t="str">
            <v>B</v>
          </cell>
          <cell r="I39" t="str">
            <v>ATM</v>
          </cell>
          <cell r="J39" t="str">
            <v>Negara</v>
          </cell>
          <cell r="K39" t="str">
            <v>Bali Nusra</v>
          </cell>
          <cell r="L39" t="str">
            <v xml:space="preserve">MON-SUN </v>
          </cell>
          <cell r="M39" t="str">
            <v>(00:00 - 23:59)</v>
          </cell>
          <cell r="N39">
            <v>0</v>
          </cell>
          <cell r="O39">
            <v>0</v>
          </cell>
          <cell r="P39">
            <v>0</v>
          </cell>
          <cell r="Q39">
            <v>1440</v>
          </cell>
        </row>
        <row r="40">
          <cell r="B40" t="str">
            <v>00M6</v>
          </cell>
          <cell r="C40" t="str">
            <v>Leonardo A Ruly</v>
          </cell>
          <cell r="D40" t="str">
            <v>Tiara Mart</v>
          </cell>
          <cell r="E40" t="str">
            <v>ADVANTAGE KUPANG</v>
          </cell>
          <cell r="F40">
            <v>1</v>
          </cell>
          <cell r="G40" t="str">
            <v>04-Denpasar</v>
          </cell>
          <cell r="H40" t="str">
            <v>B</v>
          </cell>
          <cell r="I40" t="str">
            <v>ATM</v>
          </cell>
          <cell r="J40" t="str">
            <v>Kupang</v>
          </cell>
          <cell r="K40" t="str">
            <v>Bali Nusra</v>
          </cell>
          <cell r="L40" t="str">
            <v xml:space="preserve">MON-SUN </v>
          </cell>
          <cell r="M40" t="str">
            <v>(00:00 - 23:59)</v>
          </cell>
          <cell r="N40">
            <v>0</v>
          </cell>
          <cell r="O40">
            <v>0</v>
          </cell>
          <cell r="P40">
            <v>0</v>
          </cell>
          <cell r="Q40">
            <v>1440</v>
          </cell>
        </row>
        <row r="41">
          <cell r="B41" t="str">
            <v>00N4</v>
          </cell>
          <cell r="C41" t="str">
            <v>I Putu Dendy Pratama</v>
          </cell>
          <cell r="D41" t="str">
            <v>SPBU Dewi Sri</v>
          </cell>
          <cell r="E41" t="str">
            <v>ABACUS BALI</v>
          </cell>
          <cell r="F41">
            <v>1</v>
          </cell>
          <cell r="G41" t="str">
            <v>04-Denpasar</v>
          </cell>
          <cell r="H41" t="str">
            <v>B</v>
          </cell>
          <cell r="I41" t="str">
            <v>ATM</v>
          </cell>
          <cell r="J41" t="str">
            <v>Denpasar</v>
          </cell>
          <cell r="K41" t="str">
            <v>Bali Nusra</v>
          </cell>
          <cell r="L41" t="str">
            <v xml:space="preserve">MON-SUN </v>
          </cell>
          <cell r="M41" t="str">
            <v>(00:00 - 23:59)</v>
          </cell>
          <cell r="N41">
            <v>0</v>
          </cell>
          <cell r="O41">
            <v>0</v>
          </cell>
          <cell r="P41">
            <v>0</v>
          </cell>
          <cell r="Q41">
            <v>1440</v>
          </cell>
        </row>
        <row r="42">
          <cell r="B42" t="str">
            <v>00R1</v>
          </cell>
          <cell r="C42" t="str">
            <v>Alparizi</v>
          </cell>
          <cell r="D42" t="str">
            <v>IDM Pemuda Mataram</v>
          </cell>
          <cell r="E42" t="str">
            <v>ADVANTAGE CAKRANEGARA</v>
          </cell>
          <cell r="F42">
            <v>1</v>
          </cell>
          <cell r="G42" t="str">
            <v>04-Denpasar</v>
          </cell>
          <cell r="H42" t="str">
            <v>B</v>
          </cell>
          <cell r="I42" t="str">
            <v>ATM</v>
          </cell>
          <cell r="J42" t="str">
            <v>Mataram</v>
          </cell>
          <cell r="K42" t="str">
            <v>Bali Nusra</v>
          </cell>
          <cell r="L42" t="str">
            <v xml:space="preserve">MON-SUN </v>
          </cell>
          <cell r="M42" t="str">
            <v>(06:00 - 23:00)</v>
          </cell>
          <cell r="N42">
            <v>0</v>
          </cell>
          <cell r="O42">
            <v>0</v>
          </cell>
          <cell r="P42">
            <v>0</v>
          </cell>
          <cell r="Q42">
            <v>1020</v>
          </cell>
        </row>
        <row r="43">
          <cell r="B43" t="str">
            <v>00R9</v>
          </cell>
          <cell r="C43" t="str">
            <v>Muhammad Hidayatullah</v>
          </cell>
          <cell r="D43" t="str">
            <v>SPBU Sakra</v>
          </cell>
          <cell r="E43" t="str">
            <v>ADVANTAGE CAKRANEGARA</v>
          </cell>
          <cell r="F43">
            <v>1</v>
          </cell>
          <cell r="G43" t="str">
            <v>04-Denpasar</v>
          </cell>
          <cell r="H43" t="str">
            <v>B</v>
          </cell>
          <cell r="I43" t="str">
            <v>ATM</v>
          </cell>
          <cell r="J43" t="str">
            <v>Lombok Timur</v>
          </cell>
          <cell r="K43" t="str">
            <v>Bali Nusra</v>
          </cell>
          <cell r="L43" t="str">
            <v xml:space="preserve">MON-SUN </v>
          </cell>
          <cell r="M43" t="str">
            <v>(00:00 - 23:59)</v>
          </cell>
          <cell r="N43">
            <v>0</v>
          </cell>
          <cell r="O43">
            <v>0</v>
          </cell>
          <cell r="P43">
            <v>0</v>
          </cell>
          <cell r="Q43">
            <v>1440</v>
          </cell>
        </row>
        <row r="44">
          <cell r="B44" t="str">
            <v>00RF</v>
          </cell>
          <cell r="C44" t="str">
            <v>Muhammad Ngainun Najib</v>
          </cell>
          <cell r="D44" t="str">
            <v>Bandara Ngurah Rai Bali</v>
          </cell>
          <cell r="E44" t="str">
            <v>ABACUS BALI</v>
          </cell>
          <cell r="F44">
            <v>1</v>
          </cell>
          <cell r="G44" t="str">
            <v>04-Denpasar</v>
          </cell>
          <cell r="H44" t="str">
            <v>B</v>
          </cell>
          <cell r="I44" t="str">
            <v>ATM</v>
          </cell>
          <cell r="J44" t="str">
            <v>Denpasar</v>
          </cell>
          <cell r="K44" t="str">
            <v>Bali Nusra</v>
          </cell>
          <cell r="L44" t="str">
            <v xml:space="preserve">MON-SUN </v>
          </cell>
          <cell r="M44" t="str">
            <v>(00:00 - 23:59)</v>
          </cell>
          <cell r="N44">
            <v>1</v>
          </cell>
          <cell r="O44">
            <v>55</v>
          </cell>
          <cell r="P44">
            <v>3.82</v>
          </cell>
          <cell r="Q44">
            <v>1440</v>
          </cell>
        </row>
        <row r="45">
          <cell r="B45" t="str">
            <v>00RN</v>
          </cell>
          <cell r="C45" t="str">
            <v>Yohanes Yeximus Tritanto</v>
          </cell>
          <cell r="D45" t="str">
            <v>Kado Bajo</v>
          </cell>
          <cell r="E45" t="str">
            <v>KUPANG</v>
          </cell>
          <cell r="F45">
            <v>1</v>
          </cell>
          <cell r="G45" t="str">
            <v>04-Denpasar</v>
          </cell>
          <cell r="H45" t="str">
            <v>B</v>
          </cell>
          <cell r="I45" t="str">
            <v>ATM</v>
          </cell>
          <cell r="J45" t="str">
            <v>Ende</v>
          </cell>
          <cell r="K45" t="str">
            <v>Bali Nusra</v>
          </cell>
          <cell r="L45" t="str">
            <v xml:space="preserve">MON-SUN </v>
          </cell>
          <cell r="M45" t="str">
            <v>(00:00 - 23:59)</v>
          </cell>
          <cell r="N45">
            <v>0</v>
          </cell>
          <cell r="O45">
            <v>0</v>
          </cell>
          <cell r="P45">
            <v>0</v>
          </cell>
          <cell r="Q45">
            <v>1440</v>
          </cell>
        </row>
        <row r="46">
          <cell r="B46" t="str">
            <v>00RR</v>
          </cell>
          <cell r="C46" t="str">
            <v>Muhammad Ngainun Najib</v>
          </cell>
          <cell r="D46" t="str">
            <v>Park23</v>
          </cell>
          <cell r="E46" t="str">
            <v>ABACUS BALI</v>
          </cell>
          <cell r="F46">
            <v>1</v>
          </cell>
          <cell r="G46" t="str">
            <v>04-Denpasar</v>
          </cell>
          <cell r="H46" t="str">
            <v>B</v>
          </cell>
          <cell r="I46" t="str">
            <v>ATM</v>
          </cell>
          <cell r="J46" t="str">
            <v>Denpasar</v>
          </cell>
          <cell r="K46" t="str">
            <v>Bali Nusra</v>
          </cell>
          <cell r="L46" t="str">
            <v xml:space="preserve">MON-SUN </v>
          </cell>
          <cell r="M46" t="str">
            <v>(00:00 - 23:59)</v>
          </cell>
          <cell r="N46">
            <v>0</v>
          </cell>
          <cell r="O46">
            <v>0</v>
          </cell>
          <cell r="P46">
            <v>0</v>
          </cell>
          <cell r="Q46">
            <v>1440</v>
          </cell>
        </row>
        <row r="47">
          <cell r="B47" t="str">
            <v>00T3</v>
          </cell>
          <cell r="C47" t="str">
            <v>Eko Adi Sugiyantoro</v>
          </cell>
          <cell r="D47" t="str">
            <v>CK Pererenan</v>
          </cell>
          <cell r="E47" t="str">
            <v>ABACUS BALI</v>
          </cell>
          <cell r="F47">
            <v>1</v>
          </cell>
          <cell r="G47" t="str">
            <v>04-Denpasar</v>
          </cell>
          <cell r="H47" t="str">
            <v>B</v>
          </cell>
          <cell r="I47" t="str">
            <v>ATM</v>
          </cell>
          <cell r="J47" t="str">
            <v>Denpasar</v>
          </cell>
          <cell r="K47" t="str">
            <v>Bali Nusra</v>
          </cell>
          <cell r="L47" t="str">
            <v xml:space="preserve">MON-SUN </v>
          </cell>
          <cell r="M47" t="str">
            <v>(00:00 - 23:59)</v>
          </cell>
          <cell r="N47">
            <v>0</v>
          </cell>
          <cell r="O47">
            <v>0</v>
          </cell>
          <cell r="P47">
            <v>0</v>
          </cell>
          <cell r="Q47">
            <v>1440</v>
          </cell>
        </row>
        <row r="48">
          <cell r="B48" t="str">
            <v>00T4</v>
          </cell>
          <cell r="C48" t="str">
            <v>Bambang Yuniarko</v>
          </cell>
          <cell r="D48" t="str">
            <v>CK Renon 2 Bal 0294</v>
          </cell>
          <cell r="E48" t="str">
            <v>ANDALAN BALI</v>
          </cell>
          <cell r="F48">
            <v>1</v>
          </cell>
          <cell r="G48" t="str">
            <v>04-Denpasar</v>
          </cell>
          <cell r="H48" t="str">
            <v>B</v>
          </cell>
          <cell r="I48" t="str">
            <v>ATM</v>
          </cell>
          <cell r="J48" t="str">
            <v>Denpasar</v>
          </cell>
          <cell r="K48" t="str">
            <v>Bali Nusra</v>
          </cell>
          <cell r="L48" t="str">
            <v xml:space="preserve">MON-SUN </v>
          </cell>
          <cell r="M48" t="str">
            <v>(00:00 - 23:59)</v>
          </cell>
          <cell r="N48">
            <v>0</v>
          </cell>
          <cell r="O48">
            <v>0</v>
          </cell>
          <cell r="P48">
            <v>0</v>
          </cell>
          <cell r="Q48">
            <v>1440</v>
          </cell>
        </row>
        <row r="49">
          <cell r="B49" t="str">
            <v>00TM</v>
          </cell>
          <cell r="C49" t="str">
            <v>Rio Erdiansyah</v>
          </cell>
          <cell r="D49" t="str">
            <v>IDM Kaliuntu</v>
          </cell>
          <cell r="E49" t="str">
            <v>ABACUS BALI</v>
          </cell>
          <cell r="F49">
            <v>1</v>
          </cell>
          <cell r="G49" t="str">
            <v>04-Denpasar</v>
          </cell>
          <cell r="H49" t="str">
            <v>B</v>
          </cell>
          <cell r="I49" t="str">
            <v>ATM</v>
          </cell>
          <cell r="J49" t="str">
            <v>Singaraja</v>
          </cell>
          <cell r="K49" t="str">
            <v>Bali Nusra</v>
          </cell>
          <cell r="L49" t="str">
            <v xml:space="preserve">MON-SUN </v>
          </cell>
          <cell r="M49" t="str">
            <v>(00:00 - 23:59)</v>
          </cell>
          <cell r="N49">
            <v>0</v>
          </cell>
          <cell r="O49">
            <v>0</v>
          </cell>
          <cell r="P49">
            <v>0</v>
          </cell>
          <cell r="Q49">
            <v>1440</v>
          </cell>
        </row>
        <row r="50">
          <cell r="B50" t="str">
            <v>00TR</v>
          </cell>
          <cell r="C50" t="str">
            <v>Farozan Ali Fahmi</v>
          </cell>
          <cell r="D50" t="str">
            <v>Alfa Hangtuah Barat</v>
          </cell>
          <cell r="E50" t="str">
            <v>ANDALAN BALI</v>
          </cell>
          <cell r="F50">
            <v>1</v>
          </cell>
          <cell r="G50" t="str">
            <v>04-Denpasar</v>
          </cell>
          <cell r="H50" t="str">
            <v>B</v>
          </cell>
          <cell r="I50" t="str">
            <v>ATM</v>
          </cell>
          <cell r="J50" t="str">
            <v>Denpasar</v>
          </cell>
          <cell r="K50" t="str">
            <v>Bali Nusra</v>
          </cell>
          <cell r="L50" t="str">
            <v xml:space="preserve">MON-SUN </v>
          </cell>
          <cell r="M50" t="str">
            <v>(00:00 - 23:59)</v>
          </cell>
          <cell r="N50">
            <v>0</v>
          </cell>
          <cell r="O50">
            <v>0</v>
          </cell>
          <cell r="P50">
            <v>0</v>
          </cell>
          <cell r="Q50">
            <v>1440</v>
          </cell>
        </row>
        <row r="51">
          <cell r="B51" t="str">
            <v>00TY</v>
          </cell>
          <cell r="C51" t="str">
            <v>Eko Adi Sugiyantoro</v>
          </cell>
          <cell r="D51" t="str">
            <v>Coco Mart Sanggulan</v>
          </cell>
          <cell r="E51" t="str">
            <v>ABACUS BALI</v>
          </cell>
          <cell r="F51">
            <v>1</v>
          </cell>
          <cell r="G51" t="str">
            <v>04-Denpasar</v>
          </cell>
          <cell r="H51" t="str">
            <v>B</v>
          </cell>
          <cell r="I51" t="str">
            <v>ATM</v>
          </cell>
          <cell r="J51" t="str">
            <v>Denpasar</v>
          </cell>
          <cell r="K51" t="str">
            <v>Bali Nusra</v>
          </cell>
          <cell r="L51" t="str">
            <v xml:space="preserve">MON-SUN </v>
          </cell>
          <cell r="M51" t="str">
            <v>(00:00 - 23:59)</v>
          </cell>
          <cell r="N51">
            <v>0</v>
          </cell>
          <cell r="O51">
            <v>0</v>
          </cell>
          <cell r="P51">
            <v>0</v>
          </cell>
          <cell r="Q51">
            <v>1440</v>
          </cell>
        </row>
        <row r="52">
          <cell r="B52" t="str">
            <v>00TZ</v>
          </cell>
          <cell r="C52" t="str">
            <v>Suhel Risdianto</v>
          </cell>
          <cell r="D52" t="str">
            <v>Crystal Mart Lempuyang</v>
          </cell>
          <cell r="E52" t="str">
            <v>ABACUS BALI</v>
          </cell>
          <cell r="F52">
            <v>1</v>
          </cell>
          <cell r="G52" t="str">
            <v>04-Denpasar</v>
          </cell>
          <cell r="H52" t="str">
            <v>B</v>
          </cell>
          <cell r="I52" t="str">
            <v>ATM</v>
          </cell>
          <cell r="J52" t="str">
            <v>Denpasar</v>
          </cell>
          <cell r="K52" t="str">
            <v>Bali Nusra</v>
          </cell>
          <cell r="L52" t="str">
            <v xml:space="preserve">MON-SUN </v>
          </cell>
          <cell r="M52" t="str">
            <v>(07:00 - 21:00)</v>
          </cell>
          <cell r="N52">
            <v>1</v>
          </cell>
          <cell r="O52">
            <v>25</v>
          </cell>
          <cell r="P52">
            <v>2.98</v>
          </cell>
          <cell r="Q52">
            <v>840</v>
          </cell>
        </row>
        <row r="53">
          <cell r="B53" t="str">
            <v>00U3</v>
          </cell>
          <cell r="C53" t="str">
            <v>Bambang Yuniarko</v>
          </cell>
          <cell r="D53" t="str">
            <v>IDM Nusa Kambangan</v>
          </cell>
          <cell r="E53" t="str">
            <v>ANDALAN BALI</v>
          </cell>
          <cell r="F53">
            <v>1</v>
          </cell>
          <cell r="G53" t="str">
            <v>04-Denpasar</v>
          </cell>
          <cell r="H53" t="str">
            <v>B</v>
          </cell>
          <cell r="I53" t="str">
            <v>ATM</v>
          </cell>
          <cell r="J53" t="str">
            <v>Denpasar</v>
          </cell>
          <cell r="K53" t="str">
            <v>Bali Nusra</v>
          </cell>
          <cell r="L53" t="str">
            <v xml:space="preserve">MON-SUN </v>
          </cell>
          <cell r="M53" t="str">
            <v>(00:00 - 23:59)</v>
          </cell>
          <cell r="N53">
            <v>0</v>
          </cell>
          <cell r="O53">
            <v>0</v>
          </cell>
          <cell r="P53">
            <v>0</v>
          </cell>
          <cell r="Q53">
            <v>1440</v>
          </cell>
        </row>
        <row r="54">
          <cell r="B54" t="str">
            <v>00UD</v>
          </cell>
          <cell r="C54" t="str">
            <v>Arif Rahman Hakim</v>
          </cell>
          <cell r="D54" t="str">
            <v>CK Puja Mandala</v>
          </cell>
          <cell r="E54" t="str">
            <v>ABACUS BALI</v>
          </cell>
          <cell r="F54">
            <v>1</v>
          </cell>
          <cell r="G54" t="str">
            <v>04-Denpasar</v>
          </cell>
          <cell r="H54" t="str">
            <v>B</v>
          </cell>
          <cell r="I54" t="str">
            <v>ATM</v>
          </cell>
          <cell r="J54" t="str">
            <v>Denpasar</v>
          </cell>
          <cell r="K54" t="str">
            <v>Bali Nusra</v>
          </cell>
          <cell r="L54" t="str">
            <v xml:space="preserve">MON-SUN </v>
          </cell>
          <cell r="M54" t="str">
            <v>(00:00 - 23:59)</v>
          </cell>
          <cell r="N54">
            <v>0</v>
          </cell>
          <cell r="O54">
            <v>0</v>
          </cell>
          <cell r="P54">
            <v>0</v>
          </cell>
          <cell r="Q54">
            <v>1440</v>
          </cell>
        </row>
        <row r="55">
          <cell r="B55" t="str">
            <v>00UL</v>
          </cell>
          <cell r="C55" t="str">
            <v>Suhel Risdianto</v>
          </cell>
          <cell r="D55" t="str">
            <v>Alfa Mahendradata Utara</v>
          </cell>
          <cell r="E55" t="str">
            <v>ABACUS BALI</v>
          </cell>
          <cell r="F55">
            <v>1</v>
          </cell>
          <cell r="G55" t="str">
            <v>04-Denpasar</v>
          </cell>
          <cell r="H55" t="str">
            <v>B</v>
          </cell>
          <cell r="I55" t="str">
            <v>ATM</v>
          </cell>
          <cell r="J55" t="str">
            <v>Denpasar</v>
          </cell>
          <cell r="K55" t="str">
            <v>Bali Nusra</v>
          </cell>
          <cell r="L55" t="str">
            <v xml:space="preserve">MON-SUN </v>
          </cell>
          <cell r="M55" t="str">
            <v>(06:00 - 23:00)</v>
          </cell>
          <cell r="N55">
            <v>0</v>
          </cell>
          <cell r="O55">
            <v>0</v>
          </cell>
          <cell r="P55">
            <v>0</v>
          </cell>
          <cell r="Q55">
            <v>1020</v>
          </cell>
        </row>
        <row r="56">
          <cell r="B56" t="str">
            <v>00UM</v>
          </cell>
          <cell r="C56" t="str">
            <v>Suhel Risdianto</v>
          </cell>
          <cell r="D56" t="str">
            <v>IDM Mahendradata Utara</v>
          </cell>
          <cell r="E56" t="str">
            <v>ABACUS BALI</v>
          </cell>
          <cell r="F56">
            <v>1</v>
          </cell>
          <cell r="G56" t="str">
            <v>04-Denpasar</v>
          </cell>
          <cell r="H56" t="str">
            <v>B</v>
          </cell>
          <cell r="I56" t="str">
            <v>ATM</v>
          </cell>
          <cell r="J56" t="str">
            <v>Denpasar</v>
          </cell>
          <cell r="K56" t="str">
            <v>Bali Nusra</v>
          </cell>
          <cell r="L56" t="str">
            <v xml:space="preserve">MON-SUN </v>
          </cell>
          <cell r="M56" t="str">
            <v>(07:00 - 22:00)</v>
          </cell>
          <cell r="N56">
            <v>0</v>
          </cell>
          <cell r="O56">
            <v>0</v>
          </cell>
          <cell r="P56">
            <v>0</v>
          </cell>
          <cell r="Q56">
            <v>900</v>
          </cell>
        </row>
        <row r="57">
          <cell r="B57" t="str">
            <v>00UP</v>
          </cell>
          <cell r="C57" t="str">
            <v>Muhammad Gufron Sofyan</v>
          </cell>
          <cell r="D57" t="str">
            <v>SPBU Gajah Mada Mendoyo</v>
          </cell>
          <cell r="E57" t="str">
            <v>ABACUS BALI</v>
          </cell>
          <cell r="F57">
            <v>1</v>
          </cell>
          <cell r="G57" t="str">
            <v>04-Denpasar</v>
          </cell>
          <cell r="H57" t="str">
            <v>B</v>
          </cell>
          <cell r="I57" t="str">
            <v>ATM</v>
          </cell>
          <cell r="J57" t="str">
            <v>Negara</v>
          </cell>
          <cell r="K57" t="str">
            <v>Bali Nusra</v>
          </cell>
          <cell r="L57" t="str">
            <v xml:space="preserve">MON-SUN </v>
          </cell>
          <cell r="M57" t="str">
            <v>(00:00 - 23:59)</v>
          </cell>
          <cell r="N57">
            <v>0</v>
          </cell>
          <cell r="O57">
            <v>0</v>
          </cell>
          <cell r="P57">
            <v>0</v>
          </cell>
          <cell r="Q57">
            <v>1440</v>
          </cell>
        </row>
        <row r="58">
          <cell r="B58" t="str">
            <v>00UU</v>
          </cell>
          <cell r="C58" t="str">
            <v>Revaldi Resha Wardhana</v>
          </cell>
          <cell r="D58" t="str">
            <v>Coco Mart Blahkiuh</v>
          </cell>
          <cell r="E58" t="str">
            <v>ABACUS BALI</v>
          </cell>
          <cell r="F58">
            <v>1</v>
          </cell>
          <cell r="G58" t="str">
            <v>04-Denpasar</v>
          </cell>
          <cell r="H58" t="str">
            <v>B</v>
          </cell>
          <cell r="I58" t="str">
            <v>ATM</v>
          </cell>
          <cell r="J58" t="str">
            <v>Denpasar</v>
          </cell>
          <cell r="K58" t="str">
            <v>Bali Nusra</v>
          </cell>
          <cell r="L58" t="str">
            <v xml:space="preserve">MON-SUN </v>
          </cell>
          <cell r="M58" t="str">
            <v>(00:00 - 23:59)</v>
          </cell>
          <cell r="N58">
            <v>0</v>
          </cell>
          <cell r="O58">
            <v>0</v>
          </cell>
          <cell r="P58">
            <v>0</v>
          </cell>
          <cell r="Q58">
            <v>1440</v>
          </cell>
        </row>
        <row r="59">
          <cell r="B59" t="str">
            <v>00UV</v>
          </cell>
          <cell r="C59" t="str">
            <v>Suhel Risdianto</v>
          </cell>
          <cell r="D59" t="str">
            <v>Coco Mart Tebongkang</v>
          </cell>
          <cell r="E59" t="str">
            <v>ABACUS BALI</v>
          </cell>
          <cell r="F59">
            <v>1</v>
          </cell>
          <cell r="G59" t="str">
            <v>04-Denpasar</v>
          </cell>
          <cell r="H59" t="str">
            <v>B</v>
          </cell>
          <cell r="I59" t="str">
            <v>ATM</v>
          </cell>
          <cell r="J59" t="str">
            <v>Denpasar</v>
          </cell>
          <cell r="K59" t="str">
            <v>Bali Nusra</v>
          </cell>
          <cell r="L59" t="str">
            <v xml:space="preserve">MON-SUN </v>
          </cell>
          <cell r="M59" t="str">
            <v>(00:00 - 23:59)</v>
          </cell>
          <cell r="N59">
            <v>0</v>
          </cell>
          <cell r="O59">
            <v>0</v>
          </cell>
          <cell r="P59">
            <v>0</v>
          </cell>
          <cell r="Q59">
            <v>1440</v>
          </cell>
        </row>
        <row r="60">
          <cell r="B60" t="str">
            <v>00UX</v>
          </cell>
          <cell r="C60" t="str">
            <v>Rio Erdiansyah</v>
          </cell>
          <cell r="D60" t="str">
            <v>SPBU Anturan Singaraja</v>
          </cell>
          <cell r="E60" t="str">
            <v>ABACUS BALI</v>
          </cell>
          <cell r="F60">
            <v>1</v>
          </cell>
          <cell r="G60" t="str">
            <v>04-Denpasar</v>
          </cell>
          <cell r="H60" t="str">
            <v>B</v>
          </cell>
          <cell r="I60" t="str">
            <v>ATM</v>
          </cell>
          <cell r="J60" t="str">
            <v>Singaraja</v>
          </cell>
          <cell r="K60" t="str">
            <v>Bali Nusra</v>
          </cell>
          <cell r="L60" t="str">
            <v xml:space="preserve">MON-SUN </v>
          </cell>
          <cell r="M60" t="str">
            <v>(00:00 - 23:59)</v>
          </cell>
          <cell r="N60">
            <v>0</v>
          </cell>
          <cell r="O60">
            <v>0</v>
          </cell>
          <cell r="P60">
            <v>0</v>
          </cell>
          <cell r="Q60">
            <v>1440</v>
          </cell>
        </row>
        <row r="61">
          <cell r="B61" t="str">
            <v>00V8</v>
          </cell>
          <cell r="C61" t="str">
            <v>Arif Rahman Hakim</v>
          </cell>
          <cell r="D61" t="str">
            <v>Coco Mart Nuansa Utama</v>
          </cell>
          <cell r="E61" t="str">
            <v>ABACUS BALI</v>
          </cell>
          <cell r="F61">
            <v>1</v>
          </cell>
          <cell r="G61" t="str">
            <v>04-Denpasar</v>
          </cell>
          <cell r="H61" t="str">
            <v>B</v>
          </cell>
          <cell r="I61" t="str">
            <v>ATM</v>
          </cell>
          <cell r="J61" t="str">
            <v>Denpasar</v>
          </cell>
          <cell r="K61" t="str">
            <v>Bali Nusra</v>
          </cell>
          <cell r="L61" t="str">
            <v xml:space="preserve">MON-SUN </v>
          </cell>
          <cell r="M61" t="str">
            <v>(00:00 - 23:59)</v>
          </cell>
          <cell r="N61">
            <v>0</v>
          </cell>
          <cell r="O61">
            <v>0</v>
          </cell>
          <cell r="P61">
            <v>0</v>
          </cell>
          <cell r="Q61">
            <v>1440</v>
          </cell>
        </row>
        <row r="62">
          <cell r="B62" t="str">
            <v>00V9</v>
          </cell>
          <cell r="C62" t="str">
            <v>Farozan Ali Fahmi</v>
          </cell>
          <cell r="D62" t="str">
            <v>Arys Mikro Celuk</v>
          </cell>
          <cell r="E62" t="str">
            <v>ABACUS BALI</v>
          </cell>
          <cell r="F62">
            <v>1</v>
          </cell>
          <cell r="G62" t="str">
            <v>04-Denpasar</v>
          </cell>
          <cell r="H62" t="str">
            <v>B</v>
          </cell>
          <cell r="I62" t="str">
            <v>ATM</v>
          </cell>
          <cell r="J62" t="str">
            <v>Denpasar</v>
          </cell>
          <cell r="K62" t="str">
            <v>Bali Nusra</v>
          </cell>
          <cell r="L62" t="str">
            <v xml:space="preserve">MON-SUN </v>
          </cell>
          <cell r="M62" t="str">
            <v>(00:00 - 23:59)</v>
          </cell>
          <cell r="N62">
            <v>0</v>
          </cell>
          <cell r="O62">
            <v>0</v>
          </cell>
          <cell r="P62">
            <v>0</v>
          </cell>
          <cell r="Q62">
            <v>1440</v>
          </cell>
        </row>
        <row r="63">
          <cell r="B63" t="str">
            <v>00VC</v>
          </cell>
          <cell r="C63" t="str">
            <v>Muhammad Ngainun Najib</v>
          </cell>
          <cell r="D63" t="str">
            <v>Bandara Ngurah Rai ATM Ce</v>
          </cell>
          <cell r="E63" t="str">
            <v>ABACUS BALI</v>
          </cell>
          <cell r="F63">
            <v>1</v>
          </cell>
          <cell r="G63" t="str">
            <v>04-Denpasar</v>
          </cell>
          <cell r="H63" t="str">
            <v>B</v>
          </cell>
          <cell r="I63" t="str">
            <v>ATM</v>
          </cell>
          <cell r="J63" t="str">
            <v>Denpasar</v>
          </cell>
          <cell r="K63" t="str">
            <v>Bali Nusra</v>
          </cell>
          <cell r="L63" t="str">
            <v xml:space="preserve">MON-SUN </v>
          </cell>
          <cell r="M63" t="str">
            <v>(00:00 - 23:59)</v>
          </cell>
          <cell r="N63">
            <v>1</v>
          </cell>
          <cell r="O63">
            <v>60</v>
          </cell>
          <cell r="P63">
            <v>4.17</v>
          </cell>
          <cell r="Q63">
            <v>1440</v>
          </cell>
        </row>
        <row r="64">
          <cell r="B64" t="str">
            <v>00VH</v>
          </cell>
          <cell r="C64" t="str">
            <v>I Putu Dendy Pratama</v>
          </cell>
          <cell r="D64" t="str">
            <v>IDM Padangsambian Klod</v>
          </cell>
          <cell r="E64" t="str">
            <v>ABACUS BALI</v>
          </cell>
          <cell r="F64">
            <v>1</v>
          </cell>
          <cell r="G64" t="str">
            <v>04-Denpasar</v>
          </cell>
          <cell r="H64" t="str">
            <v>B</v>
          </cell>
          <cell r="I64" t="str">
            <v>ATM</v>
          </cell>
          <cell r="J64" t="str">
            <v>Denpasar</v>
          </cell>
          <cell r="K64" t="str">
            <v>Bali Nusra</v>
          </cell>
          <cell r="L64" t="str">
            <v xml:space="preserve">MON-SUN </v>
          </cell>
          <cell r="M64" t="str">
            <v>(00:00 - 23:59)</v>
          </cell>
          <cell r="N64">
            <v>0</v>
          </cell>
          <cell r="O64">
            <v>0</v>
          </cell>
          <cell r="P64">
            <v>0</v>
          </cell>
          <cell r="Q64">
            <v>1440</v>
          </cell>
        </row>
        <row r="65">
          <cell r="B65" t="str">
            <v>00X4</v>
          </cell>
          <cell r="C65" t="str">
            <v>Suhel Risdianto</v>
          </cell>
          <cell r="D65" t="str">
            <v>CK Tegallalang</v>
          </cell>
          <cell r="E65" t="str">
            <v>ABACUS BALI</v>
          </cell>
          <cell r="F65">
            <v>2</v>
          </cell>
          <cell r="G65" t="str">
            <v>04-Denpasar</v>
          </cell>
          <cell r="H65" t="str">
            <v>B</v>
          </cell>
          <cell r="I65" t="str">
            <v>ATM</v>
          </cell>
          <cell r="J65" t="str">
            <v>Denpasar</v>
          </cell>
          <cell r="K65" t="str">
            <v>Bali Nusra</v>
          </cell>
          <cell r="L65" t="str">
            <v xml:space="preserve">MON-SUN </v>
          </cell>
          <cell r="M65" t="str">
            <v>(00:00 - 23:59)</v>
          </cell>
          <cell r="N65">
            <v>0</v>
          </cell>
          <cell r="O65">
            <v>0</v>
          </cell>
          <cell r="P65">
            <v>0</v>
          </cell>
          <cell r="Q65">
            <v>1440</v>
          </cell>
        </row>
        <row r="66">
          <cell r="B66" t="str">
            <v>00Y3</v>
          </cell>
          <cell r="C66" t="str">
            <v>Suhel Risdianto</v>
          </cell>
          <cell r="D66" t="str">
            <v>CK Pesanggaran</v>
          </cell>
          <cell r="E66" t="str">
            <v>ABACUS BALI</v>
          </cell>
          <cell r="F66">
            <v>1</v>
          </cell>
          <cell r="G66" t="str">
            <v>04-Denpasar</v>
          </cell>
          <cell r="H66" t="str">
            <v>B</v>
          </cell>
          <cell r="I66" t="str">
            <v>ATM</v>
          </cell>
          <cell r="J66" t="str">
            <v>Denpasar</v>
          </cell>
          <cell r="K66" t="str">
            <v>Bali Nusra</v>
          </cell>
          <cell r="L66" t="str">
            <v xml:space="preserve">MON-SUN </v>
          </cell>
          <cell r="M66" t="str">
            <v>(00:00 - 23:59)</v>
          </cell>
          <cell r="N66">
            <v>0</v>
          </cell>
          <cell r="O66">
            <v>0</v>
          </cell>
          <cell r="P66">
            <v>0</v>
          </cell>
          <cell r="Q66">
            <v>1440</v>
          </cell>
        </row>
        <row r="67">
          <cell r="B67" t="str">
            <v>00Y4</v>
          </cell>
          <cell r="C67" t="str">
            <v>Eko Adi Sugiyantoro</v>
          </cell>
          <cell r="D67" t="str">
            <v>CK Munggu Pererenan</v>
          </cell>
          <cell r="E67" t="str">
            <v>ABACUS BALI</v>
          </cell>
          <cell r="F67">
            <v>1</v>
          </cell>
          <cell r="G67" t="str">
            <v>04-Denpasar</v>
          </cell>
          <cell r="H67" t="str">
            <v>B</v>
          </cell>
          <cell r="I67" t="str">
            <v>ATM</v>
          </cell>
          <cell r="J67" t="str">
            <v>Denpasar</v>
          </cell>
          <cell r="K67" t="str">
            <v>Bali Nusra</v>
          </cell>
          <cell r="L67" t="str">
            <v xml:space="preserve">MON-SUN </v>
          </cell>
          <cell r="M67" t="str">
            <v>(00:00 - 23:59)</v>
          </cell>
          <cell r="N67">
            <v>0</v>
          </cell>
          <cell r="O67">
            <v>0</v>
          </cell>
          <cell r="P67">
            <v>0</v>
          </cell>
          <cell r="Q67">
            <v>1440</v>
          </cell>
        </row>
        <row r="68">
          <cell r="B68" t="str">
            <v>00ZB</v>
          </cell>
          <cell r="C68" t="str">
            <v>Eko Adi Sugiyantoro</v>
          </cell>
          <cell r="D68" t="str">
            <v>Arys Mikro Dukuh Tabanan</v>
          </cell>
          <cell r="E68" t="str">
            <v>ABACUS BALI</v>
          </cell>
          <cell r="F68">
            <v>1</v>
          </cell>
          <cell r="G68" t="str">
            <v>04-Denpasar</v>
          </cell>
          <cell r="H68" t="str">
            <v>B</v>
          </cell>
          <cell r="I68" t="str">
            <v>ATM</v>
          </cell>
          <cell r="J68" t="str">
            <v>Denpasar</v>
          </cell>
          <cell r="K68" t="str">
            <v>Bali Nusra</v>
          </cell>
          <cell r="L68" t="str">
            <v xml:space="preserve">MON-SUN </v>
          </cell>
          <cell r="M68" t="str">
            <v>(07:00 - 22:00)</v>
          </cell>
          <cell r="N68">
            <v>0</v>
          </cell>
          <cell r="O68">
            <v>0</v>
          </cell>
          <cell r="P68">
            <v>0</v>
          </cell>
          <cell r="Q68">
            <v>900</v>
          </cell>
        </row>
        <row r="69">
          <cell r="B69" t="str">
            <v>0118</v>
          </cell>
          <cell r="C69" t="str">
            <v>I Putu Dendy Pratama</v>
          </cell>
          <cell r="D69" t="str">
            <v>KFA 242 Raya Kuta</v>
          </cell>
          <cell r="E69" t="str">
            <v>ABACUS BALI</v>
          </cell>
          <cell r="F69">
            <v>1</v>
          </cell>
          <cell r="G69" t="str">
            <v>04-Denpasar</v>
          </cell>
          <cell r="H69" t="str">
            <v>B</v>
          </cell>
          <cell r="I69" t="str">
            <v>ATM</v>
          </cell>
          <cell r="J69" t="str">
            <v>Denpasar</v>
          </cell>
          <cell r="K69" t="str">
            <v>Bali Nusra</v>
          </cell>
          <cell r="L69" t="str">
            <v xml:space="preserve">MON-SUN </v>
          </cell>
          <cell r="M69" t="str">
            <v>(06:00 - 23:00)</v>
          </cell>
          <cell r="N69">
            <v>0</v>
          </cell>
          <cell r="O69">
            <v>0</v>
          </cell>
          <cell r="P69">
            <v>0</v>
          </cell>
          <cell r="Q69">
            <v>1020</v>
          </cell>
        </row>
        <row r="70">
          <cell r="B70" t="str">
            <v>011B</v>
          </cell>
          <cell r="C70" t="str">
            <v>Farozan Ali Fahmi</v>
          </cell>
          <cell r="D70" t="str">
            <v>Indogrosir Denpasar</v>
          </cell>
          <cell r="E70" t="str">
            <v>ABACUS BALI</v>
          </cell>
          <cell r="F70">
            <v>1</v>
          </cell>
          <cell r="G70" t="str">
            <v>04-Denpasar</v>
          </cell>
          <cell r="H70" t="str">
            <v>B</v>
          </cell>
          <cell r="I70" t="str">
            <v>ATM</v>
          </cell>
          <cell r="J70" t="str">
            <v>Denpasar</v>
          </cell>
          <cell r="K70" t="str">
            <v>Bali Nusra</v>
          </cell>
          <cell r="L70" t="str">
            <v xml:space="preserve">MON-SUN </v>
          </cell>
          <cell r="M70" t="str">
            <v>(09:00 - 21:00)</v>
          </cell>
          <cell r="N70">
            <v>0</v>
          </cell>
          <cell r="O70">
            <v>0</v>
          </cell>
          <cell r="P70">
            <v>0</v>
          </cell>
          <cell r="Q70">
            <v>720</v>
          </cell>
        </row>
        <row r="71">
          <cell r="B71" t="str">
            <v>011C</v>
          </cell>
          <cell r="C71" t="str">
            <v>Revaldi Resha Wardhana</v>
          </cell>
          <cell r="D71" t="str">
            <v>CK Gatsu Hook</v>
          </cell>
          <cell r="E71" t="str">
            <v>ABACUS BALI</v>
          </cell>
          <cell r="F71">
            <v>1</v>
          </cell>
          <cell r="G71" t="str">
            <v>04-Denpasar</v>
          </cell>
          <cell r="H71" t="str">
            <v>B</v>
          </cell>
          <cell r="I71" t="str">
            <v>ATM</v>
          </cell>
          <cell r="J71" t="str">
            <v>Denpasar</v>
          </cell>
          <cell r="K71" t="str">
            <v>Bali Nusra</v>
          </cell>
          <cell r="L71" t="str">
            <v xml:space="preserve">MON-SUN </v>
          </cell>
          <cell r="M71" t="str">
            <v>(00:00 - 23:59)</v>
          </cell>
          <cell r="N71">
            <v>0</v>
          </cell>
          <cell r="O71">
            <v>0</v>
          </cell>
          <cell r="P71">
            <v>0</v>
          </cell>
          <cell r="Q71">
            <v>1440</v>
          </cell>
        </row>
        <row r="72">
          <cell r="B72" t="str">
            <v>0127</v>
          </cell>
          <cell r="C72" t="str">
            <v>Eko Adi Sugiyantoro</v>
          </cell>
          <cell r="D72" t="str">
            <v>CK Padang Luwih</v>
          </cell>
          <cell r="E72" t="str">
            <v>ABACUS BALI</v>
          </cell>
          <cell r="F72">
            <v>1</v>
          </cell>
          <cell r="G72" t="str">
            <v>04-Denpasar</v>
          </cell>
          <cell r="H72" t="str">
            <v>B</v>
          </cell>
          <cell r="I72" t="str">
            <v>ATM</v>
          </cell>
          <cell r="J72" t="str">
            <v>Denpasar</v>
          </cell>
          <cell r="K72" t="str">
            <v>Bali Nusra</v>
          </cell>
          <cell r="L72" t="str">
            <v xml:space="preserve">MON-SUN </v>
          </cell>
          <cell r="M72" t="str">
            <v>(00:00 - 23:59)</v>
          </cell>
          <cell r="N72">
            <v>0</v>
          </cell>
          <cell r="O72">
            <v>0</v>
          </cell>
          <cell r="P72">
            <v>0</v>
          </cell>
          <cell r="Q72">
            <v>1440</v>
          </cell>
        </row>
        <row r="73">
          <cell r="B73" t="str">
            <v>0169</v>
          </cell>
          <cell r="C73" t="str">
            <v>Arif Rahman Hakim</v>
          </cell>
          <cell r="D73" t="str">
            <v>Club Med Hotel</v>
          </cell>
          <cell r="E73" t="str">
            <v>ABACUS BALI</v>
          </cell>
          <cell r="F73">
            <v>1</v>
          </cell>
          <cell r="G73" t="str">
            <v>04-Denpasar</v>
          </cell>
          <cell r="H73" t="str">
            <v>B</v>
          </cell>
          <cell r="I73" t="str">
            <v>ATM</v>
          </cell>
          <cell r="J73" t="str">
            <v>Denpasar</v>
          </cell>
          <cell r="K73" t="str">
            <v>Bali Nusra</v>
          </cell>
          <cell r="L73" t="str">
            <v xml:space="preserve">MON-SUN </v>
          </cell>
          <cell r="M73" t="str">
            <v>(00:00 - 23:59)</v>
          </cell>
          <cell r="N73">
            <v>0</v>
          </cell>
          <cell r="O73">
            <v>0</v>
          </cell>
          <cell r="P73">
            <v>0</v>
          </cell>
          <cell r="Q73">
            <v>1440</v>
          </cell>
        </row>
        <row r="74">
          <cell r="B74" t="str">
            <v>016M</v>
          </cell>
          <cell r="C74" t="str">
            <v>I Putu Dendy Pratama</v>
          </cell>
          <cell r="D74" t="str">
            <v>Eccos Plaza</v>
          </cell>
          <cell r="E74" t="str">
            <v>ABACUS BALI</v>
          </cell>
          <cell r="F74">
            <v>1</v>
          </cell>
          <cell r="G74" t="str">
            <v>04-Denpasar</v>
          </cell>
          <cell r="H74" t="str">
            <v>B</v>
          </cell>
          <cell r="I74" t="str">
            <v>ATM</v>
          </cell>
          <cell r="J74" t="str">
            <v>Denpasar</v>
          </cell>
          <cell r="K74" t="str">
            <v>Bali Nusra</v>
          </cell>
          <cell r="L74" t="str">
            <v xml:space="preserve">MON-SUN </v>
          </cell>
          <cell r="M74" t="str">
            <v>(00:00 - 23:59)</v>
          </cell>
          <cell r="N74">
            <v>0</v>
          </cell>
          <cell r="O74">
            <v>0</v>
          </cell>
          <cell r="P74">
            <v>0</v>
          </cell>
          <cell r="Q74">
            <v>1440</v>
          </cell>
        </row>
        <row r="75">
          <cell r="B75" t="str">
            <v>016U</v>
          </cell>
          <cell r="C75" t="str">
            <v>Revaldi Resha Wardhana</v>
          </cell>
          <cell r="D75" t="str">
            <v>IDM Tukad Badung Denpasar</v>
          </cell>
          <cell r="E75" t="str">
            <v>ANDALAN BALI</v>
          </cell>
          <cell r="F75">
            <v>1</v>
          </cell>
          <cell r="G75" t="str">
            <v>04-Denpasar</v>
          </cell>
          <cell r="H75" t="str">
            <v>B</v>
          </cell>
          <cell r="I75" t="str">
            <v>ATM</v>
          </cell>
          <cell r="J75" t="str">
            <v>Denpasar</v>
          </cell>
          <cell r="K75" t="str">
            <v>Bali Nusra</v>
          </cell>
          <cell r="L75" t="str">
            <v xml:space="preserve">MON-SUN </v>
          </cell>
          <cell r="M75" t="str">
            <v>(07:00 - 22:00)</v>
          </cell>
          <cell r="N75">
            <v>0</v>
          </cell>
          <cell r="O75">
            <v>0</v>
          </cell>
          <cell r="P75">
            <v>0</v>
          </cell>
          <cell r="Q75">
            <v>900</v>
          </cell>
        </row>
        <row r="76">
          <cell r="B76" t="str">
            <v>016Y</v>
          </cell>
          <cell r="C76" t="str">
            <v>Farozan Ali Fahmi</v>
          </cell>
          <cell r="D76" t="str">
            <v>Coco Mart Sukawati</v>
          </cell>
          <cell r="E76" t="str">
            <v>ABACUS BALI</v>
          </cell>
          <cell r="F76">
            <v>1</v>
          </cell>
          <cell r="G76" t="str">
            <v>04-Denpasar</v>
          </cell>
          <cell r="H76" t="str">
            <v>B</v>
          </cell>
          <cell r="I76" t="str">
            <v>ATM</v>
          </cell>
          <cell r="J76" t="str">
            <v>Denpasar</v>
          </cell>
          <cell r="K76" t="str">
            <v>Bali Nusra</v>
          </cell>
          <cell r="L76" t="str">
            <v xml:space="preserve">MON-SUN </v>
          </cell>
          <cell r="M76" t="str">
            <v>(00:00 - 23:59)</v>
          </cell>
          <cell r="N76">
            <v>0</v>
          </cell>
          <cell r="O76">
            <v>0</v>
          </cell>
          <cell r="P76">
            <v>0</v>
          </cell>
          <cell r="Q76">
            <v>1440</v>
          </cell>
        </row>
        <row r="77">
          <cell r="B77" t="str">
            <v>0173</v>
          </cell>
          <cell r="C77" t="str">
            <v>Muhammad Gufron Sofyan</v>
          </cell>
          <cell r="D77" t="str">
            <v>SPBU Pendem Jembrana</v>
          </cell>
          <cell r="E77" t="str">
            <v>ABACUS BALI</v>
          </cell>
          <cell r="F77">
            <v>1</v>
          </cell>
          <cell r="G77" t="str">
            <v>04-Denpasar</v>
          </cell>
          <cell r="H77" t="str">
            <v>B</v>
          </cell>
          <cell r="I77" t="str">
            <v>ATM</v>
          </cell>
          <cell r="J77" t="str">
            <v>Negara</v>
          </cell>
          <cell r="K77" t="str">
            <v>Bali Nusra</v>
          </cell>
          <cell r="L77" t="str">
            <v xml:space="preserve">MON-SUN </v>
          </cell>
          <cell r="M77" t="str">
            <v>(00:00 - 23:59)</v>
          </cell>
          <cell r="N77">
            <v>0</v>
          </cell>
          <cell r="O77">
            <v>0</v>
          </cell>
          <cell r="P77">
            <v>0</v>
          </cell>
          <cell r="Q77">
            <v>1440</v>
          </cell>
        </row>
        <row r="78">
          <cell r="B78" t="str">
            <v>017N</v>
          </cell>
          <cell r="C78" t="str">
            <v>Revaldi Resha Wardhana</v>
          </cell>
          <cell r="D78" t="str">
            <v>Alfa Antasura</v>
          </cell>
          <cell r="E78" t="str">
            <v>ABACUS BALI</v>
          </cell>
          <cell r="F78">
            <v>1</v>
          </cell>
          <cell r="G78" t="str">
            <v>04-Denpasar</v>
          </cell>
          <cell r="H78" t="str">
            <v>B</v>
          </cell>
          <cell r="I78" t="str">
            <v>ATM</v>
          </cell>
          <cell r="J78" t="str">
            <v>Denpasar</v>
          </cell>
          <cell r="K78" t="str">
            <v>Bali Nusra</v>
          </cell>
          <cell r="L78" t="str">
            <v xml:space="preserve">MON-SUN </v>
          </cell>
          <cell r="M78" t="str">
            <v>(00:00 - 23:59)</v>
          </cell>
          <cell r="N78">
            <v>0</v>
          </cell>
          <cell r="O78">
            <v>0</v>
          </cell>
          <cell r="P78">
            <v>0</v>
          </cell>
          <cell r="Q78">
            <v>1440</v>
          </cell>
        </row>
        <row r="79">
          <cell r="B79" t="str">
            <v>017P</v>
          </cell>
          <cell r="C79" t="str">
            <v>Eko Adi Sugiyantoro</v>
          </cell>
          <cell r="D79" t="str">
            <v>IDM Meranggi Tabanan</v>
          </cell>
          <cell r="E79" t="str">
            <v>ABACUS BALI</v>
          </cell>
          <cell r="F79">
            <v>1</v>
          </cell>
          <cell r="G79" t="str">
            <v>04-Denpasar</v>
          </cell>
          <cell r="H79" t="str">
            <v>B</v>
          </cell>
          <cell r="I79" t="str">
            <v>ATM</v>
          </cell>
          <cell r="J79" t="str">
            <v>Denpasar</v>
          </cell>
          <cell r="K79" t="str">
            <v>Bali Nusra</v>
          </cell>
          <cell r="L79" t="str">
            <v xml:space="preserve">MON-SUN </v>
          </cell>
          <cell r="M79" t="str">
            <v>(07:00 - 22:00)</v>
          </cell>
          <cell r="N79">
            <v>0</v>
          </cell>
          <cell r="O79">
            <v>0</v>
          </cell>
          <cell r="P79">
            <v>0</v>
          </cell>
          <cell r="Q79">
            <v>900</v>
          </cell>
        </row>
        <row r="80">
          <cell r="B80" t="str">
            <v>017Q</v>
          </cell>
          <cell r="C80" t="str">
            <v>Revaldi Resha Wardhana</v>
          </cell>
          <cell r="D80" t="str">
            <v>IDM Sibangkaja</v>
          </cell>
          <cell r="E80" t="str">
            <v>ABACUS BALI</v>
          </cell>
          <cell r="F80">
            <v>1</v>
          </cell>
          <cell r="G80" t="str">
            <v>04-Denpasar</v>
          </cell>
          <cell r="H80" t="str">
            <v>B</v>
          </cell>
          <cell r="I80" t="str">
            <v>ATM</v>
          </cell>
          <cell r="J80" t="str">
            <v>Denpasar</v>
          </cell>
          <cell r="K80" t="str">
            <v>Bali Nusra</v>
          </cell>
          <cell r="L80" t="str">
            <v xml:space="preserve">MON-SUN </v>
          </cell>
          <cell r="M80" t="str">
            <v>(00:00 - 23:59)</v>
          </cell>
          <cell r="N80">
            <v>0</v>
          </cell>
          <cell r="O80">
            <v>0</v>
          </cell>
          <cell r="P80">
            <v>0</v>
          </cell>
          <cell r="Q80">
            <v>1440</v>
          </cell>
        </row>
        <row r="81">
          <cell r="B81" t="str">
            <v>01AT</v>
          </cell>
          <cell r="C81" t="str">
            <v>Muhammad Gufron Sofyan</v>
          </cell>
          <cell r="D81" t="str">
            <v>IDM Point Gilimanuk</v>
          </cell>
          <cell r="E81" t="str">
            <v>ABACUS BALI</v>
          </cell>
          <cell r="F81">
            <v>2</v>
          </cell>
          <cell r="G81" t="str">
            <v>04-Denpasar</v>
          </cell>
          <cell r="H81" t="str">
            <v>B</v>
          </cell>
          <cell r="I81" t="str">
            <v>ATM</v>
          </cell>
          <cell r="J81" t="str">
            <v>Negara</v>
          </cell>
          <cell r="K81" t="str">
            <v>Bali Nusra</v>
          </cell>
          <cell r="L81" t="str">
            <v xml:space="preserve">MON-SUN </v>
          </cell>
          <cell r="M81" t="str">
            <v>(00:00 - 23:59)</v>
          </cell>
          <cell r="N81">
            <v>0</v>
          </cell>
          <cell r="O81">
            <v>0</v>
          </cell>
          <cell r="P81">
            <v>0</v>
          </cell>
          <cell r="Q81">
            <v>1440</v>
          </cell>
        </row>
        <row r="82">
          <cell r="B82" t="str">
            <v>01B2</v>
          </cell>
          <cell r="C82" t="str">
            <v>Farozan Ali Fahmi</v>
          </cell>
          <cell r="D82" t="str">
            <v>Alfa Mulawarman</v>
          </cell>
          <cell r="E82" t="str">
            <v>ABACUS BALI</v>
          </cell>
          <cell r="F82">
            <v>1</v>
          </cell>
          <cell r="G82" t="str">
            <v>04-Denpasar</v>
          </cell>
          <cell r="H82" t="str">
            <v>B</v>
          </cell>
          <cell r="I82" t="str">
            <v>ATM</v>
          </cell>
          <cell r="J82" t="str">
            <v>Denpasar</v>
          </cell>
          <cell r="K82" t="str">
            <v>Bali Nusra</v>
          </cell>
          <cell r="L82" t="str">
            <v xml:space="preserve">MON-SUN </v>
          </cell>
          <cell r="M82" t="str">
            <v>(07:00 - 22:00)</v>
          </cell>
          <cell r="N82">
            <v>2</v>
          </cell>
          <cell r="O82">
            <v>99</v>
          </cell>
          <cell r="P82">
            <v>11</v>
          </cell>
          <cell r="Q82">
            <v>900</v>
          </cell>
        </row>
        <row r="83">
          <cell r="B83" t="str">
            <v>01CX</v>
          </cell>
          <cell r="C83" t="str">
            <v>Rio Erdiansyah</v>
          </cell>
          <cell r="D83" t="str">
            <v>Edie Arta Motor</v>
          </cell>
          <cell r="E83" t="str">
            <v>ABACUS BALI</v>
          </cell>
          <cell r="F83">
            <v>2</v>
          </cell>
          <cell r="G83" t="str">
            <v>04-Denpasar</v>
          </cell>
          <cell r="H83" t="str">
            <v>B</v>
          </cell>
          <cell r="I83" t="str">
            <v>ATM</v>
          </cell>
          <cell r="J83" t="str">
            <v>Singaraja</v>
          </cell>
          <cell r="K83" t="str">
            <v>Bali Nusra</v>
          </cell>
          <cell r="L83" t="str">
            <v xml:space="preserve">MON-SUN </v>
          </cell>
          <cell r="M83" t="str">
            <v>(00:00 - 23:59)</v>
          </cell>
          <cell r="N83">
            <v>0</v>
          </cell>
          <cell r="O83">
            <v>0</v>
          </cell>
          <cell r="P83">
            <v>0</v>
          </cell>
          <cell r="Q83">
            <v>1440</v>
          </cell>
        </row>
        <row r="84">
          <cell r="B84" t="str">
            <v>01DD</v>
          </cell>
          <cell r="C84" t="str">
            <v>Bambang Yuniarko</v>
          </cell>
          <cell r="D84" t="str">
            <v>CK Tukad Jinah</v>
          </cell>
          <cell r="E84" t="str">
            <v>ANDALAN BALI</v>
          </cell>
          <cell r="F84">
            <v>1</v>
          </cell>
          <cell r="G84" t="str">
            <v>04-Denpasar</v>
          </cell>
          <cell r="H84" t="str">
            <v>B</v>
          </cell>
          <cell r="I84" t="str">
            <v>ATM</v>
          </cell>
          <cell r="J84" t="str">
            <v>Denpasar</v>
          </cell>
          <cell r="K84" t="str">
            <v>Bali Nusra</v>
          </cell>
          <cell r="L84" t="str">
            <v xml:space="preserve">MON-SUN </v>
          </cell>
          <cell r="M84" t="str">
            <v>(00:00 - 23:59)</v>
          </cell>
          <cell r="N84">
            <v>0</v>
          </cell>
          <cell r="O84">
            <v>0</v>
          </cell>
          <cell r="P84">
            <v>0</v>
          </cell>
          <cell r="Q84">
            <v>1440</v>
          </cell>
        </row>
        <row r="85">
          <cell r="B85" t="str">
            <v>01H0</v>
          </cell>
          <cell r="C85" t="str">
            <v>Suhel Risdianto</v>
          </cell>
          <cell r="D85" t="str">
            <v>Minimart Semer</v>
          </cell>
          <cell r="E85" t="str">
            <v>ABACUS BALI</v>
          </cell>
          <cell r="F85">
            <v>1</v>
          </cell>
          <cell r="G85" t="str">
            <v>04-Denpasar</v>
          </cell>
          <cell r="H85" t="str">
            <v>B</v>
          </cell>
          <cell r="I85" t="str">
            <v>ATM</v>
          </cell>
          <cell r="J85" t="str">
            <v>Denpasar</v>
          </cell>
          <cell r="K85" t="str">
            <v>Bali Nusra</v>
          </cell>
          <cell r="L85" t="str">
            <v xml:space="preserve">MON-SUN </v>
          </cell>
          <cell r="M85" t="str">
            <v>(00:00 - 23:59)</v>
          </cell>
          <cell r="N85">
            <v>0</v>
          </cell>
          <cell r="O85">
            <v>0</v>
          </cell>
          <cell r="P85">
            <v>0</v>
          </cell>
          <cell r="Q85">
            <v>1440</v>
          </cell>
        </row>
        <row r="86">
          <cell r="B86" t="str">
            <v>01H2</v>
          </cell>
          <cell r="C86" t="str">
            <v>Farozan Ali Fahmi</v>
          </cell>
          <cell r="D86" t="str">
            <v>Coco Mart Blahbatuh</v>
          </cell>
          <cell r="E86" t="str">
            <v>ABACUS BALI</v>
          </cell>
          <cell r="F86">
            <v>2</v>
          </cell>
          <cell r="G86" t="str">
            <v>04-Denpasar</v>
          </cell>
          <cell r="H86" t="str">
            <v>B</v>
          </cell>
          <cell r="I86" t="str">
            <v>ATM</v>
          </cell>
          <cell r="J86" t="str">
            <v>Denpasar</v>
          </cell>
          <cell r="K86" t="str">
            <v>Bali Nusra</v>
          </cell>
          <cell r="L86" t="str">
            <v xml:space="preserve">MON-SUN </v>
          </cell>
          <cell r="M86" t="str">
            <v>(00:00 - 23:59)</v>
          </cell>
          <cell r="N86">
            <v>0</v>
          </cell>
          <cell r="O86">
            <v>0</v>
          </cell>
          <cell r="P86">
            <v>0</v>
          </cell>
          <cell r="Q86">
            <v>1440</v>
          </cell>
        </row>
        <row r="87">
          <cell r="B87" t="str">
            <v>01JT</v>
          </cell>
          <cell r="C87" t="str">
            <v>Bambang Yuniarko</v>
          </cell>
          <cell r="D87" t="str">
            <v>RS Bali Internasional</v>
          </cell>
          <cell r="E87" t="str">
            <v>ANDALAN BALI</v>
          </cell>
          <cell r="F87">
            <v>1</v>
          </cell>
          <cell r="G87" t="str">
            <v>04-Denpasar</v>
          </cell>
          <cell r="H87" t="str">
            <v>B</v>
          </cell>
          <cell r="I87" t="str">
            <v>ATM</v>
          </cell>
          <cell r="J87" t="str">
            <v>Denpasar</v>
          </cell>
          <cell r="K87" t="str">
            <v>Bali Nusra</v>
          </cell>
          <cell r="L87" t="str">
            <v xml:space="preserve">MON-SUN </v>
          </cell>
          <cell r="M87" t="str">
            <v>(00:00 - 23:59)</v>
          </cell>
          <cell r="N87">
            <v>0</v>
          </cell>
          <cell r="O87">
            <v>0</v>
          </cell>
          <cell r="P87">
            <v>0</v>
          </cell>
          <cell r="Q87">
            <v>1440</v>
          </cell>
        </row>
        <row r="88">
          <cell r="B88" t="str">
            <v>01KC</v>
          </cell>
          <cell r="C88" t="str">
            <v>Arif Rahman Hakim</v>
          </cell>
          <cell r="D88" t="str">
            <v>Paradisus by Melia</v>
          </cell>
          <cell r="E88" t="str">
            <v>ABACUS BALI</v>
          </cell>
          <cell r="F88">
            <v>1</v>
          </cell>
          <cell r="G88" t="str">
            <v>04-Denpasar</v>
          </cell>
          <cell r="H88" t="str">
            <v>B</v>
          </cell>
          <cell r="I88" t="str">
            <v>ATM</v>
          </cell>
          <cell r="J88" t="str">
            <v>Denpasar</v>
          </cell>
          <cell r="K88" t="str">
            <v>Bali Nusra</v>
          </cell>
          <cell r="L88" t="str">
            <v xml:space="preserve">MON-SUN </v>
          </cell>
          <cell r="M88" t="str">
            <v>(00:00 - 23:59)</v>
          </cell>
          <cell r="N88">
            <v>0</v>
          </cell>
          <cell r="O88">
            <v>0</v>
          </cell>
          <cell r="P88">
            <v>0</v>
          </cell>
          <cell r="Q88">
            <v>1440</v>
          </cell>
        </row>
        <row r="89">
          <cell r="B89" t="str">
            <v>01KT</v>
          </cell>
          <cell r="C89" t="str">
            <v>Revaldi Resha Wardhana</v>
          </cell>
          <cell r="D89" t="str">
            <v>Alfa Patih Nambi</v>
          </cell>
          <cell r="E89" t="str">
            <v>ABACUS BALI</v>
          </cell>
          <cell r="F89">
            <v>1</v>
          </cell>
          <cell r="G89" t="str">
            <v>04-Denpasar</v>
          </cell>
          <cell r="H89" t="str">
            <v>B</v>
          </cell>
          <cell r="I89" t="str">
            <v>ATM</v>
          </cell>
          <cell r="J89" t="str">
            <v>Denpasar</v>
          </cell>
          <cell r="K89" t="str">
            <v>Bali Nusra</v>
          </cell>
          <cell r="L89" t="str">
            <v xml:space="preserve">MON-SUN </v>
          </cell>
          <cell r="M89" t="str">
            <v>(00:00 - 23:59)</v>
          </cell>
          <cell r="N89">
            <v>0</v>
          </cell>
          <cell r="O89">
            <v>0</v>
          </cell>
          <cell r="P89">
            <v>0</v>
          </cell>
          <cell r="Q89">
            <v>1440</v>
          </cell>
        </row>
        <row r="90">
          <cell r="B90" t="str">
            <v>01P2</v>
          </cell>
          <cell r="C90" t="str">
            <v>Bambang Yuniarko</v>
          </cell>
          <cell r="D90" t="str">
            <v>Alfa Dukuh Sari Sesetan</v>
          </cell>
          <cell r="E90" t="str">
            <v>ABACUS BALI</v>
          </cell>
          <cell r="F90">
            <v>1</v>
          </cell>
          <cell r="G90" t="str">
            <v>04-Denpasar</v>
          </cell>
          <cell r="H90" t="str">
            <v>B</v>
          </cell>
          <cell r="I90" t="str">
            <v>ATM</v>
          </cell>
          <cell r="J90" t="str">
            <v>Denpasar</v>
          </cell>
          <cell r="K90" t="str">
            <v>Bali Nusra</v>
          </cell>
          <cell r="L90" t="str">
            <v xml:space="preserve">MON-SUN </v>
          </cell>
          <cell r="M90" t="str">
            <v>(07:00 - 22:00)</v>
          </cell>
          <cell r="N90">
            <v>0</v>
          </cell>
          <cell r="O90">
            <v>0</v>
          </cell>
          <cell r="P90">
            <v>0</v>
          </cell>
          <cell r="Q90">
            <v>900</v>
          </cell>
        </row>
        <row r="91">
          <cell r="B91" t="str">
            <v>01QY</v>
          </cell>
          <cell r="C91" t="str">
            <v>Revaldi Resha Wardhana</v>
          </cell>
          <cell r="D91" t="str">
            <v>Alfa Patimura Denpasar</v>
          </cell>
          <cell r="E91" t="str">
            <v>ANDALAN BALI</v>
          </cell>
          <cell r="F91">
            <v>1</v>
          </cell>
          <cell r="G91" t="str">
            <v>04-Denpasar</v>
          </cell>
          <cell r="H91" t="str">
            <v>B</v>
          </cell>
          <cell r="I91" t="str">
            <v>ATM</v>
          </cell>
          <cell r="J91" t="str">
            <v>Denpasar</v>
          </cell>
          <cell r="K91" t="str">
            <v>Bali Nusra</v>
          </cell>
          <cell r="L91" t="str">
            <v xml:space="preserve">MON-SUN </v>
          </cell>
          <cell r="M91" t="str">
            <v>(07:00 - 22:00)</v>
          </cell>
          <cell r="N91">
            <v>0</v>
          </cell>
          <cell r="O91">
            <v>0</v>
          </cell>
          <cell r="P91">
            <v>0</v>
          </cell>
          <cell r="Q91">
            <v>900</v>
          </cell>
        </row>
        <row r="92">
          <cell r="B92" t="str">
            <v>01RD</v>
          </cell>
          <cell r="C92" t="str">
            <v>Lalu Riswan Hadi</v>
          </cell>
          <cell r="D92" t="str">
            <v>Pepito Market Mandalika</v>
          </cell>
          <cell r="E92" t="str">
            <v>ADVANTAGE CAKRANEGARA</v>
          </cell>
          <cell r="F92">
            <v>1</v>
          </cell>
          <cell r="G92" t="str">
            <v>04-Denpasar</v>
          </cell>
          <cell r="H92" t="str">
            <v>B</v>
          </cell>
          <cell r="I92" t="str">
            <v>ATM</v>
          </cell>
          <cell r="J92" t="str">
            <v>Mataram</v>
          </cell>
          <cell r="K92" t="str">
            <v>Bali Nusra</v>
          </cell>
          <cell r="L92" t="str">
            <v xml:space="preserve">MON-SUN </v>
          </cell>
          <cell r="M92" t="str">
            <v>(00:00 - 23:59)</v>
          </cell>
          <cell r="N92">
            <v>0</v>
          </cell>
          <cell r="O92">
            <v>0</v>
          </cell>
          <cell r="P92">
            <v>0</v>
          </cell>
          <cell r="Q92">
            <v>1440</v>
          </cell>
        </row>
        <row r="93">
          <cell r="B93" t="str">
            <v>01TY</v>
          </cell>
          <cell r="C93" t="str">
            <v>Suhel Risdianto</v>
          </cell>
          <cell r="D93" t="str">
            <v>Alfa Kalimutu</v>
          </cell>
          <cell r="E93" t="str">
            <v>ABACUS BALI</v>
          </cell>
          <cell r="F93">
            <v>1</v>
          </cell>
          <cell r="G93" t="str">
            <v>04-Denpasar</v>
          </cell>
          <cell r="H93" t="str">
            <v>B</v>
          </cell>
          <cell r="I93" t="str">
            <v>ATM</v>
          </cell>
          <cell r="J93" t="str">
            <v>Denpasar</v>
          </cell>
          <cell r="K93" t="str">
            <v>Bali Nusra</v>
          </cell>
          <cell r="L93" t="str">
            <v xml:space="preserve">MON-SUN </v>
          </cell>
          <cell r="M93" t="str">
            <v>(07:00 - 22:00)</v>
          </cell>
          <cell r="N93">
            <v>0</v>
          </cell>
          <cell r="O93">
            <v>0</v>
          </cell>
          <cell r="P93">
            <v>0</v>
          </cell>
          <cell r="Q93">
            <v>900</v>
          </cell>
        </row>
        <row r="94">
          <cell r="B94" t="str">
            <v>031U</v>
          </cell>
          <cell r="C94" t="str">
            <v>Eko Adi Sugiyantoro</v>
          </cell>
          <cell r="D94" t="str">
            <v>Boga Swaha Supermarket</v>
          </cell>
          <cell r="E94" t="str">
            <v>ABACUS BALI</v>
          </cell>
          <cell r="F94">
            <v>1</v>
          </cell>
          <cell r="G94" t="str">
            <v>04-Denpasar</v>
          </cell>
          <cell r="H94" t="str">
            <v>B</v>
          </cell>
          <cell r="I94" t="str">
            <v>ATM</v>
          </cell>
          <cell r="J94" t="str">
            <v>Denpasar</v>
          </cell>
          <cell r="K94" t="str">
            <v>Bali Nusra</v>
          </cell>
          <cell r="L94" t="str">
            <v xml:space="preserve">MON-SUN </v>
          </cell>
          <cell r="M94" t="str">
            <v>(00:00 - 23:59)</v>
          </cell>
          <cell r="N94">
            <v>0</v>
          </cell>
          <cell r="O94">
            <v>0</v>
          </cell>
          <cell r="P94">
            <v>0</v>
          </cell>
          <cell r="Q94">
            <v>1440</v>
          </cell>
        </row>
        <row r="95">
          <cell r="B95" t="str">
            <v>031V</v>
          </cell>
          <cell r="C95" t="str">
            <v>Bambang Yuniarko</v>
          </cell>
          <cell r="D95" t="str">
            <v>Seminyak Square</v>
          </cell>
          <cell r="E95" t="str">
            <v>ABACUS BALI</v>
          </cell>
          <cell r="F95">
            <v>1</v>
          </cell>
          <cell r="G95" t="str">
            <v>04-Denpasar</v>
          </cell>
          <cell r="H95" t="str">
            <v>B</v>
          </cell>
          <cell r="I95" t="str">
            <v>ATM</v>
          </cell>
          <cell r="J95" t="str">
            <v>Denpasar</v>
          </cell>
          <cell r="K95" t="str">
            <v>Bali Nusra</v>
          </cell>
          <cell r="L95" t="str">
            <v xml:space="preserve">MON-SUN </v>
          </cell>
          <cell r="M95" t="str">
            <v>(00:00 - 23:59)</v>
          </cell>
          <cell r="N95">
            <v>0</v>
          </cell>
          <cell r="O95">
            <v>0</v>
          </cell>
          <cell r="P95">
            <v>0</v>
          </cell>
          <cell r="Q95">
            <v>1440</v>
          </cell>
        </row>
        <row r="96">
          <cell r="B96" t="str">
            <v>032L</v>
          </cell>
          <cell r="C96" t="str">
            <v>I Putu Dendy Pratama</v>
          </cell>
          <cell r="D96" t="str">
            <v>Pialegong</v>
          </cell>
          <cell r="E96" t="str">
            <v>ABACUS BALI</v>
          </cell>
          <cell r="F96">
            <v>1</v>
          </cell>
          <cell r="G96" t="str">
            <v>04-Denpasar</v>
          </cell>
          <cell r="H96" t="str">
            <v>B</v>
          </cell>
          <cell r="I96" t="str">
            <v>ATM</v>
          </cell>
          <cell r="J96" t="str">
            <v>Denpasar</v>
          </cell>
          <cell r="K96" t="str">
            <v>Bali Nusra</v>
          </cell>
          <cell r="L96" t="str">
            <v xml:space="preserve">MON-SUN </v>
          </cell>
          <cell r="M96" t="str">
            <v>(00:00 - 23:59)</v>
          </cell>
          <cell r="N96">
            <v>0</v>
          </cell>
          <cell r="O96">
            <v>0</v>
          </cell>
          <cell r="P96">
            <v>0</v>
          </cell>
          <cell r="Q96">
            <v>1440</v>
          </cell>
        </row>
        <row r="97">
          <cell r="B97" t="str">
            <v>032O</v>
          </cell>
          <cell r="C97" t="str">
            <v>Suhel Risdianto</v>
          </cell>
          <cell r="D97" t="str">
            <v>Tuna Long Line Indonesia</v>
          </cell>
          <cell r="E97" t="str">
            <v>ABACUS BALI</v>
          </cell>
          <cell r="F97">
            <v>1</v>
          </cell>
          <cell r="G97" t="str">
            <v>04-Denpasar</v>
          </cell>
          <cell r="H97" t="str">
            <v>B</v>
          </cell>
          <cell r="I97" t="str">
            <v>ATM</v>
          </cell>
          <cell r="J97" t="str">
            <v>Denpasar</v>
          </cell>
          <cell r="K97" t="str">
            <v>Bali Nusra</v>
          </cell>
          <cell r="L97" t="str">
            <v xml:space="preserve">MON-SUN </v>
          </cell>
          <cell r="M97" t="str">
            <v>(00:00 - 23:59)</v>
          </cell>
          <cell r="N97">
            <v>1</v>
          </cell>
          <cell r="O97">
            <v>72</v>
          </cell>
          <cell r="P97">
            <v>5</v>
          </cell>
          <cell r="Q97">
            <v>1440</v>
          </cell>
        </row>
        <row r="98">
          <cell r="B98" t="str">
            <v>032Q</v>
          </cell>
          <cell r="C98" t="str">
            <v>Muhammad Ngainun Najib</v>
          </cell>
          <cell r="D98" t="str">
            <v>Muaya Cafe 19</v>
          </cell>
          <cell r="E98" t="str">
            <v>ABACUS BALI</v>
          </cell>
          <cell r="F98">
            <v>1</v>
          </cell>
          <cell r="G98" t="str">
            <v>04-Denpasar</v>
          </cell>
          <cell r="H98" t="str">
            <v>B</v>
          </cell>
          <cell r="I98" t="str">
            <v>ATM</v>
          </cell>
          <cell r="J98" t="str">
            <v>Denpasar</v>
          </cell>
          <cell r="K98" t="str">
            <v>Bali Nusra</v>
          </cell>
          <cell r="L98" t="str">
            <v xml:space="preserve">MON-SUN </v>
          </cell>
          <cell r="M98" t="str">
            <v>(00:00 - 23:59)</v>
          </cell>
          <cell r="N98">
            <v>0</v>
          </cell>
          <cell r="O98">
            <v>0</v>
          </cell>
          <cell r="P98">
            <v>0</v>
          </cell>
          <cell r="Q98">
            <v>1440</v>
          </cell>
        </row>
        <row r="99">
          <cell r="B99" t="str">
            <v>037W</v>
          </cell>
          <cell r="C99" t="str">
            <v>Yunarius Raynold Gege</v>
          </cell>
          <cell r="D99" t="str">
            <v>Sinar Bangunan Kupang</v>
          </cell>
          <cell r="E99" t="str">
            <v>ADVANTAGE KUPANG</v>
          </cell>
          <cell r="F99">
            <v>1</v>
          </cell>
          <cell r="G99" t="str">
            <v>04-Denpasar</v>
          </cell>
          <cell r="H99" t="str">
            <v>B</v>
          </cell>
          <cell r="I99" t="str">
            <v>ATM</v>
          </cell>
          <cell r="J99" t="str">
            <v>Kupang</v>
          </cell>
          <cell r="K99" t="str">
            <v>Bali Nusra</v>
          </cell>
          <cell r="L99" t="str">
            <v xml:space="preserve">MON-SUN </v>
          </cell>
          <cell r="M99" t="str">
            <v>(00:00 - 23:59)</v>
          </cell>
          <cell r="N99">
            <v>0</v>
          </cell>
          <cell r="O99">
            <v>0</v>
          </cell>
          <cell r="P99">
            <v>0</v>
          </cell>
          <cell r="Q99">
            <v>1440</v>
          </cell>
        </row>
        <row r="100">
          <cell r="B100" t="str">
            <v>051F</v>
          </cell>
          <cell r="C100" t="str">
            <v>I Putu Dendy Pratama</v>
          </cell>
          <cell r="D100" t="str">
            <v>The One Legian</v>
          </cell>
          <cell r="E100" t="str">
            <v>ABACUS BALI</v>
          </cell>
          <cell r="F100">
            <v>1</v>
          </cell>
          <cell r="G100" t="str">
            <v>04-Denpasar</v>
          </cell>
          <cell r="H100" t="str">
            <v>B</v>
          </cell>
          <cell r="I100" t="str">
            <v>ATM</v>
          </cell>
          <cell r="J100" t="str">
            <v>Denpasar</v>
          </cell>
          <cell r="K100" t="str">
            <v>Bali Nusra</v>
          </cell>
          <cell r="L100" t="str">
            <v xml:space="preserve">MON-SUN </v>
          </cell>
          <cell r="M100" t="str">
            <v>(00:00 - 23:59)</v>
          </cell>
          <cell r="N100">
            <v>0</v>
          </cell>
          <cell r="O100">
            <v>0</v>
          </cell>
          <cell r="P100">
            <v>0</v>
          </cell>
          <cell r="Q100">
            <v>1440</v>
          </cell>
        </row>
        <row r="101">
          <cell r="B101" t="str">
            <v>066J</v>
          </cell>
          <cell r="C101" t="str">
            <v>Muhammad Ngainun Najib</v>
          </cell>
          <cell r="D101" t="str">
            <v>CK CK171 BAL0168 Kubu A</v>
          </cell>
          <cell r="E101" t="str">
            <v>ABACUS BALI</v>
          </cell>
          <cell r="F101">
            <v>1</v>
          </cell>
          <cell r="G101" t="str">
            <v>04-Denpasar</v>
          </cell>
          <cell r="H101" t="str">
            <v>B</v>
          </cell>
          <cell r="I101" t="str">
            <v>ATM</v>
          </cell>
          <cell r="J101" t="str">
            <v>Denpasar</v>
          </cell>
          <cell r="K101" t="str">
            <v>Bali Nusra</v>
          </cell>
          <cell r="L101" t="str">
            <v xml:space="preserve">MON-SUN </v>
          </cell>
          <cell r="M101" t="str">
            <v>(00:00 - 23:59)</v>
          </cell>
          <cell r="N101">
            <v>0</v>
          </cell>
          <cell r="O101">
            <v>0</v>
          </cell>
          <cell r="P101">
            <v>0</v>
          </cell>
          <cell r="Q101">
            <v>1440</v>
          </cell>
        </row>
        <row r="102">
          <cell r="B102" t="str">
            <v>066L</v>
          </cell>
          <cell r="C102" t="str">
            <v>Muhammad Ngainun Najib</v>
          </cell>
          <cell r="D102" t="str">
            <v>CK CK102 BAL0139 Toyani</v>
          </cell>
          <cell r="E102" t="str">
            <v>ABACUS BALI</v>
          </cell>
          <cell r="F102">
            <v>1</v>
          </cell>
          <cell r="G102" t="str">
            <v>04-Denpasar</v>
          </cell>
          <cell r="H102" t="str">
            <v>B</v>
          </cell>
          <cell r="I102" t="str">
            <v>ATM</v>
          </cell>
          <cell r="J102" t="str">
            <v>Denpasar</v>
          </cell>
          <cell r="K102" t="str">
            <v>Bali Nusra</v>
          </cell>
          <cell r="L102" t="str">
            <v xml:space="preserve">MON-SUN </v>
          </cell>
          <cell r="M102" t="str">
            <v>(00:00 - 23:59)</v>
          </cell>
          <cell r="N102">
            <v>0</v>
          </cell>
          <cell r="O102">
            <v>0</v>
          </cell>
          <cell r="P102">
            <v>0</v>
          </cell>
          <cell r="Q102">
            <v>1440</v>
          </cell>
        </row>
        <row r="103">
          <cell r="B103" t="str">
            <v>066P</v>
          </cell>
          <cell r="C103" t="str">
            <v>Farozan Ali Fahmi</v>
          </cell>
          <cell r="D103" t="str">
            <v>CK CK154 BAL0251 Ketewe</v>
          </cell>
          <cell r="E103" t="str">
            <v>ABACUS BALI</v>
          </cell>
          <cell r="F103">
            <v>1</v>
          </cell>
          <cell r="G103" t="str">
            <v>04-Denpasar</v>
          </cell>
          <cell r="H103" t="str">
            <v>B</v>
          </cell>
          <cell r="I103" t="str">
            <v>ATM</v>
          </cell>
          <cell r="J103" t="str">
            <v>Denpasar</v>
          </cell>
          <cell r="K103" t="str">
            <v>Bali Nusra</v>
          </cell>
          <cell r="L103" t="str">
            <v xml:space="preserve">MON-SUN </v>
          </cell>
          <cell r="M103" t="str">
            <v>(00:00 - 23:59)</v>
          </cell>
          <cell r="N103">
            <v>0</v>
          </cell>
          <cell r="O103">
            <v>0</v>
          </cell>
          <cell r="P103">
            <v>0</v>
          </cell>
          <cell r="Q103">
            <v>1440</v>
          </cell>
        </row>
        <row r="104">
          <cell r="B104" t="str">
            <v>067E</v>
          </cell>
          <cell r="C104" t="str">
            <v>Farozan Ali Fahmi</v>
          </cell>
          <cell r="D104" t="str">
            <v>IDM WR Supratman Denpasar</v>
          </cell>
          <cell r="E104" t="str">
            <v>ANDALAN BALI</v>
          </cell>
          <cell r="F104">
            <v>1</v>
          </cell>
          <cell r="G104" t="str">
            <v>04-Denpasar</v>
          </cell>
          <cell r="H104" t="str">
            <v>B</v>
          </cell>
          <cell r="I104" t="str">
            <v>ATM</v>
          </cell>
          <cell r="J104" t="str">
            <v>Denpasar</v>
          </cell>
          <cell r="K104" t="str">
            <v>Bali Nusra</v>
          </cell>
          <cell r="L104" t="str">
            <v xml:space="preserve">MON-SUN </v>
          </cell>
          <cell r="M104" t="str">
            <v>(00:00 - 23:59)</v>
          </cell>
          <cell r="N104">
            <v>0</v>
          </cell>
          <cell r="O104">
            <v>0</v>
          </cell>
          <cell r="P104">
            <v>0</v>
          </cell>
          <cell r="Q104">
            <v>1440</v>
          </cell>
        </row>
        <row r="105">
          <cell r="B105" t="str">
            <v>068W</v>
          </cell>
          <cell r="C105" t="str">
            <v>Eko Adi Sugiyantoro</v>
          </cell>
          <cell r="D105" t="str">
            <v>Alfa Q004 Banjar Anyar</v>
          </cell>
          <cell r="E105" t="str">
            <v>ABACUS BALI</v>
          </cell>
          <cell r="F105">
            <v>1</v>
          </cell>
          <cell r="G105" t="str">
            <v>04-Denpasar</v>
          </cell>
          <cell r="H105" t="str">
            <v>B</v>
          </cell>
          <cell r="I105" t="str">
            <v>ATM</v>
          </cell>
          <cell r="J105" t="str">
            <v>Denpasar</v>
          </cell>
          <cell r="K105" t="str">
            <v>Bali Nusra</v>
          </cell>
          <cell r="L105" t="str">
            <v xml:space="preserve">MON-SUN </v>
          </cell>
          <cell r="M105" t="str">
            <v>(00:00 - 23:59)</v>
          </cell>
          <cell r="N105">
            <v>0</v>
          </cell>
          <cell r="O105">
            <v>0</v>
          </cell>
          <cell r="P105">
            <v>0</v>
          </cell>
          <cell r="Q105">
            <v>1440</v>
          </cell>
        </row>
        <row r="106">
          <cell r="B106" t="str">
            <v>068Y</v>
          </cell>
          <cell r="C106" t="str">
            <v>Farozan Ali Fahmi</v>
          </cell>
          <cell r="D106" t="str">
            <v>Alfa Q229 WR Supratman II</v>
          </cell>
          <cell r="E106" t="str">
            <v>ABACUS BALI</v>
          </cell>
          <cell r="F106">
            <v>1</v>
          </cell>
          <cell r="G106" t="str">
            <v>04-Denpasar</v>
          </cell>
          <cell r="H106" t="str">
            <v>B</v>
          </cell>
          <cell r="I106" t="str">
            <v>ATM</v>
          </cell>
          <cell r="J106" t="str">
            <v>Denpasar</v>
          </cell>
          <cell r="K106" t="str">
            <v>Bali Nusra</v>
          </cell>
          <cell r="L106" t="str">
            <v xml:space="preserve">MON-SUN </v>
          </cell>
          <cell r="M106" t="str">
            <v>(00:00 - 23:59)</v>
          </cell>
          <cell r="N106">
            <v>0</v>
          </cell>
          <cell r="O106">
            <v>0</v>
          </cell>
          <cell r="P106">
            <v>0</v>
          </cell>
          <cell r="Q106">
            <v>1440</v>
          </cell>
        </row>
        <row r="107">
          <cell r="B107" t="str">
            <v>074Z</v>
          </cell>
          <cell r="C107" t="str">
            <v>Eko Adi Sugiyantoro</v>
          </cell>
          <cell r="D107" t="str">
            <v>Canggu Plaza 1</v>
          </cell>
          <cell r="E107" t="str">
            <v>ABACUS BALI</v>
          </cell>
          <cell r="F107">
            <v>1</v>
          </cell>
          <cell r="G107" t="str">
            <v>04-Denpasar</v>
          </cell>
          <cell r="H107" t="str">
            <v>B</v>
          </cell>
          <cell r="I107" t="str">
            <v>ATM</v>
          </cell>
          <cell r="J107" t="str">
            <v>Denpasar</v>
          </cell>
          <cell r="K107" t="str">
            <v>Bali Nusra</v>
          </cell>
          <cell r="L107" t="str">
            <v xml:space="preserve">MON-SUN </v>
          </cell>
          <cell r="M107" t="str">
            <v>(00:00 - 23:59)</v>
          </cell>
          <cell r="N107">
            <v>0</v>
          </cell>
          <cell r="O107">
            <v>0</v>
          </cell>
          <cell r="P107">
            <v>0</v>
          </cell>
          <cell r="Q107">
            <v>1440</v>
          </cell>
        </row>
        <row r="108">
          <cell r="B108" t="str">
            <v>093U</v>
          </cell>
          <cell r="C108" t="str">
            <v>Farozan Ali Fahmi</v>
          </cell>
          <cell r="D108" t="str">
            <v>Bali Palm Resort</v>
          </cell>
          <cell r="E108" t="str">
            <v>ABACUS BALI</v>
          </cell>
          <cell r="F108">
            <v>2</v>
          </cell>
          <cell r="G108" t="str">
            <v>04-Denpasar</v>
          </cell>
          <cell r="H108" t="str">
            <v>B</v>
          </cell>
          <cell r="I108" t="str">
            <v>ATM</v>
          </cell>
          <cell r="J108" t="str">
            <v>Denpasar</v>
          </cell>
          <cell r="K108" t="str">
            <v>Bali Nusra</v>
          </cell>
          <cell r="L108" t="str">
            <v xml:space="preserve">MON-SUN </v>
          </cell>
          <cell r="M108" t="str">
            <v>(00:00 - 23:59)</v>
          </cell>
          <cell r="N108">
            <v>0</v>
          </cell>
          <cell r="O108">
            <v>0</v>
          </cell>
          <cell r="P108">
            <v>0</v>
          </cell>
          <cell r="Q108">
            <v>1440</v>
          </cell>
        </row>
        <row r="109">
          <cell r="B109" t="str">
            <v>1017</v>
          </cell>
          <cell r="C109" t="str">
            <v>I Putu Dendy Pratama</v>
          </cell>
          <cell r="D109" t="str">
            <v>United Indo Bali Kuta</v>
          </cell>
          <cell r="E109" t="str">
            <v>ABACUS BALI</v>
          </cell>
          <cell r="F109">
            <v>1</v>
          </cell>
          <cell r="G109" t="str">
            <v>04-Denpasar</v>
          </cell>
          <cell r="H109" t="str">
            <v>B</v>
          </cell>
          <cell r="I109" t="str">
            <v>ATM</v>
          </cell>
          <cell r="J109" t="str">
            <v>Denpasar</v>
          </cell>
          <cell r="K109" t="str">
            <v>Bali Nusra</v>
          </cell>
          <cell r="L109" t="str">
            <v xml:space="preserve">MON-SUN </v>
          </cell>
          <cell r="M109" t="str">
            <v>(00:00 - 23:59)</v>
          </cell>
          <cell r="N109">
            <v>0</v>
          </cell>
          <cell r="O109">
            <v>0</v>
          </cell>
          <cell r="P109">
            <v>0</v>
          </cell>
          <cell r="Q109">
            <v>1440</v>
          </cell>
        </row>
        <row r="110">
          <cell r="B110" t="str">
            <v>135A</v>
          </cell>
          <cell r="C110" t="str">
            <v>Bambang Yuniarko</v>
          </cell>
          <cell r="D110" t="str">
            <v>CK 0252 Letda Made Putra</v>
          </cell>
          <cell r="E110" t="str">
            <v>ANDALAN BALI</v>
          </cell>
          <cell r="F110">
            <v>1</v>
          </cell>
          <cell r="G110" t="str">
            <v>04-Denpasar</v>
          </cell>
          <cell r="H110" t="str">
            <v>B</v>
          </cell>
          <cell r="I110" t="str">
            <v>ATM</v>
          </cell>
          <cell r="J110" t="str">
            <v>Denpasar</v>
          </cell>
          <cell r="K110" t="str">
            <v>Bali Nusra</v>
          </cell>
          <cell r="L110" t="str">
            <v xml:space="preserve">MON-SUN </v>
          </cell>
          <cell r="M110" t="str">
            <v>(00:00 - 23:59)</v>
          </cell>
          <cell r="N110">
            <v>1</v>
          </cell>
          <cell r="O110">
            <v>53</v>
          </cell>
          <cell r="P110">
            <v>3.68</v>
          </cell>
          <cell r="Q110">
            <v>1440</v>
          </cell>
        </row>
        <row r="111">
          <cell r="B111" t="str">
            <v>139P</v>
          </cell>
          <cell r="C111" t="str">
            <v>I Putu Dendy Pratama</v>
          </cell>
          <cell r="D111" t="str">
            <v>CK CK0109 Melasti</v>
          </cell>
          <cell r="E111" t="str">
            <v>ABACUS BALI</v>
          </cell>
          <cell r="F111">
            <v>1</v>
          </cell>
          <cell r="G111" t="str">
            <v>04-Denpasar</v>
          </cell>
          <cell r="H111" t="str">
            <v>B</v>
          </cell>
          <cell r="I111" t="str">
            <v>ATM</v>
          </cell>
          <cell r="J111" t="str">
            <v>Denpasar</v>
          </cell>
          <cell r="K111" t="str">
            <v>Bali Nusra</v>
          </cell>
          <cell r="L111" t="str">
            <v xml:space="preserve">MON-SUN </v>
          </cell>
          <cell r="M111" t="str">
            <v>(00:00 - 23:59)</v>
          </cell>
          <cell r="N111">
            <v>0</v>
          </cell>
          <cell r="O111">
            <v>0</v>
          </cell>
          <cell r="P111">
            <v>0</v>
          </cell>
          <cell r="Q111">
            <v>1440</v>
          </cell>
        </row>
        <row r="112">
          <cell r="B112" t="str">
            <v>139T</v>
          </cell>
          <cell r="C112" t="str">
            <v>Suhel Risdianto</v>
          </cell>
          <cell r="D112" t="str">
            <v>CK CK0136 Br Semer</v>
          </cell>
          <cell r="E112" t="str">
            <v>ABACUS BALI</v>
          </cell>
          <cell r="F112">
            <v>1</v>
          </cell>
          <cell r="G112" t="str">
            <v>04-Denpasar</v>
          </cell>
          <cell r="H112" t="str">
            <v>B</v>
          </cell>
          <cell r="I112" t="str">
            <v>ATM</v>
          </cell>
          <cell r="J112" t="str">
            <v>Denpasar</v>
          </cell>
          <cell r="K112" t="str">
            <v>Bali Nusra</v>
          </cell>
          <cell r="L112" t="str">
            <v xml:space="preserve">MON-SUN </v>
          </cell>
          <cell r="M112" t="str">
            <v>(00:00 - 23:59)</v>
          </cell>
          <cell r="N112">
            <v>0</v>
          </cell>
          <cell r="O112">
            <v>0</v>
          </cell>
          <cell r="P112">
            <v>0</v>
          </cell>
          <cell r="Q112">
            <v>1440</v>
          </cell>
        </row>
        <row r="113">
          <cell r="B113" t="str">
            <v>139U</v>
          </cell>
          <cell r="C113" t="str">
            <v>Arif Rahman Hakim</v>
          </cell>
          <cell r="D113" t="str">
            <v>CK CK0137 Nusa Dua Tragia</v>
          </cell>
          <cell r="E113" t="str">
            <v>ABACUS BALI</v>
          </cell>
          <cell r="F113">
            <v>1</v>
          </cell>
          <cell r="G113" t="str">
            <v>04-Denpasar</v>
          </cell>
          <cell r="H113" t="str">
            <v>B</v>
          </cell>
          <cell r="I113" t="str">
            <v>ATM</v>
          </cell>
          <cell r="J113" t="str">
            <v>Denpasar</v>
          </cell>
          <cell r="K113" t="str">
            <v>Bali Nusra</v>
          </cell>
          <cell r="L113" t="str">
            <v xml:space="preserve">MON-SUN </v>
          </cell>
          <cell r="M113" t="str">
            <v>(00:00 - 23:59)</v>
          </cell>
          <cell r="N113">
            <v>0</v>
          </cell>
          <cell r="O113">
            <v>0</v>
          </cell>
          <cell r="P113">
            <v>0</v>
          </cell>
          <cell r="Q113">
            <v>1440</v>
          </cell>
        </row>
        <row r="114">
          <cell r="B114" t="str">
            <v>142Z</v>
          </cell>
          <cell r="C114" t="str">
            <v>Bambang Yuniarko</v>
          </cell>
          <cell r="D114" t="str">
            <v>CK CK0190 Petitenget</v>
          </cell>
          <cell r="E114" t="str">
            <v>ABACUS BALI</v>
          </cell>
          <cell r="F114">
            <v>1</v>
          </cell>
          <cell r="G114" t="str">
            <v>04-Denpasar</v>
          </cell>
          <cell r="H114" t="str">
            <v>B</v>
          </cell>
          <cell r="I114" t="str">
            <v>ATM</v>
          </cell>
          <cell r="J114" t="str">
            <v>Denpasar</v>
          </cell>
          <cell r="K114" t="str">
            <v>Bali Nusra</v>
          </cell>
          <cell r="L114" t="str">
            <v xml:space="preserve">MON-SUN </v>
          </cell>
          <cell r="M114" t="str">
            <v>(00:00 - 23:59)</v>
          </cell>
          <cell r="N114">
            <v>0</v>
          </cell>
          <cell r="O114">
            <v>0</v>
          </cell>
          <cell r="P114">
            <v>0</v>
          </cell>
          <cell r="Q114">
            <v>1440</v>
          </cell>
        </row>
        <row r="115">
          <cell r="B115" t="str">
            <v>143J</v>
          </cell>
          <cell r="C115" t="str">
            <v>Farozan Ali Fahmi</v>
          </cell>
          <cell r="D115" t="str">
            <v>CK CK0226 WR Supratman</v>
          </cell>
          <cell r="E115" t="str">
            <v>ANDALAN BALI</v>
          </cell>
          <cell r="F115">
            <v>1</v>
          </cell>
          <cell r="G115" t="str">
            <v>04-Denpasar</v>
          </cell>
          <cell r="H115" t="str">
            <v>B</v>
          </cell>
          <cell r="I115" t="str">
            <v>ATM</v>
          </cell>
          <cell r="J115" t="str">
            <v>Denpasar</v>
          </cell>
          <cell r="K115" t="str">
            <v>Bali Nusra</v>
          </cell>
          <cell r="L115" t="str">
            <v xml:space="preserve">MON-SUN </v>
          </cell>
          <cell r="M115" t="str">
            <v>(00:00 - 23:59)</v>
          </cell>
          <cell r="N115">
            <v>0</v>
          </cell>
          <cell r="O115">
            <v>0</v>
          </cell>
          <cell r="P115">
            <v>0</v>
          </cell>
          <cell r="Q115">
            <v>1440</v>
          </cell>
        </row>
        <row r="116">
          <cell r="B116" t="str">
            <v>144Z</v>
          </cell>
          <cell r="C116" t="str">
            <v>Muhammad Ngainun Najib</v>
          </cell>
          <cell r="D116" t="str">
            <v>Yamaha Ngurah Rai</v>
          </cell>
          <cell r="E116" t="str">
            <v>ABACUS BALI</v>
          </cell>
          <cell r="F116">
            <v>1</v>
          </cell>
          <cell r="G116" t="str">
            <v>04-Denpasar</v>
          </cell>
          <cell r="H116" t="str">
            <v>B</v>
          </cell>
          <cell r="I116" t="str">
            <v>ATM</v>
          </cell>
          <cell r="J116" t="str">
            <v>Denpasar</v>
          </cell>
          <cell r="K116" t="str">
            <v>Bali Nusra</v>
          </cell>
          <cell r="L116" t="str">
            <v xml:space="preserve">MON-SUN </v>
          </cell>
          <cell r="M116" t="str">
            <v>(00:00 - 23:59)</v>
          </cell>
          <cell r="N116">
            <v>0</v>
          </cell>
          <cell r="O116">
            <v>0</v>
          </cell>
          <cell r="P116">
            <v>0</v>
          </cell>
          <cell r="Q116">
            <v>1440</v>
          </cell>
        </row>
        <row r="117">
          <cell r="B117" t="str">
            <v>164B</v>
          </cell>
          <cell r="C117" t="str">
            <v>Farozan Ali Fahmi</v>
          </cell>
          <cell r="D117" t="str">
            <v>Alfa Goa Gajah Gianyar</v>
          </cell>
          <cell r="E117" t="str">
            <v>ABACUS BALI</v>
          </cell>
          <cell r="F117">
            <v>2</v>
          </cell>
          <cell r="G117" t="str">
            <v>04-Denpasar</v>
          </cell>
          <cell r="H117" t="str">
            <v>B</v>
          </cell>
          <cell r="I117" t="str">
            <v>ATM</v>
          </cell>
          <cell r="J117" t="str">
            <v>Denpasar</v>
          </cell>
          <cell r="K117" t="str">
            <v>Bali Nusra</v>
          </cell>
          <cell r="L117" t="str">
            <v xml:space="preserve">MON-SUN </v>
          </cell>
          <cell r="M117" t="str">
            <v>(07:00 - 22:00)</v>
          </cell>
          <cell r="N117">
            <v>0</v>
          </cell>
          <cell r="O117">
            <v>0</v>
          </cell>
          <cell r="P117">
            <v>0</v>
          </cell>
          <cell r="Q117">
            <v>900</v>
          </cell>
        </row>
        <row r="118">
          <cell r="B118" t="str">
            <v>164E</v>
          </cell>
          <cell r="C118" t="str">
            <v>I Putu Dendy Pratama</v>
          </cell>
          <cell r="D118" t="str">
            <v>Papaya Fresh Gallery</v>
          </cell>
          <cell r="E118" t="str">
            <v>ABACUS BALI</v>
          </cell>
          <cell r="F118">
            <v>1</v>
          </cell>
          <cell r="G118" t="str">
            <v>04-Denpasar</v>
          </cell>
          <cell r="H118" t="str">
            <v>B</v>
          </cell>
          <cell r="I118" t="str">
            <v>ATM</v>
          </cell>
          <cell r="J118" t="str">
            <v>Denpasar</v>
          </cell>
          <cell r="K118" t="str">
            <v>Bali Nusra</v>
          </cell>
          <cell r="L118" t="str">
            <v xml:space="preserve">MON-SUN </v>
          </cell>
          <cell r="M118" t="str">
            <v>(00:00 - 23:59)</v>
          </cell>
          <cell r="N118">
            <v>0</v>
          </cell>
          <cell r="O118">
            <v>0</v>
          </cell>
          <cell r="P118">
            <v>0</v>
          </cell>
          <cell r="Q118">
            <v>1440</v>
          </cell>
        </row>
        <row r="119">
          <cell r="B119" t="str">
            <v>164R</v>
          </cell>
          <cell r="C119" t="str">
            <v>Yunarius Raynold Gege</v>
          </cell>
          <cell r="D119" t="str">
            <v>SPBU Mitra Kupang</v>
          </cell>
          <cell r="E119" t="str">
            <v>ADVANTAGE KUPANG</v>
          </cell>
          <cell r="F119">
            <v>1</v>
          </cell>
          <cell r="G119" t="str">
            <v>04-Denpasar</v>
          </cell>
          <cell r="H119" t="str">
            <v>B</v>
          </cell>
          <cell r="I119" t="str">
            <v>ATM</v>
          </cell>
          <cell r="J119" t="str">
            <v>Kupang</v>
          </cell>
          <cell r="K119" t="str">
            <v>Bali Nusra</v>
          </cell>
          <cell r="L119" t="str">
            <v xml:space="preserve">MON-SUN </v>
          </cell>
          <cell r="M119" t="str">
            <v>(00:00 - 23:59)</v>
          </cell>
          <cell r="N119">
            <v>0</v>
          </cell>
          <cell r="O119">
            <v>0</v>
          </cell>
          <cell r="P119">
            <v>0</v>
          </cell>
          <cell r="Q119">
            <v>1440</v>
          </cell>
        </row>
        <row r="120">
          <cell r="B120" t="str">
            <v>175C</v>
          </cell>
          <cell r="C120" t="str">
            <v>Arif Rahman Hakim</v>
          </cell>
          <cell r="D120" t="str">
            <v>Padang Padang in</v>
          </cell>
          <cell r="E120" t="str">
            <v>ABACUS BALI</v>
          </cell>
          <cell r="F120">
            <v>1</v>
          </cell>
          <cell r="G120" t="str">
            <v>04-Denpasar</v>
          </cell>
          <cell r="H120" t="str">
            <v>B</v>
          </cell>
          <cell r="I120" t="str">
            <v>ATM</v>
          </cell>
          <cell r="J120" t="str">
            <v>Denpasar</v>
          </cell>
          <cell r="K120" t="str">
            <v>Bali Nusra</v>
          </cell>
          <cell r="L120" t="str">
            <v xml:space="preserve">MON-SUN </v>
          </cell>
          <cell r="M120" t="str">
            <v>(00:00 - 23:59)</v>
          </cell>
          <cell r="N120">
            <v>0</v>
          </cell>
          <cell r="O120">
            <v>0</v>
          </cell>
          <cell r="P120">
            <v>0</v>
          </cell>
          <cell r="Q120">
            <v>1440</v>
          </cell>
        </row>
        <row r="121">
          <cell r="B121" t="str">
            <v>1850</v>
          </cell>
          <cell r="C121" t="str">
            <v>Bambang Yuniarko</v>
          </cell>
          <cell r="D121" t="str">
            <v>RS Surya Husada</v>
          </cell>
          <cell r="E121" t="str">
            <v>ANDALAN BALI</v>
          </cell>
          <cell r="F121">
            <v>1</v>
          </cell>
          <cell r="G121" t="str">
            <v>04-Denpasar</v>
          </cell>
          <cell r="H121" t="str">
            <v>B</v>
          </cell>
          <cell r="I121" t="str">
            <v>ATM</v>
          </cell>
          <cell r="J121" t="str">
            <v>Denpasar</v>
          </cell>
          <cell r="K121" t="str">
            <v>Bali Nusra</v>
          </cell>
          <cell r="L121" t="str">
            <v xml:space="preserve">MON-SUN </v>
          </cell>
          <cell r="M121" t="str">
            <v>(00:00 - 23:59)</v>
          </cell>
          <cell r="N121">
            <v>0</v>
          </cell>
          <cell r="O121">
            <v>0</v>
          </cell>
          <cell r="P121">
            <v>0</v>
          </cell>
          <cell r="Q121">
            <v>1440</v>
          </cell>
        </row>
        <row r="122">
          <cell r="B122" t="str">
            <v>194Y</v>
          </cell>
          <cell r="C122" t="str">
            <v>Farozan Ali Fahmi</v>
          </cell>
          <cell r="D122" t="str">
            <v>Pelabuhan Padang Bai</v>
          </cell>
          <cell r="E122" t="str">
            <v>ABACUS BALI</v>
          </cell>
          <cell r="F122">
            <v>2</v>
          </cell>
          <cell r="G122" t="str">
            <v>04-Denpasar</v>
          </cell>
          <cell r="H122" t="str">
            <v>B</v>
          </cell>
          <cell r="I122" t="str">
            <v>ATM</v>
          </cell>
          <cell r="J122" t="str">
            <v>Denpasar</v>
          </cell>
          <cell r="K122" t="str">
            <v>Bali Nusra</v>
          </cell>
          <cell r="L122" t="str">
            <v xml:space="preserve">MON-SUN </v>
          </cell>
          <cell r="M122" t="str">
            <v>(00:00 - 23:59)</v>
          </cell>
          <cell r="N122">
            <v>0</v>
          </cell>
          <cell r="O122">
            <v>0</v>
          </cell>
          <cell r="P122">
            <v>0</v>
          </cell>
          <cell r="Q122">
            <v>1440</v>
          </cell>
        </row>
        <row r="123">
          <cell r="B123" t="str">
            <v>2045</v>
          </cell>
          <cell r="C123" t="str">
            <v>Muhammad Ngainun Najib</v>
          </cell>
          <cell r="D123" t="str">
            <v>Klinik Tiara Husada Tuban</v>
          </cell>
          <cell r="E123" t="str">
            <v>ABACUS BALI</v>
          </cell>
          <cell r="F123">
            <v>1</v>
          </cell>
          <cell r="G123" t="str">
            <v>04-Denpasar</v>
          </cell>
          <cell r="H123" t="str">
            <v>B</v>
          </cell>
          <cell r="I123" t="str">
            <v>ATM</v>
          </cell>
          <cell r="J123" t="str">
            <v>Denpasar</v>
          </cell>
          <cell r="K123" t="str">
            <v>Bali Nusra</v>
          </cell>
          <cell r="L123" t="str">
            <v xml:space="preserve">MON-SUN </v>
          </cell>
          <cell r="M123" t="str">
            <v>(00:00 - 23:59)</v>
          </cell>
          <cell r="N123">
            <v>0</v>
          </cell>
          <cell r="O123">
            <v>0</v>
          </cell>
          <cell r="P123">
            <v>0</v>
          </cell>
          <cell r="Q123">
            <v>1440</v>
          </cell>
        </row>
        <row r="124">
          <cell r="B124" t="str">
            <v>205H</v>
          </cell>
          <cell r="C124" t="str">
            <v>Muhammad Ngainun Najib</v>
          </cell>
          <cell r="D124" t="str">
            <v>Krisna Oleh Oleh Tuban</v>
          </cell>
          <cell r="E124" t="str">
            <v>ABACUS BALI</v>
          </cell>
          <cell r="F124">
            <v>1</v>
          </cell>
          <cell r="G124" t="str">
            <v>04-Denpasar</v>
          </cell>
          <cell r="H124" t="str">
            <v>B</v>
          </cell>
          <cell r="I124" t="str">
            <v>ATM</v>
          </cell>
          <cell r="J124" t="str">
            <v>Denpasar</v>
          </cell>
          <cell r="K124" t="str">
            <v>Bali Nusra</v>
          </cell>
          <cell r="L124" t="str">
            <v xml:space="preserve">MON-SUN </v>
          </cell>
          <cell r="M124" t="str">
            <v>(00:00 - 23:59)</v>
          </cell>
          <cell r="N124">
            <v>0</v>
          </cell>
          <cell r="O124">
            <v>0</v>
          </cell>
          <cell r="P124">
            <v>0</v>
          </cell>
          <cell r="Q124">
            <v>1440</v>
          </cell>
        </row>
        <row r="125">
          <cell r="B125" t="str">
            <v>226K</v>
          </cell>
          <cell r="C125" t="str">
            <v>Farozan Ali Fahmi</v>
          </cell>
          <cell r="D125" t="str">
            <v>Dapur Lebih Gianyar</v>
          </cell>
          <cell r="E125" t="str">
            <v>ABACUS BALI</v>
          </cell>
          <cell r="F125">
            <v>1</v>
          </cell>
          <cell r="G125" t="str">
            <v>04-Denpasar</v>
          </cell>
          <cell r="H125" t="str">
            <v>B</v>
          </cell>
          <cell r="I125" t="str">
            <v>ATM</v>
          </cell>
          <cell r="J125" t="str">
            <v>Denpasar</v>
          </cell>
          <cell r="K125" t="str">
            <v>Bali Nusra</v>
          </cell>
          <cell r="L125" t="str">
            <v xml:space="preserve">MON-SUN </v>
          </cell>
          <cell r="M125" t="str">
            <v>(00:00 - 23:59)</v>
          </cell>
          <cell r="N125">
            <v>1</v>
          </cell>
          <cell r="O125">
            <v>37</v>
          </cell>
          <cell r="P125">
            <v>2.57</v>
          </cell>
          <cell r="Q125">
            <v>1440</v>
          </cell>
        </row>
        <row r="126">
          <cell r="B126" t="str">
            <v>226L</v>
          </cell>
          <cell r="C126" t="str">
            <v>I Putu Dendy Pratama</v>
          </cell>
          <cell r="D126" t="str">
            <v>Boshe Club</v>
          </cell>
          <cell r="E126" t="str">
            <v>ABACUS BALI</v>
          </cell>
          <cell r="F126">
            <v>1</v>
          </cell>
          <cell r="G126" t="str">
            <v>04-Denpasar</v>
          </cell>
          <cell r="H126" t="str">
            <v>B</v>
          </cell>
          <cell r="I126" t="str">
            <v>ATM</v>
          </cell>
          <cell r="J126" t="str">
            <v>Denpasar</v>
          </cell>
          <cell r="K126" t="str">
            <v>Bali Nusra</v>
          </cell>
          <cell r="L126" t="str">
            <v xml:space="preserve">MON-SUN </v>
          </cell>
          <cell r="M126" t="str">
            <v>(00:00 - 23:59)</v>
          </cell>
          <cell r="N126">
            <v>0</v>
          </cell>
          <cell r="O126">
            <v>0</v>
          </cell>
          <cell r="P126">
            <v>0</v>
          </cell>
          <cell r="Q126">
            <v>1440</v>
          </cell>
        </row>
        <row r="127">
          <cell r="B127" t="str">
            <v>238X</v>
          </cell>
          <cell r="C127" t="str">
            <v>Leonardo A Ruly</v>
          </cell>
          <cell r="D127" t="str">
            <v>Hotel Cendana</v>
          </cell>
          <cell r="E127" t="str">
            <v>ADVANTAGE KUPANG</v>
          </cell>
          <cell r="F127">
            <v>1</v>
          </cell>
          <cell r="G127" t="str">
            <v>04-Denpasar</v>
          </cell>
          <cell r="H127" t="str">
            <v>B</v>
          </cell>
          <cell r="I127" t="str">
            <v>ATM</v>
          </cell>
          <cell r="J127" t="str">
            <v>Kupang</v>
          </cell>
          <cell r="K127" t="str">
            <v>Bali Nusra</v>
          </cell>
          <cell r="L127" t="str">
            <v xml:space="preserve">MON-SUN </v>
          </cell>
          <cell r="M127" t="str">
            <v>(00:00 - 23:59)</v>
          </cell>
          <cell r="N127">
            <v>0</v>
          </cell>
          <cell r="O127">
            <v>0</v>
          </cell>
          <cell r="P127">
            <v>0</v>
          </cell>
          <cell r="Q127">
            <v>1440</v>
          </cell>
        </row>
        <row r="128">
          <cell r="B128" t="str">
            <v>253H</v>
          </cell>
          <cell r="C128" t="str">
            <v>Muhammad Gufron Sofyan</v>
          </cell>
          <cell r="D128" t="str">
            <v>Hotel Adi Asri</v>
          </cell>
          <cell r="E128" t="str">
            <v>ABACUS BALI</v>
          </cell>
          <cell r="F128">
            <v>2</v>
          </cell>
          <cell r="G128" t="str">
            <v>04-Denpasar</v>
          </cell>
          <cell r="H128" t="str">
            <v>B</v>
          </cell>
          <cell r="I128" t="str">
            <v>ATM</v>
          </cell>
          <cell r="J128" t="str">
            <v>Negara</v>
          </cell>
          <cell r="K128" t="str">
            <v>Bali Nusra</v>
          </cell>
          <cell r="L128" t="str">
            <v xml:space="preserve">MON-SUN </v>
          </cell>
          <cell r="M128" t="str">
            <v>(00:00 - 23:59)</v>
          </cell>
          <cell r="N128">
            <v>0</v>
          </cell>
          <cell r="O128">
            <v>0</v>
          </cell>
          <cell r="P128">
            <v>0</v>
          </cell>
          <cell r="Q128">
            <v>1440</v>
          </cell>
        </row>
        <row r="129">
          <cell r="B129" t="str">
            <v>2574</v>
          </cell>
          <cell r="C129" t="str">
            <v>I Putu Dendy Pratama</v>
          </cell>
          <cell r="D129" t="str">
            <v>CK 151 Pulau Bungin</v>
          </cell>
          <cell r="E129" t="str">
            <v>ABACUS BALI</v>
          </cell>
          <cell r="F129">
            <v>1</v>
          </cell>
          <cell r="G129" t="str">
            <v>04-Denpasar</v>
          </cell>
          <cell r="H129" t="str">
            <v>B</v>
          </cell>
          <cell r="I129" t="str">
            <v>ATM</v>
          </cell>
          <cell r="J129" t="str">
            <v>Denpasar</v>
          </cell>
          <cell r="K129" t="str">
            <v>Bali Nusra</v>
          </cell>
          <cell r="L129" t="str">
            <v xml:space="preserve">MON-SUN </v>
          </cell>
          <cell r="M129" t="str">
            <v>(00:00 - 23:59)</v>
          </cell>
          <cell r="N129">
            <v>0</v>
          </cell>
          <cell r="O129">
            <v>0</v>
          </cell>
          <cell r="P129">
            <v>0</v>
          </cell>
          <cell r="Q129">
            <v>1440</v>
          </cell>
        </row>
        <row r="130">
          <cell r="B130" t="str">
            <v>2578</v>
          </cell>
          <cell r="C130" t="str">
            <v>Farozan Ali Fahmi</v>
          </cell>
          <cell r="D130" t="str">
            <v>Toko Sepatu Surabaya</v>
          </cell>
          <cell r="E130" t="str">
            <v>ANDALAN BALI</v>
          </cell>
          <cell r="F130">
            <v>1</v>
          </cell>
          <cell r="G130" t="str">
            <v>04-Denpasar</v>
          </cell>
          <cell r="H130" t="str">
            <v>B</v>
          </cell>
          <cell r="I130" t="str">
            <v>ATM</v>
          </cell>
          <cell r="J130" t="str">
            <v>Denpasar</v>
          </cell>
          <cell r="K130" t="str">
            <v>Bali Nusra</v>
          </cell>
          <cell r="L130" t="str">
            <v xml:space="preserve">MON-SUN </v>
          </cell>
          <cell r="M130" t="str">
            <v>(00:00 - 23:59)</v>
          </cell>
          <cell r="N130">
            <v>0</v>
          </cell>
          <cell r="O130">
            <v>0</v>
          </cell>
          <cell r="P130">
            <v>0</v>
          </cell>
          <cell r="Q130">
            <v>1440</v>
          </cell>
        </row>
        <row r="131">
          <cell r="B131" t="str">
            <v>262R</v>
          </cell>
          <cell r="C131" t="str">
            <v>Lalu Riswan Hadi</v>
          </cell>
          <cell r="D131" t="str">
            <v>SPBU Bengkel</v>
          </cell>
          <cell r="E131" t="str">
            <v>ADVANTAGE CAKRANEGARA</v>
          </cell>
          <cell r="F131">
            <v>1</v>
          </cell>
          <cell r="G131" t="str">
            <v>04-Denpasar</v>
          </cell>
          <cell r="H131" t="str">
            <v>B</v>
          </cell>
          <cell r="I131" t="str">
            <v>ATM</v>
          </cell>
          <cell r="J131" t="str">
            <v>Mataram</v>
          </cell>
          <cell r="K131" t="str">
            <v>Bali Nusra</v>
          </cell>
          <cell r="L131" t="str">
            <v xml:space="preserve">MON-SUN </v>
          </cell>
          <cell r="M131" t="str">
            <v>(00:00 - 23:59)</v>
          </cell>
          <cell r="N131">
            <v>0</v>
          </cell>
          <cell r="O131">
            <v>0</v>
          </cell>
          <cell r="P131">
            <v>0</v>
          </cell>
          <cell r="Q131">
            <v>1440</v>
          </cell>
        </row>
        <row r="132">
          <cell r="B132" t="str">
            <v>263L</v>
          </cell>
          <cell r="C132" t="str">
            <v>Bambang Yuniarko</v>
          </cell>
          <cell r="D132" t="str">
            <v>Circle K 113 Bal 0227 Waturenggong</v>
          </cell>
          <cell r="E132" t="str">
            <v>ANDALAN BALI</v>
          </cell>
          <cell r="F132">
            <v>1</v>
          </cell>
          <cell r="G132" t="str">
            <v>04-Denpasar</v>
          </cell>
          <cell r="H132" t="str">
            <v>B</v>
          </cell>
          <cell r="I132" t="str">
            <v>ATM</v>
          </cell>
          <cell r="J132" t="str">
            <v>Denpasar</v>
          </cell>
          <cell r="K132" t="str">
            <v>Bali Nusra</v>
          </cell>
          <cell r="L132" t="str">
            <v xml:space="preserve">MON-SUN </v>
          </cell>
          <cell r="M132" t="str">
            <v>(00:00 - 23:59)</v>
          </cell>
          <cell r="N132">
            <v>0</v>
          </cell>
          <cell r="O132">
            <v>0</v>
          </cell>
          <cell r="P132">
            <v>0</v>
          </cell>
          <cell r="Q132">
            <v>1440</v>
          </cell>
        </row>
        <row r="133">
          <cell r="B133" t="str">
            <v>273J</v>
          </cell>
          <cell r="C133" t="str">
            <v>Arif Rahman Hakim</v>
          </cell>
          <cell r="D133" t="str">
            <v>Minimarket Udayana</v>
          </cell>
          <cell r="E133" t="str">
            <v>ABACUS BALI</v>
          </cell>
          <cell r="F133">
            <v>1</v>
          </cell>
          <cell r="G133" t="str">
            <v>04-Denpasar</v>
          </cell>
          <cell r="H133" t="str">
            <v>B</v>
          </cell>
          <cell r="I133" t="str">
            <v>ATM</v>
          </cell>
          <cell r="J133" t="str">
            <v>Denpasar</v>
          </cell>
          <cell r="K133" t="str">
            <v>Bali Nusra</v>
          </cell>
          <cell r="L133" t="str">
            <v xml:space="preserve">MON-SUN </v>
          </cell>
          <cell r="M133" t="str">
            <v>(00:00 - 23:59)</v>
          </cell>
          <cell r="N133">
            <v>0</v>
          </cell>
          <cell r="O133">
            <v>0</v>
          </cell>
          <cell r="P133">
            <v>0</v>
          </cell>
          <cell r="Q133">
            <v>1440</v>
          </cell>
        </row>
        <row r="134">
          <cell r="B134" t="str">
            <v>273K</v>
          </cell>
          <cell r="C134" t="str">
            <v>Arif Rahman Hakim</v>
          </cell>
          <cell r="D134" t="str">
            <v>Pepito Express Uluwatu</v>
          </cell>
          <cell r="E134" t="str">
            <v>ABACUS BALI</v>
          </cell>
          <cell r="F134">
            <v>1</v>
          </cell>
          <cell r="G134" t="str">
            <v>04-Denpasar</v>
          </cell>
          <cell r="H134" t="str">
            <v>B</v>
          </cell>
          <cell r="I134" t="str">
            <v>ATM</v>
          </cell>
          <cell r="J134" t="str">
            <v>Denpasar</v>
          </cell>
          <cell r="K134" t="str">
            <v>Bali Nusra</v>
          </cell>
          <cell r="L134" t="str">
            <v xml:space="preserve">MON-SUN </v>
          </cell>
          <cell r="M134" t="str">
            <v>(00:00 - 23:59)</v>
          </cell>
          <cell r="N134">
            <v>0</v>
          </cell>
          <cell r="O134">
            <v>0</v>
          </cell>
          <cell r="P134">
            <v>0</v>
          </cell>
          <cell r="Q134">
            <v>1440</v>
          </cell>
        </row>
        <row r="135">
          <cell r="B135" t="str">
            <v>273M</v>
          </cell>
          <cell r="C135" t="str">
            <v>I Putu Dendy Pratama</v>
          </cell>
          <cell r="D135" t="str">
            <v>Minimarket Pantai Kuta ( JLP III )</v>
          </cell>
          <cell r="E135" t="str">
            <v>ABACUS BALI</v>
          </cell>
          <cell r="F135">
            <v>1</v>
          </cell>
          <cell r="G135" t="str">
            <v>04-Denpasar</v>
          </cell>
          <cell r="H135" t="str">
            <v>B</v>
          </cell>
          <cell r="I135" t="str">
            <v>ATM</v>
          </cell>
          <cell r="J135" t="str">
            <v>Denpasar</v>
          </cell>
          <cell r="K135" t="str">
            <v>Bali Nusra</v>
          </cell>
          <cell r="L135" t="str">
            <v xml:space="preserve">MON-SUN </v>
          </cell>
          <cell r="M135" t="str">
            <v>(00:00 - 23:59)</v>
          </cell>
          <cell r="N135">
            <v>0</v>
          </cell>
          <cell r="O135">
            <v>0</v>
          </cell>
          <cell r="P135">
            <v>0</v>
          </cell>
          <cell r="Q135">
            <v>1440</v>
          </cell>
        </row>
        <row r="136">
          <cell r="B136" t="str">
            <v>285L</v>
          </cell>
          <cell r="C136" t="str">
            <v>Leonardo A Ruly</v>
          </cell>
          <cell r="D136" t="str">
            <v>Bandara Eltari Kupang</v>
          </cell>
          <cell r="E136" t="str">
            <v>ADVANTAGE KUPANG</v>
          </cell>
          <cell r="F136">
            <v>1</v>
          </cell>
          <cell r="G136" t="str">
            <v>04-Denpasar</v>
          </cell>
          <cell r="H136" t="str">
            <v>B</v>
          </cell>
          <cell r="I136" t="str">
            <v>ATM</v>
          </cell>
          <cell r="J136" t="str">
            <v>Kupang</v>
          </cell>
          <cell r="K136" t="str">
            <v>Bali Nusra</v>
          </cell>
          <cell r="L136" t="str">
            <v xml:space="preserve">MON-SUN </v>
          </cell>
          <cell r="M136" t="str">
            <v>(04:00 - 23:00)</v>
          </cell>
          <cell r="N136">
            <v>0</v>
          </cell>
          <cell r="O136">
            <v>0</v>
          </cell>
          <cell r="P136">
            <v>0</v>
          </cell>
          <cell r="Q136">
            <v>1140</v>
          </cell>
        </row>
        <row r="137">
          <cell r="B137" t="str">
            <v>2900</v>
          </cell>
          <cell r="C137" t="str">
            <v>Suhel Risdianto</v>
          </cell>
          <cell r="D137" t="str">
            <v>Ryosi Japanese Restaurant</v>
          </cell>
          <cell r="E137" t="str">
            <v>ABACUS BALI</v>
          </cell>
          <cell r="F137">
            <v>1</v>
          </cell>
          <cell r="G137" t="str">
            <v>04-Denpasar</v>
          </cell>
          <cell r="H137" t="str">
            <v>B</v>
          </cell>
          <cell r="I137" t="str">
            <v>ATM</v>
          </cell>
          <cell r="J137" t="str">
            <v>Denpasar</v>
          </cell>
          <cell r="K137" t="str">
            <v>Bali Nusra</v>
          </cell>
          <cell r="L137" t="str">
            <v xml:space="preserve">MON-SUN </v>
          </cell>
          <cell r="M137" t="str">
            <v>(00:00 - 23:59)</v>
          </cell>
          <cell r="N137">
            <v>2</v>
          </cell>
          <cell r="O137">
            <v>200</v>
          </cell>
          <cell r="P137">
            <v>13.89</v>
          </cell>
          <cell r="Q137">
            <v>1440</v>
          </cell>
        </row>
        <row r="138">
          <cell r="B138" t="str">
            <v>2980</v>
          </cell>
          <cell r="C138" t="str">
            <v>Suhel Risdianto</v>
          </cell>
          <cell r="D138" t="str">
            <v>LotteM Denpasar</v>
          </cell>
          <cell r="E138" t="str">
            <v>ABACUS BALI</v>
          </cell>
          <cell r="F138">
            <v>1</v>
          </cell>
          <cell r="G138" t="str">
            <v>04-Denpasar</v>
          </cell>
          <cell r="H138" t="str">
            <v>B</v>
          </cell>
          <cell r="I138" t="str">
            <v>ATM</v>
          </cell>
          <cell r="J138" t="str">
            <v>Denpasar</v>
          </cell>
          <cell r="K138" t="str">
            <v>Bali Nusra</v>
          </cell>
          <cell r="L138" t="str">
            <v xml:space="preserve">MON-SUN </v>
          </cell>
          <cell r="M138" t="str">
            <v>(07:00 - 22:00)</v>
          </cell>
          <cell r="N138">
            <v>0</v>
          </cell>
          <cell r="O138">
            <v>0</v>
          </cell>
          <cell r="P138">
            <v>0</v>
          </cell>
          <cell r="Q138">
            <v>900</v>
          </cell>
        </row>
        <row r="139">
          <cell r="B139" t="str">
            <v>305P</v>
          </cell>
          <cell r="C139" t="str">
            <v>Revaldi Resha Wardhana</v>
          </cell>
          <cell r="D139" t="str">
            <v>CK 0244 Gunung Sanghyang</v>
          </cell>
          <cell r="E139" t="str">
            <v>ABACUS BALI</v>
          </cell>
          <cell r="F139">
            <v>1</v>
          </cell>
          <cell r="G139" t="str">
            <v>04-Denpasar</v>
          </cell>
          <cell r="H139" t="str">
            <v>B</v>
          </cell>
          <cell r="I139" t="str">
            <v>ATM</v>
          </cell>
          <cell r="J139" t="str">
            <v>Denpasar</v>
          </cell>
          <cell r="K139" t="str">
            <v>Bali Nusra</v>
          </cell>
          <cell r="L139" t="str">
            <v xml:space="preserve">MON-SUN </v>
          </cell>
          <cell r="M139" t="str">
            <v>(00:00 - 23:59)</v>
          </cell>
          <cell r="N139">
            <v>0</v>
          </cell>
          <cell r="O139">
            <v>0</v>
          </cell>
          <cell r="P139">
            <v>0</v>
          </cell>
          <cell r="Q139">
            <v>1440</v>
          </cell>
        </row>
        <row r="140">
          <cell r="B140" t="str">
            <v>305Q</v>
          </cell>
          <cell r="C140" t="str">
            <v>Eko Adi Sugiyantoro</v>
          </cell>
          <cell r="D140" t="str">
            <v>CK 0405 Munggu Mengwi</v>
          </cell>
          <cell r="E140" t="str">
            <v>ABACUS BALI</v>
          </cell>
          <cell r="F140">
            <v>1</v>
          </cell>
          <cell r="G140" t="str">
            <v>04-Denpasar</v>
          </cell>
          <cell r="H140" t="str">
            <v>B</v>
          </cell>
          <cell r="I140" t="str">
            <v>ATM</v>
          </cell>
          <cell r="J140" t="str">
            <v>Denpasar</v>
          </cell>
          <cell r="K140" t="str">
            <v>Bali Nusra</v>
          </cell>
          <cell r="L140" t="str">
            <v xml:space="preserve">MON-SUN </v>
          </cell>
          <cell r="M140" t="str">
            <v>(00:00 - 23:59)</v>
          </cell>
          <cell r="N140">
            <v>1</v>
          </cell>
          <cell r="O140">
            <v>55</v>
          </cell>
          <cell r="P140">
            <v>3.82</v>
          </cell>
          <cell r="Q140">
            <v>1440</v>
          </cell>
        </row>
        <row r="141">
          <cell r="B141" t="str">
            <v>315E</v>
          </cell>
          <cell r="C141" t="str">
            <v>Muhammad Ngainun Najib</v>
          </cell>
          <cell r="D141" t="str">
            <v>Alfa Uluwatu V</v>
          </cell>
          <cell r="E141" t="str">
            <v>ABACUS BALI</v>
          </cell>
          <cell r="F141">
            <v>1</v>
          </cell>
          <cell r="G141" t="str">
            <v>04-Denpasar</v>
          </cell>
          <cell r="H141" t="str">
            <v>B</v>
          </cell>
          <cell r="I141" t="str">
            <v>ATM</v>
          </cell>
          <cell r="J141" t="str">
            <v>Denpasar</v>
          </cell>
          <cell r="K141" t="str">
            <v>Bali Nusra</v>
          </cell>
          <cell r="L141" t="str">
            <v xml:space="preserve">MON-SUN </v>
          </cell>
          <cell r="M141" t="str">
            <v>(00:00 - 23:59)</v>
          </cell>
          <cell r="N141">
            <v>1</v>
          </cell>
          <cell r="O141">
            <v>30</v>
          </cell>
          <cell r="P141">
            <v>2.08</v>
          </cell>
          <cell r="Q141">
            <v>1440</v>
          </cell>
        </row>
        <row r="142">
          <cell r="B142" t="str">
            <v>320T</v>
          </cell>
          <cell r="C142" t="str">
            <v>Muhammad Ngainun Najib</v>
          </cell>
          <cell r="D142" t="str">
            <v>Ayana Resort Spa Bali</v>
          </cell>
          <cell r="E142" t="str">
            <v>ABACUS BALI</v>
          </cell>
          <cell r="F142">
            <v>1</v>
          </cell>
          <cell r="G142" t="str">
            <v>04-Denpasar</v>
          </cell>
          <cell r="H142" t="str">
            <v>B</v>
          </cell>
          <cell r="I142" t="str">
            <v>ATM</v>
          </cell>
          <cell r="J142" t="str">
            <v>Denpasar</v>
          </cell>
          <cell r="K142" t="str">
            <v>Bali Nusra</v>
          </cell>
          <cell r="L142" t="str">
            <v xml:space="preserve">MON-SUN </v>
          </cell>
          <cell r="M142" t="str">
            <v>(00:00 - 23:59)</v>
          </cell>
          <cell r="N142">
            <v>0</v>
          </cell>
          <cell r="O142">
            <v>0</v>
          </cell>
          <cell r="P142">
            <v>0</v>
          </cell>
          <cell r="Q142">
            <v>1440</v>
          </cell>
        </row>
        <row r="143">
          <cell r="B143" t="str">
            <v>334R</v>
          </cell>
          <cell r="C143" t="str">
            <v>Arif Rahman Hakim</v>
          </cell>
          <cell r="D143" t="str">
            <v>Pepito Express Pecatu</v>
          </cell>
          <cell r="E143" t="str">
            <v>ABACUS BALI</v>
          </cell>
          <cell r="F143">
            <v>1</v>
          </cell>
          <cell r="G143" t="str">
            <v>04-Denpasar</v>
          </cell>
          <cell r="H143" t="str">
            <v>B</v>
          </cell>
          <cell r="I143" t="str">
            <v>ATM</v>
          </cell>
          <cell r="J143" t="str">
            <v>Denpasar</v>
          </cell>
          <cell r="K143" t="str">
            <v>Bali Nusra</v>
          </cell>
          <cell r="L143" t="str">
            <v xml:space="preserve">MON-SUN </v>
          </cell>
          <cell r="M143" t="str">
            <v>(00:00 - 23:59)</v>
          </cell>
          <cell r="N143">
            <v>0</v>
          </cell>
          <cell r="O143">
            <v>0</v>
          </cell>
          <cell r="P143">
            <v>0</v>
          </cell>
          <cell r="Q143">
            <v>1440</v>
          </cell>
        </row>
        <row r="144">
          <cell r="B144" t="str">
            <v>334U</v>
          </cell>
          <cell r="C144" t="str">
            <v>Bambang Yuniarko</v>
          </cell>
          <cell r="D144" t="str">
            <v>Pepito Petitenget</v>
          </cell>
          <cell r="E144" t="str">
            <v>ABACUS BALI</v>
          </cell>
          <cell r="F144">
            <v>1</v>
          </cell>
          <cell r="G144" t="str">
            <v>04-Denpasar</v>
          </cell>
          <cell r="H144" t="str">
            <v>B</v>
          </cell>
          <cell r="I144" t="str">
            <v>ATM</v>
          </cell>
          <cell r="J144" t="str">
            <v>Denpasar</v>
          </cell>
          <cell r="K144" t="str">
            <v>Bali Nusra</v>
          </cell>
          <cell r="L144" t="str">
            <v xml:space="preserve">MON-SUN </v>
          </cell>
          <cell r="M144" t="str">
            <v>(00:00 - 23:59)</v>
          </cell>
          <cell r="N144">
            <v>0</v>
          </cell>
          <cell r="O144">
            <v>0</v>
          </cell>
          <cell r="P144">
            <v>0</v>
          </cell>
          <cell r="Q144">
            <v>1440</v>
          </cell>
        </row>
        <row r="145">
          <cell r="B145" t="str">
            <v>334V</v>
          </cell>
          <cell r="C145" t="str">
            <v>Farozan Ali Fahmi</v>
          </cell>
          <cell r="D145" t="str">
            <v>Minimart Sanur</v>
          </cell>
          <cell r="E145" t="str">
            <v>ANDALAN BALI</v>
          </cell>
          <cell r="F145">
            <v>1</v>
          </cell>
          <cell r="G145" t="str">
            <v>04-Denpasar</v>
          </cell>
          <cell r="H145" t="str">
            <v>B</v>
          </cell>
          <cell r="I145" t="str">
            <v>ATM</v>
          </cell>
          <cell r="J145" t="str">
            <v>Denpasar</v>
          </cell>
          <cell r="K145" t="str">
            <v>Bali Nusra</v>
          </cell>
          <cell r="L145" t="str">
            <v xml:space="preserve">MON-SUN </v>
          </cell>
          <cell r="M145" t="str">
            <v>(00:00 - 23:59)</v>
          </cell>
          <cell r="N145">
            <v>0</v>
          </cell>
          <cell r="O145">
            <v>0</v>
          </cell>
          <cell r="P145">
            <v>0</v>
          </cell>
          <cell r="Q145">
            <v>1440</v>
          </cell>
        </row>
        <row r="146">
          <cell r="B146" t="str">
            <v>334Z</v>
          </cell>
          <cell r="C146" t="str">
            <v>Muhammad Ngainun Najib</v>
          </cell>
          <cell r="D146" t="str">
            <v>Minimart By Pass Jimbaran</v>
          </cell>
          <cell r="E146" t="str">
            <v>ABACUS BALI</v>
          </cell>
          <cell r="F146">
            <v>1</v>
          </cell>
          <cell r="G146" t="str">
            <v>04-Denpasar</v>
          </cell>
          <cell r="H146" t="str">
            <v>B</v>
          </cell>
          <cell r="I146" t="str">
            <v>ATM</v>
          </cell>
          <cell r="J146" t="str">
            <v>Denpasar</v>
          </cell>
          <cell r="K146" t="str">
            <v>Bali Nusra</v>
          </cell>
          <cell r="L146" t="str">
            <v xml:space="preserve">MON-SUN </v>
          </cell>
          <cell r="M146" t="str">
            <v>(00:00 - 23:59)</v>
          </cell>
          <cell r="N146">
            <v>0</v>
          </cell>
          <cell r="O146">
            <v>0</v>
          </cell>
          <cell r="P146">
            <v>0</v>
          </cell>
          <cell r="Q146">
            <v>1440</v>
          </cell>
        </row>
        <row r="147">
          <cell r="B147" t="str">
            <v>3353</v>
          </cell>
          <cell r="C147" t="str">
            <v>Muhammad Ngainun Najib</v>
          </cell>
          <cell r="D147" t="str">
            <v>Pepito Supermarket</v>
          </cell>
          <cell r="E147" t="str">
            <v>ABACUS BALI</v>
          </cell>
          <cell r="F147">
            <v>1</v>
          </cell>
          <cell r="G147" t="str">
            <v>04-Denpasar</v>
          </cell>
          <cell r="H147" t="str">
            <v>B</v>
          </cell>
          <cell r="I147" t="str">
            <v>ATM</v>
          </cell>
          <cell r="J147" t="str">
            <v>Denpasar</v>
          </cell>
          <cell r="K147" t="str">
            <v>Bali Nusra</v>
          </cell>
          <cell r="L147" t="str">
            <v xml:space="preserve">MON-SUN </v>
          </cell>
          <cell r="M147" t="str">
            <v>(00:00 - 23:59)</v>
          </cell>
          <cell r="N147">
            <v>0</v>
          </cell>
          <cell r="O147">
            <v>0</v>
          </cell>
          <cell r="P147">
            <v>0</v>
          </cell>
          <cell r="Q147">
            <v>1440</v>
          </cell>
        </row>
        <row r="148">
          <cell r="B148" t="str">
            <v>345R</v>
          </cell>
          <cell r="C148" t="str">
            <v>Muhammad Hidayatullah</v>
          </cell>
          <cell r="D148" t="str">
            <v>Alfa M Yamin Selong</v>
          </cell>
          <cell r="E148" t="str">
            <v>ADVANTAGE CAKRANEGARA</v>
          </cell>
          <cell r="F148">
            <v>1</v>
          </cell>
          <cell r="G148" t="str">
            <v>04-Denpasar</v>
          </cell>
          <cell r="H148" t="str">
            <v>B</v>
          </cell>
          <cell r="I148" t="str">
            <v>ATM</v>
          </cell>
          <cell r="J148" t="str">
            <v>Lombok Timur</v>
          </cell>
          <cell r="K148" t="str">
            <v>Bali Nusra</v>
          </cell>
          <cell r="L148" t="str">
            <v xml:space="preserve">MON-SUN </v>
          </cell>
          <cell r="M148" t="str">
            <v>(07:00 - 22:00)</v>
          </cell>
          <cell r="N148">
            <v>0</v>
          </cell>
          <cell r="O148">
            <v>0</v>
          </cell>
          <cell r="P148">
            <v>0</v>
          </cell>
          <cell r="Q148">
            <v>900</v>
          </cell>
        </row>
        <row r="149">
          <cell r="B149" t="str">
            <v>353D</v>
          </cell>
          <cell r="C149" t="str">
            <v>Revaldi Resha Wardhana</v>
          </cell>
          <cell r="D149" t="str">
            <v>Bank Indonesia Denpasar</v>
          </cell>
          <cell r="E149" t="str">
            <v>ANDALAN BALI</v>
          </cell>
          <cell r="F149">
            <v>1</v>
          </cell>
          <cell r="G149" t="str">
            <v>04-Denpasar</v>
          </cell>
          <cell r="H149" t="str">
            <v>B</v>
          </cell>
          <cell r="I149" t="str">
            <v>ATM</v>
          </cell>
          <cell r="J149" t="str">
            <v>Denpasar</v>
          </cell>
          <cell r="K149" t="str">
            <v>Bali Nusra</v>
          </cell>
          <cell r="L149" t="str">
            <v xml:space="preserve">MON-FRI </v>
          </cell>
          <cell r="M149" t="str">
            <v>(08:00 - 17:00)</v>
          </cell>
          <cell r="N149">
            <v>0</v>
          </cell>
          <cell r="O149">
            <v>0</v>
          </cell>
          <cell r="P149">
            <v>0</v>
          </cell>
          <cell r="Q149">
            <v>540</v>
          </cell>
        </row>
        <row r="150">
          <cell r="B150" t="str">
            <v>355T</v>
          </cell>
          <cell r="C150" t="str">
            <v>Eko Adi Sugiyantoro</v>
          </cell>
          <cell r="D150" t="str">
            <v>Alfa Q073 Canggu</v>
          </cell>
          <cell r="E150" t="str">
            <v>ABACUS BALI</v>
          </cell>
          <cell r="F150">
            <v>1</v>
          </cell>
          <cell r="G150" t="str">
            <v>04-Denpasar</v>
          </cell>
          <cell r="H150" t="str">
            <v>B</v>
          </cell>
          <cell r="I150" t="str">
            <v>ATM</v>
          </cell>
          <cell r="J150" t="str">
            <v>Denpasar</v>
          </cell>
          <cell r="K150" t="str">
            <v>Bali Nusra</v>
          </cell>
          <cell r="L150" t="str">
            <v xml:space="preserve">MON-SUN </v>
          </cell>
          <cell r="M150" t="str">
            <v>(07:00 - 23:00)</v>
          </cell>
          <cell r="N150">
            <v>0</v>
          </cell>
          <cell r="O150">
            <v>0</v>
          </cell>
          <cell r="P150">
            <v>0</v>
          </cell>
          <cell r="Q150">
            <v>960</v>
          </cell>
        </row>
        <row r="151">
          <cell r="B151" t="str">
            <v>355U</v>
          </cell>
          <cell r="C151" t="str">
            <v>Suhel Risdianto</v>
          </cell>
          <cell r="D151" t="str">
            <v>Alfa Q215 Teuku Umar Brt</v>
          </cell>
          <cell r="E151" t="str">
            <v>ABACUS BALI</v>
          </cell>
          <cell r="F151">
            <v>1</v>
          </cell>
          <cell r="G151" t="str">
            <v>04-Denpasar</v>
          </cell>
          <cell r="H151" t="str">
            <v>B</v>
          </cell>
          <cell r="I151" t="str">
            <v>ATM</v>
          </cell>
          <cell r="J151" t="str">
            <v>Denpasar</v>
          </cell>
          <cell r="K151" t="str">
            <v>Bali Nusra</v>
          </cell>
          <cell r="L151" t="str">
            <v xml:space="preserve">MON-SUN </v>
          </cell>
          <cell r="M151" t="str">
            <v>(07:00 - 22:00)</v>
          </cell>
          <cell r="N151">
            <v>0</v>
          </cell>
          <cell r="O151">
            <v>0</v>
          </cell>
          <cell r="P151">
            <v>0</v>
          </cell>
          <cell r="Q151">
            <v>900</v>
          </cell>
        </row>
        <row r="152">
          <cell r="B152" t="str">
            <v>355V</v>
          </cell>
          <cell r="C152" t="str">
            <v>Revaldi Resha Wardhana</v>
          </cell>
          <cell r="D152" t="str">
            <v>Alfa Q231 Mambal</v>
          </cell>
          <cell r="E152" t="str">
            <v>ABACUS BALI</v>
          </cell>
          <cell r="F152">
            <v>1</v>
          </cell>
          <cell r="G152" t="str">
            <v>04-Denpasar</v>
          </cell>
          <cell r="H152" t="str">
            <v>B</v>
          </cell>
          <cell r="I152" t="str">
            <v>ATM</v>
          </cell>
          <cell r="J152" t="str">
            <v>Denpasar</v>
          </cell>
          <cell r="K152" t="str">
            <v>Bali Nusra</v>
          </cell>
          <cell r="L152" t="str">
            <v xml:space="preserve">MON-SUN </v>
          </cell>
          <cell r="M152" t="str">
            <v>(00:00 - 23:59)</v>
          </cell>
          <cell r="N152">
            <v>0</v>
          </cell>
          <cell r="O152">
            <v>0</v>
          </cell>
          <cell r="P152">
            <v>0</v>
          </cell>
          <cell r="Q152">
            <v>1440</v>
          </cell>
        </row>
        <row r="153">
          <cell r="B153" t="str">
            <v>355X</v>
          </cell>
          <cell r="C153" t="str">
            <v>Revaldi Resha Wardhana</v>
          </cell>
          <cell r="D153" t="str">
            <v>Alfa Q290 Darmasaba</v>
          </cell>
          <cell r="E153" t="str">
            <v>ABACUS BALI</v>
          </cell>
          <cell r="F153">
            <v>1</v>
          </cell>
          <cell r="G153" t="str">
            <v>04-Denpasar</v>
          </cell>
          <cell r="H153" t="str">
            <v>B</v>
          </cell>
          <cell r="I153" t="str">
            <v>ATM</v>
          </cell>
          <cell r="J153" t="str">
            <v>Denpasar</v>
          </cell>
          <cell r="K153" t="str">
            <v>Bali Nusra</v>
          </cell>
          <cell r="L153" t="str">
            <v xml:space="preserve">MON-SUN </v>
          </cell>
          <cell r="M153" t="str">
            <v>(00:00 - 23:59)</v>
          </cell>
          <cell r="N153">
            <v>0</v>
          </cell>
          <cell r="O153">
            <v>0</v>
          </cell>
          <cell r="P153">
            <v>0</v>
          </cell>
          <cell r="Q153">
            <v>1440</v>
          </cell>
        </row>
        <row r="154">
          <cell r="B154" t="str">
            <v>355Z</v>
          </cell>
          <cell r="C154" t="str">
            <v>Farozan Ali Fahmi</v>
          </cell>
          <cell r="D154" t="str">
            <v>Alfa Q312 Pejeng</v>
          </cell>
          <cell r="E154" t="str">
            <v>ABACUS BALI</v>
          </cell>
          <cell r="F154">
            <v>2</v>
          </cell>
          <cell r="G154" t="str">
            <v>04-Denpasar</v>
          </cell>
          <cell r="H154" t="str">
            <v>B</v>
          </cell>
          <cell r="I154" t="str">
            <v>ATM</v>
          </cell>
          <cell r="J154" t="str">
            <v>Denpasar</v>
          </cell>
          <cell r="K154" t="str">
            <v>Bali Nusra</v>
          </cell>
          <cell r="L154" t="str">
            <v xml:space="preserve">MON-SUN </v>
          </cell>
          <cell r="M154" t="str">
            <v>(07:00 - 22:00)</v>
          </cell>
          <cell r="N154">
            <v>0</v>
          </cell>
          <cell r="O154">
            <v>0</v>
          </cell>
          <cell r="P154">
            <v>0</v>
          </cell>
          <cell r="Q154">
            <v>900</v>
          </cell>
        </row>
        <row r="155">
          <cell r="B155" t="str">
            <v>356A</v>
          </cell>
          <cell r="C155" t="str">
            <v>Eko Adi Sugiyantoro</v>
          </cell>
          <cell r="D155" t="str">
            <v>Alfa Q318 Tibung Sari</v>
          </cell>
          <cell r="E155" t="str">
            <v>ABACUS BALI</v>
          </cell>
          <cell r="F155">
            <v>1</v>
          </cell>
          <cell r="G155" t="str">
            <v>04-Denpasar</v>
          </cell>
          <cell r="H155" t="str">
            <v>B</v>
          </cell>
          <cell r="I155" t="str">
            <v>ATM</v>
          </cell>
          <cell r="J155" t="str">
            <v>Denpasar</v>
          </cell>
          <cell r="K155" t="str">
            <v>Bali Nusra</v>
          </cell>
          <cell r="L155" t="str">
            <v xml:space="preserve">MON-SUN </v>
          </cell>
          <cell r="M155" t="str">
            <v>(07:00 - 23:00)</v>
          </cell>
          <cell r="N155">
            <v>0</v>
          </cell>
          <cell r="O155">
            <v>0</v>
          </cell>
          <cell r="P155">
            <v>0</v>
          </cell>
          <cell r="Q155">
            <v>960</v>
          </cell>
        </row>
        <row r="156">
          <cell r="B156" t="str">
            <v>365K</v>
          </cell>
          <cell r="C156" t="str">
            <v>Muhammad Ngainun Najib</v>
          </cell>
          <cell r="D156" t="str">
            <v>IDM Dewi Sartika Bali</v>
          </cell>
          <cell r="E156" t="str">
            <v>ABACUS BALI</v>
          </cell>
          <cell r="F156">
            <v>1</v>
          </cell>
          <cell r="G156" t="str">
            <v>04-Denpasar</v>
          </cell>
          <cell r="H156" t="str">
            <v>B</v>
          </cell>
          <cell r="I156" t="str">
            <v>ATM</v>
          </cell>
          <cell r="J156" t="str">
            <v>Denpasar</v>
          </cell>
          <cell r="K156" t="str">
            <v>Bali Nusra</v>
          </cell>
          <cell r="L156" t="str">
            <v xml:space="preserve">MON-SUN </v>
          </cell>
          <cell r="M156" t="str">
            <v>(00:00 - 23:59)</v>
          </cell>
          <cell r="N156">
            <v>0</v>
          </cell>
          <cell r="O156">
            <v>0</v>
          </cell>
          <cell r="P156">
            <v>0</v>
          </cell>
          <cell r="Q156">
            <v>1440</v>
          </cell>
        </row>
        <row r="157">
          <cell r="B157" t="str">
            <v>365L</v>
          </cell>
          <cell r="C157" t="str">
            <v>Suhel Risdianto</v>
          </cell>
          <cell r="D157" t="str">
            <v>IDM Mertanadi Badung</v>
          </cell>
          <cell r="E157" t="str">
            <v>ABACUS BALI</v>
          </cell>
          <cell r="F157">
            <v>1</v>
          </cell>
          <cell r="G157" t="str">
            <v>04-Denpasar</v>
          </cell>
          <cell r="H157" t="str">
            <v>B</v>
          </cell>
          <cell r="I157" t="str">
            <v>ATM</v>
          </cell>
          <cell r="J157" t="str">
            <v>Denpasar</v>
          </cell>
          <cell r="K157" t="str">
            <v>Bali Nusra</v>
          </cell>
          <cell r="L157" t="str">
            <v xml:space="preserve">MON-SUN </v>
          </cell>
          <cell r="M157" t="str">
            <v>(00:00 - 23:59)</v>
          </cell>
          <cell r="N157">
            <v>0</v>
          </cell>
          <cell r="O157">
            <v>0</v>
          </cell>
          <cell r="P157">
            <v>0</v>
          </cell>
          <cell r="Q157">
            <v>1440</v>
          </cell>
        </row>
        <row r="158">
          <cell r="B158" t="str">
            <v>365N</v>
          </cell>
          <cell r="C158" t="str">
            <v>Bambang Yuniarko</v>
          </cell>
          <cell r="D158" t="str">
            <v>IDM Tukad Pakerisan Bali</v>
          </cell>
          <cell r="E158" t="str">
            <v>ANDALAN BALI</v>
          </cell>
          <cell r="F158">
            <v>1</v>
          </cell>
          <cell r="G158" t="str">
            <v>04-Denpasar</v>
          </cell>
          <cell r="H158" t="str">
            <v>B</v>
          </cell>
          <cell r="I158" t="str">
            <v>ATM</v>
          </cell>
          <cell r="J158" t="str">
            <v>Denpasar</v>
          </cell>
          <cell r="K158" t="str">
            <v>Bali Nusra</v>
          </cell>
          <cell r="L158" t="str">
            <v xml:space="preserve">MON-SUN </v>
          </cell>
          <cell r="M158" t="str">
            <v>(00:00 - 23:59)</v>
          </cell>
          <cell r="N158">
            <v>0</v>
          </cell>
          <cell r="O158">
            <v>0</v>
          </cell>
          <cell r="P158">
            <v>0</v>
          </cell>
          <cell r="Q158">
            <v>1440</v>
          </cell>
        </row>
        <row r="159">
          <cell r="B159" t="str">
            <v>371X</v>
          </cell>
          <cell r="C159" t="str">
            <v>Revaldi Resha Wardhana</v>
          </cell>
          <cell r="D159" t="str">
            <v>Alfa Q243 Gunung Agung</v>
          </cell>
          <cell r="E159" t="str">
            <v>ABACUS BALI</v>
          </cell>
          <cell r="F159">
            <v>1</v>
          </cell>
          <cell r="G159" t="str">
            <v>04-Denpasar</v>
          </cell>
          <cell r="H159" t="str">
            <v>B</v>
          </cell>
          <cell r="I159" t="str">
            <v>ATM</v>
          </cell>
          <cell r="J159" t="str">
            <v>Denpasar</v>
          </cell>
          <cell r="K159" t="str">
            <v>Bali Nusra</v>
          </cell>
          <cell r="L159" t="str">
            <v xml:space="preserve">MON-SUN </v>
          </cell>
          <cell r="M159" t="str">
            <v>(06:00 - 22:00)</v>
          </cell>
          <cell r="N159">
            <v>0</v>
          </cell>
          <cell r="O159">
            <v>0</v>
          </cell>
          <cell r="P159">
            <v>0</v>
          </cell>
          <cell r="Q159">
            <v>960</v>
          </cell>
        </row>
        <row r="160">
          <cell r="B160" t="str">
            <v>374T</v>
          </cell>
          <cell r="C160" t="str">
            <v>Eko Adi Sugiyantoro</v>
          </cell>
          <cell r="D160" t="str">
            <v>IDM Ir Soekarno Bali</v>
          </cell>
          <cell r="E160" t="str">
            <v>ABACUS BALI</v>
          </cell>
          <cell r="F160">
            <v>1</v>
          </cell>
          <cell r="G160" t="str">
            <v>04-Denpasar</v>
          </cell>
          <cell r="H160" t="str">
            <v>B</v>
          </cell>
          <cell r="I160" t="str">
            <v>ATM</v>
          </cell>
          <cell r="J160" t="str">
            <v>Denpasar</v>
          </cell>
          <cell r="K160" t="str">
            <v>Bali Nusra</v>
          </cell>
          <cell r="L160" t="str">
            <v xml:space="preserve">MON-SUN </v>
          </cell>
          <cell r="M160" t="str">
            <v>(00:00 - 23:59)</v>
          </cell>
          <cell r="N160">
            <v>0</v>
          </cell>
          <cell r="O160">
            <v>0</v>
          </cell>
          <cell r="P160">
            <v>0</v>
          </cell>
          <cell r="Q160">
            <v>1440</v>
          </cell>
        </row>
        <row r="161">
          <cell r="B161" t="str">
            <v>383P</v>
          </cell>
          <cell r="C161" t="str">
            <v>Arif Rahman Hakim</v>
          </cell>
          <cell r="D161" t="str">
            <v>Coco Mart Goa Gong</v>
          </cell>
          <cell r="E161" t="str">
            <v>ABACUS BALI</v>
          </cell>
          <cell r="F161">
            <v>1</v>
          </cell>
          <cell r="G161" t="str">
            <v>04-Denpasar</v>
          </cell>
          <cell r="H161" t="str">
            <v>B</v>
          </cell>
          <cell r="I161" t="str">
            <v>ATM</v>
          </cell>
          <cell r="J161" t="str">
            <v>Denpasar</v>
          </cell>
          <cell r="K161" t="str">
            <v>Bali Nusra</v>
          </cell>
          <cell r="L161" t="str">
            <v xml:space="preserve">MON-SUN </v>
          </cell>
          <cell r="M161" t="str">
            <v>(00:00 - 23:59)</v>
          </cell>
          <cell r="N161">
            <v>0</v>
          </cell>
          <cell r="O161">
            <v>0</v>
          </cell>
          <cell r="P161">
            <v>0</v>
          </cell>
          <cell r="Q161">
            <v>1440</v>
          </cell>
        </row>
        <row r="162">
          <cell r="B162" t="str">
            <v>383Q</v>
          </cell>
          <cell r="C162" t="str">
            <v>Arif Rahman Hakim</v>
          </cell>
          <cell r="D162" t="str">
            <v>Coco Mart Mumbul</v>
          </cell>
          <cell r="E162" t="str">
            <v>ABACUS BALI</v>
          </cell>
          <cell r="F162">
            <v>1</v>
          </cell>
          <cell r="G162" t="str">
            <v>04-Denpasar</v>
          </cell>
          <cell r="H162" t="str">
            <v>B</v>
          </cell>
          <cell r="I162" t="str">
            <v>ATM</v>
          </cell>
          <cell r="J162" t="str">
            <v>Denpasar</v>
          </cell>
          <cell r="K162" t="str">
            <v>Bali Nusra</v>
          </cell>
          <cell r="L162" t="str">
            <v xml:space="preserve">MON-SUN </v>
          </cell>
          <cell r="M162" t="str">
            <v>(00:00 - 23:59)</v>
          </cell>
          <cell r="N162">
            <v>0</v>
          </cell>
          <cell r="O162">
            <v>0</v>
          </cell>
          <cell r="P162">
            <v>0</v>
          </cell>
          <cell r="Q162">
            <v>1440</v>
          </cell>
        </row>
        <row r="163">
          <cell r="B163" t="str">
            <v>383T</v>
          </cell>
          <cell r="C163" t="str">
            <v>Arif Rahman Hakim</v>
          </cell>
          <cell r="D163" t="str">
            <v>Coco Mart Taman Giri</v>
          </cell>
          <cell r="E163" t="str">
            <v>ABACUS BALI</v>
          </cell>
          <cell r="F163">
            <v>1</v>
          </cell>
          <cell r="G163" t="str">
            <v>04-Denpasar</v>
          </cell>
          <cell r="H163" t="str">
            <v>B</v>
          </cell>
          <cell r="I163" t="str">
            <v>ATM</v>
          </cell>
          <cell r="J163" t="str">
            <v>Denpasar</v>
          </cell>
          <cell r="K163" t="str">
            <v>Bali Nusra</v>
          </cell>
          <cell r="L163" t="str">
            <v xml:space="preserve">MON-SUN </v>
          </cell>
          <cell r="M163" t="str">
            <v>(00:00 - 23:59)</v>
          </cell>
          <cell r="N163">
            <v>0</v>
          </cell>
          <cell r="O163">
            <v>0</v>
          </cell>
          <cell r="P163">
            <v>0</v>
          </cell>
          <cell r="Q163">
            <v>1440</v>
          </cell>
        </row>
        <row r="164">
          <cell r="B164" t="str">
            <v>391N</v>
          </cell>
          <cell r="C164" t="str">
            <v>Bambang Yuniarko</v>
          </cell>
          <cell r="D164" t="str">
            <v>CK98 Pakerisan BAL0218</v>
          </cell>
          <cell r="E164" t="str">
            <v>ANDALAN BALI</v>
          </cell>
          <cell r="F164">
            <v>1</v>
          </cell>
          <cell r="G164" t="str">
            <v>04-Denpasar</v>
          </cell>
          <cell r="H164" t="str">
            <v>B</v>
          </cell>
          <cell r="I164" t="str">
            <v>ATM</v>
          </cell>
          <cell r="J164" t="str">
            <v>Denpasar</v>
          </cell>
          <cell r="K164" t="str">
            <v>Bali Nusra</v>
          </cell>
          <cell r="L164" t="str">
            <v xml:space="preserve">MON-SUN </v>
          </cell>
          <cell r="M164" t="str">
            <v>(00:00 - 23:59)</v>
          </cell>
          <cell r="N164">
            <v>0</v>
          </cell>
          <cell r="O164">
            <v>0</v>
          </cell>
          <cell r="P164">
            <v>0</v>
          </cell>
          <cell r="Q164">
            <v>1440</v>
          </cell>
        </row>
        <row r="165">
          <cell r="B165" t="str">
            <v>401D</v>
          </cell>
          <cell r="C165" t="str">
            <v>Rio Erdiansyah</v>
          </cell>
          <cell r="D165" t="str">
            <v>Krisna Oleh Oleh Sgrj</v>
          </cell>
          <cell r="E165" t="str">
            <v>ABACUS BALI</v>
          </cell>
          <cell r="F165">
            <v>1</v>
          </cell>
          <cell r="G165" t="str">
            <v>04-Denpasar</v>
          </cell>
          <cell r="H165" t="str">
            <v>B</v>
          </cell>
          <cell r="I165" t="str">
            <v>ATM</v>
          </cell>
          <cell r="J165" t="str">
            <v>Singaraja</v>
          </cell>
          <cell r="K165" t="str">
            <v>Bali Nusra</v>
          </cell>
          <cell r="L165" t="str">
            <v xml:space="preserve">MON-SUN </v>
          </cell>
          <cell r="M165" t="str">
            <v>(00:00 - 23:59)</v>
          </cell>
          <cell r="N165">
            <v>0</v>
          </cell>
          <cell r="O165">
            <v>0</v>
          </cell>
          <cell r="P165">
            <v>0</v>
          </cell>
          <cell r="Q165">
            <v>1440</v>
          </cell>
        </row>
        <row r="166">
          <cell r="B166" t="str">
            <v>405F</v>
          </cell>
          <cell r="C166" t="str">
            <v>Bambang Yuniarko</v>
          </cell>
          <cell r="D166" t="str">
            <v>Koperasi Mitra Karya</v>
          </cell>
          <cell r="E166" t="str">
            <v>ANDALAN BALI</v>
          </cell>
          <cell r="F166">
            <v>1</v>
          </cell>
          <cell r="G166" t="str">
            <v>04-Denpasar</v>
          </cell>
          <cell r="H166" t="str">
            <v>B</v>
          </cell>
          <cell r="I166" t="str">
            <v>ATM</v>
          </cell>
          <cell r="J166" t="str">
            <v>Denpasar</v>
          </cell>
          <cell r="K166" t="str">
            <v>Bali Nusra</v>
          </cell>
          <cell r="L166" t="str">
            <v xml:space="preserve">MON-SUN </v>
          </cell>
          <cell r="M166" t="str">
            <v>(00:00 - 23:59)</v>
          </cell>
          <cell r="N166">
            <v>0</v>
          </cell>
          <cell r="O166">
            <v>0</v>
          </cell>
          <cell r="P166">
            <v>0</v>
          </cell>
          <cell r="Q166">
            <v>1440</v>
          </cell>
        </row>
        <row r="167">
          <cell r="B167" t="str">
            <v>4078</v>
          </cell>
          <cell r="C167" t="str">
            <v>Suhel Risdianto</v>
          </cell>
          <cell r="D167" t="str">
            <v>Delta Dewata</v>
          </cell>
          <cell r="E167" t="str">
            <v>ABACUS BALI</v>
          </cell>
          <cell r="F167">
            <v>1</v>
          </cell>
          <cell r="G167" t="str">
            <v>04-Denpasar</v>
          </cell>
          <cell r="H167" t="str">
            <v>B</v>
          </cell>
          <cell r="I167" t="str">
            <v>ATM</v>
          </cell>
          <cell r="J167" t="str">
            <v>Denpasar</v>
          </cell>
          <cell r="K167" t="str">
            <v>Bali Nusra</v>
          </cell>
          <cell r="L167" t="str">
            <v xml:space="preserve">MON-SUN </v>
          </cell>
          <cell r="M167" t="str">
            <v>(00:00 - 23:59)</v>
          </cell>
          <cell r="N167">
            <v>0</v>
          </cell>
          <cell r="O167">
            <v>0</v>
          </cell>
          <cell r="P167">
            <v>0</v>
          </cell>
          <cell r="Q167">
            <v>1440</v>
          </cell>
        </row>
        <row r="168">
          <cell r="B168" t="str">
            <v>4079</v>
          </cell>
          <cell r="C168" t="str">
            <v>I Putu Dendy Pratama</v>
          </cell>
          <cell r="D168" t="str">
            <v>Gosha</v>
          </cell>
          <cell r="E168" t="str">
            <v>ABACUS BALI</v>
          </cell>
          <cell r="F168">
            <v>1</v>
          </cell>
          <cell r="G168" t="str">
            <v>04-Denpasar</v>
          </cell>
          <cell r="H168" t="str">
            <v>B</v>
          </cell>
          <cell r="I168" t="str">
            <v>ATM</v>
          </cell>
          <cell r="J168" t="str">
            <v>Denpasar</v>
          </cell>
          <cell r="K168" t="str">
            <v>Bali Nusra</v>
          </cell>
          <cell r="L168" t="str">
            <v xml:space="preserve">MON-SUN </v>
          </cell>
          <cell r="M168" t="str">
            <v>(00:00 - 23:59)</v>
          </cell>
          <cell r="N168">
            <v>0</v>
          </cell>
          <cell r="O168">
            <v>0</v>
          </cell>
          <cell r="P168">
            <v>0</v>
          </cell>
          <cell r="Q168">
            <v>1440</v>
          </cell>
        </row>
        <row r="169">
          <cell r="B169" t="str">
            <v>407D</v>
          </cell>
          <cell r="C169" t="str">
            <v>Suhel Risdianto</v>
          </cell>
          <cell r="D169" t="str">
            <v>Four Season Ubud</v>
          </cell>
          <cell r="E169" t="str">
            <v>ABACUS BALI</v>
          </cell>
          <cell r="F169">
            <v>1</v>
          </cell>
          <cell r="G169" t="str">
            <v>04-Denpasar</v>
          </cell>
          <cell r="H169" t="str">
            <v>B</v>
          </cell>
          <cell r="I169" t="str">
            <v>ATM</v>
          </cell>
          <cell r="J169" t="str">
            <v>Denpasar</v>
          </cell>
          <cell r="K169" t="str">
            <v>Bali Nusra</v>
          </cell>
          <cell r="L169" t="str">
            <v xml:space="preserve">MON-SUN </v>
          </cell>
          <cell r="M169" t="str">
            <v>(00:00 - 23:59)</v>
          </cell>
          <cell r="N169">
            <v>0</v>
          </cell>
          <cell r="O169">
            <v>0</v>
          </cell>
          <cell r="P169">
            <v>0</v>
          </cell>
          <cell r="Q169">
            <v>1440</v>
          </cell>
        </row>
        <row r="170">
          <cell r="B170" t="str">
            <v>4081</v>
          </cell>
          <cell r="C170" t="str">
            <v>Muhammad Ngainun Najib</v>
          </cell>
          <cell r="D170" t="str">
            <v>Bandung Collection Kedonganan</v>
          </cell>
          <cell r="E170" t="str">
            <v>ABACUS BALI</v>
          </cell>
          <cell r="F170">
            <v>1</v>
          </cell>
          <cell r="G170" t="str">
            <v>04-Denpasar</v>
          </cell>
          <cell r="H170" t="str">
            <v>B</v>
          </cell>
          <cell r="I170" t="str">
            <v>ATM</v>
          </cell>
          <cell r="J170" t="str">
            <v>Denpasar</v>
          </cell>
          <cell r="K170" t="str">
            <v>Bali Nusra</v>
          </cell>
          <cell r="L170" t="str">
            <v xml:space="preserve">MON-SUN </v>
          </cell>
          <cell r="M170" t="str">
            <v>(00:00 - 23:59)</v>
          </cell>
          <cell r="N170">
            <v>0</v>
          </cell>
          <cell r="O170">
            <v>0</v>
          </cell>
          <cell r="P170">
            <v>0</v>
          </cell>
          <cell r="Q170">
            <v>1440</v>
          </cell>
        </row>
        <row r="171">
          <cell r="B171" t="str">
            <v>4102</v>
          </cell>
          <cell r="C171" t="str">
            <v>Arif Rahman Hakim</v>
          </cell>
          <cell r="D171" t="str">
            <v>CV Mita Nusa Dua</v>
          </cell>
          <cell r="E171" t="str">
            <v>ABACUS BALI</v>
          </cell>
          <cell r="F171">
            <v>1</v>
          </cell>
          <cell r="G171" t="str">
            <v>04-Denpasar</v>
          </cell>
          <cell r="H171" t="str">
            <v>B</v>
          </cell>
          <cell r="I171" t="str">
            <v>ATM</v>
          </cell>
          <cell r="J171" t="str">
            <v>Denpasar</v>
          </cell>
          <cell r="K171" t="str">
            <v>Bali Nusra</v>
          </cell>
          <cell r="L171" t="str">
            <v xml:space="preserve">MON-SUN </v>
          </cell>
          <cell r="M171" t="str">
            <v>(00:00 - 23:59)</v>
          </cell>
          <cell r="N171">
            <v>0</v>
          </cell>
          <cell r="O171">
            <v>0</v>
          </cell>
          <cell r="P171">
            <v>0</v>
          </cell>
          <cell r="Q171">
            <v>1440</v>
          </cell>
        </row>
        <row r="172">
          <cell r="B172" t="str">
            <v>4108</v>
          </cell>
          <cell r="C172" t="str">
            <v>Yunarius Raynold Gege</v>
          </cell>
          <cell r="D172" t="str">
            <v>Ramayana Kupang</v>
          </cell>
          <cell r="E172" t="str">
            <v>ADVANTAGE KUPANG</v>
          </cell>
          <cell r="F172">
            <v>1</v>
          </cell>
          <cell r="G172" t="str">
            <v>04-Denpasar</v>
          </cell>
          <cell r="H172" t="str">
            <v>B</v>
          </cell>
          <cell r="I172" t="str">
            <v>ATM</v>
          </cell>
          <cell r="J172" t="str">
            <v>Kupang</v>
          </cell>
          <cell r="K172" t="str">
            <v>Bali Nusra</v>
          </cell>
          <cell r="L172" t="str">
            <v xml:space="preserve">MON-SUN </v>
          </cell>
          <cell r="M172" t="str">
            <v>(00:00 - 23:59)</v>
          </cell>
          <cell r="N172">
            <v>0</v>
          </cell>
          <cell r="O172">
            <v>0</v>
          </cell>
          <cell r="P172">
            <v>0</v>
          </cell>
          <cell r="Q172">
            <v>1440</v>
          </cell>
        </row>
        <row r="173">
          <cell r="B173" t="str">
            <v>418P</v>
          </cell>
          <cell r="C173" t="str">
            <v>Arif Rahman Hakim</v>
          </cell>
          <cell r="D173" t="str">
            <v>CK 238 Siligita BAL0412</v>
          </cell>
          <cell r="E173" t="str">
            <v>ABACUS BALI</v>
          </cell>
          <cell r="F173">
            <v>1</v>
          </cell>
          <cell r="G173" t="str">
            <v>04-Denpasar</v>
          </cell>
          <cell r="H173" t="str">
            <v>B</v>
          </cell>
          <cell r="I173" t="str">
            <v>ATM</v>
          </cell>
          <cell r="J173" t="str">
            <v>Denpasar</v>
          </cell>
          <cell r="K173" t="str">
            <v>Bali Nusra</v>
          </cell>
          <cell r="L173" t="str">
            <v xml:space="preserve">MON-SUN </v>
          </cell>
          <cell r="M173" t="str">
            <v>(00:00 - 23:59)</v>
          </cell>
          <cell r="N173">
            <v>0</v>
          </cell>
          <cell r="O173">
            <v>0</v>
          </cell>
          <cell r="P173">
            <v>0</v>
          </cell>
          <cell r="Q173">
            <v>1440</v>
          </cell>
        </row>
        <row r="174">
          <cell r="B174" t="str">
            <v>418Q</v>
          </cell>
          <cell r="C174" t="str">
            <v>Muhammad Gufron Sofyan</v>
          </cell>
          <cell r="D174" t="str">
            <v>Melaya Gilimanuk</v>
          </cell>
          <cell r="E174" t="str">
            <v>ABACUS BALI</v>
          </cell>
          <cell r="F174">
            <v>2</v>
          </cell>
          <cell r="G174" t="str">
            <v>04-Denpasar</v>
          </cell>
          <cell r="H174" t="str">
            <v>B</v>
          </cell>
          <cell r="I174" t="str">
            <v>ATM</v>
          </cell>
          <cell r="J174" t="str">
            <v>Negara</v>
          </cell>
          <cell r="K174" t="str">
            <v>Bali Nusra</v>
          </cell>
          <cell r="L174" t="str">
            <v xml:space="preserve">MON-SUN </v>
          </cell>
          <cell r="M174" t="str">
            <v>(00:00 - 23:59)</v>
          </cell>
          <cell r="N174">
            <v>0</v>
          </cell>
          <cell r="O174">
            <v>0</v>
          </cell>
          <cell r="P174">
            <v>0</v>
          </cell>
          <cell r="Q174">
            <v>1440</v>
          </cell>
        </row>
        <row r="175">
          <cell r="B175" t="str">
            <v>431L</v>
          </cell>
          <cell r="C175" t="str">
            <v>Suhel Risdianto</v>
          </cell>
          <cell r="D175" t="str">
            <v>IDM Tkd Balian Momi Bali</v>
          </cell>
          <cell r="E175" t="str">
            <v>ANDALAN BALI</v>
          </cell>
          <cell r="F175">
            <v>1</v>
          </cell>
          <cell r="G175" t="str">
            <v>04-Denpasar</v>
          </cell>
          <cell r="H175" t="str">
            <v>B</v>
          </cell>
          <cell r="I175" t="str">
            <v>ATM</v>
          </cell>
          <cell r="J175" t="str">
            <v>Denpasar</v>
          </cell>
          <cell r="K175" t="str">
            <v>Bali Nusra</v>
          </cell>
          <cell r="L175" t="str">
            <v xml:space="preserve">MON-SUN </v>
          </cell>
          <cell r="M175" t="str">
            <v>(06:00 - 23:00)</v>
          </cell>
          <cell r="N175">
            <v>0</v>
          </cell>
          <cell r="O175">
            <v>0</v>
          </cell>
          <cell r="P175">
            <v>0</v>
          </cell>
          <cell r="Q175">
            <v>1020</v>
          </cell>
        </row>
        <row r="176">
          <cell r="B176" t="str">
            <v>439K</v>
          </cell>
          <cell r="C176" t="str">
            <v>Eko Adi Sugiyantoro</v>
          </cell>
          <cell r="D176" t="str">
            <v>IDM F26U Dalung II</v>
          </cell>
          <cell r="E176" t="str">
            <v>ABACUS BALI</v>
          </cell>
          <cell r="F176">
            <v>1</v>
          </cell>
          <cell r="G176" t="str">
            <v>04-Denpasar</v>
          </cell>
          <cell r="H176" t="str">
            <v>B</v>
          </cell>
          <cell r="I176" t="str">
            <v>ATM</v>
          </cell>
          <cell r="J176" t="str">
            <v>Denpasar</v>
          </cell>
          <cell r="K176" t="str">
            <v>Bali Nusra</v>
          </cell>
          <cell r="L176" t="str">
            <v xml:space="preserve">MON-SUN </v>
          </cell>
          <cell r="M176" t="str">
            <v>(06:00 - 23:00)</v>
          </cell>
          <cell r="N176">
            <v>0</v>
          </cell>
          <cell r="O176">
            <v>0</v>
          </cell>
          <cell r="P176">
            <v>0</v>
          </cell>
          <cell r="Q176">
            <v>1020</v>
          </cell>
        </row>
        <row r="177">
          <cell r="B177" t="str">
            <v>444B</v>
          </cell>
          <cell r="C177" t="str">
            <v>Revaldi Resha Wardhana</v>
          </cell>
          <cell r="D177" t="str">
            <v>Alfa Kebo Iwa II</v>
          </cell>
          <cell r="E177" t="str">
            <v>ABACUS BALI</v>
          </cell>
          <cell r="F177">
            <v>1</v>
          </cell>
          <cell r="G177" t="str">
            <v>04-Denpasar</v>
          </cell>
          <cell r="H177" t="str">
            <v>B</v>
          </cell>
          <cell r="I177" t="str">
            <v>ATM</v>
          </cell>
          <cell r="J177" t="str">
            <v>Denpasar</v>
          </cell>
          <cell r="K177" t="str">
            <v>Bali Nusra</v>
          </cell>
          <cell r="L177" t="str">
            <v xml:space="preserve">MON-SUN </v>
          </cell>
          <cell r="M177" t="str">
            <v>(07:00 - 23:00)</v>
          </cell>
          <cell r="N177">
            <v>0</v>
          </cell>
          <cell r="O177">
            <v>0</v>
          </cell>
          <cell r="P177">
            <v>0</v>
          </cell>
          <cell r="Q177">
            <v>960</v>
          </cell>
        </row>
        <row r="178">
          <cell r="B178" t="str">
            <v>454Q</v>
          </cell>
          <cell r="C178" t="str">
            <v>Muhammad Hidayatullah</v>
          </cell>
          <cell r="D178" t="str">
            <v>IDM Paok Motong Lbk Timur</v>
          </cell>
          <cell r="E178" t="str">
            <v>ADVANTAGE CAKRANEGARA</v>
          </cell>
          <cell r="F178">
            <v>1</v>
          </cell>
          <cell r="G178" t="str">
            <v>04-Denpasar</v>
          </cell>
          <cell r="H178" t="str">
            <v>B</v>
          </cell>
          <cell r="I178" t="str">
            <v>ATM</v>
          </cell>
          <cell r="J178" t="str">
            <v>Lombok Timur</v>
          </cell>
          <cell r="K178" t="str">
            <v>Bali Nusra</v>
          </cell>
          <cell r="L178" t="str">
            <v xml:space="preserve">MON-SUN </v>
          </cell>
          <cell r="M178" t="str">
            <v>(00:00 - 23:59)</v>
          </cell>
          <cell r="N178">
            <v>0</v>
          </cell>
          <cell r="O178">
            <v>0</v>
          </cell>
          <cell r="P178">
            <v>0</v>
          </cell>
          <cell r="Q178">
            <v>1440</v>
          </cell>
        </row>
        <row r="179">
          <cell r="B179" t="str">
            <v>470E</v>
          </cell>
          <cell r="C179" t="str">
            <v>Arif Rahman Hakim</v>
          </cell>
          <cell r="D179" t="str">
            <v>Minimart Kampial</v>
          </cell>
          <cell r="E179" t="str">
            <v>ABACUS BALI</v>
          </cell>
          <cell r="F179">
            <v>1</v>
          </cell>
          <cell r="G179" t="str">
            <v>04-Denpasar</v>
          </cell>
          <cell r="H179" t="str">
            <v>B</v>
          </cell>
          <cell r="I179" t="str">
            <v>ATM</v>
          </cell>
          <cell r="J179" t="str">
            <v>Denpasar</v>
          </cell>
          <cell r="K179" t="str">
            <v>Bali Nusra</v>
          </cell>
          <cell r="L179" t="str">
            <v xml:space="preserve">MON-SUN </v>
          </cell>
          <cell r="M179" t="str">
            <v>(00:00 - 23:59)</v>
          </cell>
          <cell r="N179">
            <v>0</v>
          </cell>
          <cell r="O179">
            <v>0</v>
          </cell>
          <cell r="P179">
            <v>0</v>
          </cell>
          <cell r="Q179">
            <v>1440</v>
          </cell>
        </row>
        <row r="180">
          <cell r="B180" t="str">
            <v>472Y</v>
          </cell>
          <cell r="C180" t="str">
            <v>Bambang Yuniarko</v>
          </cell>
          <cell r="D180" t="str">
            <v>CK Beraban Kuta</v>
          </cell>
          <cell r="E180" t="str">
            <v>ABACUS BALI</v>
          </cell>
          <cell r="F180">
            <v>1</v>
          </cell>
          <cell r="G180" t="str">
            <v>04-Denpasar</v>
          </cell>
          <cell r="H180" t="str">
            <v>B</v>
          </cell>
          <cell r="I180" t="str">
            <v>ATM</v>
          </cell>
          <cell r="J180" t="str">
            <v>Denpasar</v>
          </cell>
          <cell r="K180" t="str">
            <v>Bali Nusra</v>
          </cell>
          <cell r="L180" t="str">
            <v xml:space="preserve">MON-SUN </v>
          </cell>
          <cell r="M180" t="str">
            <v>(00:00 - 23:59)</v>
          </cell>
          <cell r="N180">
            <v>0</v>
          </cell>
          <cell r="O180">
            <v>0</v>
          </cell>
          <cell r="P180">
            <v>0</v>
          </cell>
          <cell r="Q180">
            <v>1440</v>
          </cell>
        </row>
        <row r="181">
          <cell r="B181" t="str">
            <v>492W</v>
          </cell>
          <cell r="C181" t="str">
            <v>Yunarius Raynold Gege</v>
          </cell>
          <cell r="D181" t="str">
            <v>Hotel Amaris Kupang</v>
          </cell>
          <cell r="E181" t="str">
            <v>ADVANTAGE KUPANG</v>
          </cell>
          <cell r="F181">
            <v>1</v>
          </cell>
          <cell r="G181" t="str">
            <v>04-Denpasar</v>
          </cell>
          <cell r="H181" t="str">
            <v>B</v>
          </cell>
          <cell r="I181" t="str">
            <v>ATM</v>
          </cell>
          <cell r="J181" t="str">
            <v>Kupang</v>
          </cell>
          <cell r="K181" t="str">
            <v>Bali Nusra</v>
          </cell>
          <cell r="L181" t="str">
            <v xml:space="preserve">MON-SUN </v>
          </cell>
          <cell r="M181" t="str">
            <v>(00:00 - 23:59)</v>
          </cell>
          <cell r="N181">
            <v>0</v>
          </cell>
          <cell r="O181">
            <v>0</v>
          </cell>
          <cell r="P181">
            <v>0</v>
          </cell>
          <cell r="Q181">
            <v>1440</v>
          </cell>
        </row>
        <row r="182">
          <cell r="B182" t="str">
            <v>494J</v>
          </cell>
          <cell r="C182" t="str">
            <v>Arif Rahman Hakim</v>
          </cell>
          <cell r="D182" t="str">
            <v>Garuda Wisnu Kencana</v>
          </cell>
          <cell r="E182" t="str">
            <v>ABACUS BALI</v>
          </cell>
          <cell r="F182">
            <v>1</v>
          </cell>
          <cell r="G182" t="str">
            <v>04-Denpasar</v>
          </cell>
          <cell r="H182" t="str">
            <v>B</v>
          </cell>
          <cell r="I182" t="str">
            <v>ATM</v>
          </cell>
          <cell r="J182" t="str">
            <v>Denpasar</v>
          </cell>
          <cell r="K182" t="str">
            <v>Bali Nusra</v>
          </cell>
          <cell r="L182" t="str">
            <v xml:space="preserve">MON-SUN </v>
          </cell>
          <cell r="M182" t="str">
            <v>(07:00 - 22:00)</v>
          </cell>
          <cell r="N182">
            <v>0</v>
          </cell>
          <cell r="O182">
            <v>0</v>
          </cell>
          <cell r="P182">
            <v>0</v>
          </cell>
          <cell r="Q182">
            <v>900</v>
          </cell>
        </row>
        <row r="183">
          <cell r="B183" t="str">
            <v>494N</v>
          </cell>
          <cell r="C183" t="str">
            <v>Muhammad Hidayatullah</v>
          </cell>
          <cell r="D183" t="str">
            <v>IDM Kelayu Lombok Timur</v>
          </cell>
          <cell r="E183" t="str">
            <v>ADVANTAGE CAKRANEGARA</v>
          </cell>
          <cell r="F183">
            <v>1</v>
          </cell>
          <cell r="G183" t="str">
            <v>04-Denpasar</v>
          </cell>
          <cell r="H183" t="str">
            <v>B</v>
          </cell>
          <cell r="I183" t="str">
            <v>ATM</v>
          </cell>
          <cell r="J183" t="str">
            <v>Lombok Timur</v>
          </cell>
          <cell r="K183" t="str">
            <v>Bali Nusra</v>
          </cell>
          <cell r="L183" t="str">
            <v xml:space="preserve">MON-SUN </v>
          </cell>
          <cell r="M183" t="str">
            <v>(07:00 - 22:00)</v>
          </cell>
          <cell r="N183">
            <v>1</v>
          </cell>
          <cell r="O183">
            <v>31</v>
          </cell>
          <cell r="P183">
            <v>3.44</v>
          </cell>
          <cell r="Q183">
            <v>900</v>
          </cell>
        </row>
        <row r="184">
          <cell r="B184" t="str">
            <v>497F</v>
          </cell>
          <cell r="C184" t="str">
            <v>Bambang Yuniarko</v>
          </cell>
          <cell r="D184" t="str">
            <v>CK Tjok Agung Tresna</v>
          </cell>
          <cell r="E184" t="str">
            <v>ANDALAN BALI</v>
          </cell>
          <cell r="F184">
            <v>1</v>
          </cell>
          <cell r="G184" t="str">
            <v>04-Denpasar</v>
          </cell>
          <cell r="H184" t="str">
            <v>B</v>
          </cell>
          <cell r="I184" t="str">
            <v>ATM</v>
          </cell>
          <cell r="J184" t="str">
            <v>Denpasar</v>
          </cell>
          <cell r="K184" t="str">
            <v>Bali Nusra</v>
          </cell>
          <cell r="L184" t="str">
            <v xml:space="preserve">MON-SUN </v>
          </cell>
          <cell r="M184" t="str">
            <v>(00:00 - 23:59)</v>
          </cell>
          <cell r="N184">
            <v>0</v>
          </cell>
          <cell r="O184">
            <v>0</v>
          </cell>
          <cell r="P184">
            <v>0</v>
          </cell>
          <cell r="Q184">
            <v>1440</v>
          </cell>
        </row>
        <row r="185">
          <cell r="B185" t="str">
            <v>498T</v>
          </cell>
          <cell r="C185" t="str">
            <v>Eko Adi Sugiyantoro</v>
          </cell>
          <cell r="D185" t="str">
            <v>Secret Garden Village</v>
          </cell>
          <cell r="E185" t="str">
            <v>ABACUS BALI</v>
          </cell>
          <cell r="F185">
            <v>2</v>
          </cell>
          <cell r="G185" t="str">
            <v>04-Denpasar</v>
          </cell>
          <cell r="H185" t="str">
            <v>B</v>
          </cell>
          <cell r="I185" t="str">
            <v>ATM</v>
          </cell>
          <cell r="J185" t="str">
            <v>Denpasar</v>
          </cell>
          <cell r="K185" t="str">
            <v>Bali Nusra</v>
          </cell>
          <cell r="L185" t="str">
            <v xml:space="preserve">MON-SUN </v>
          </cell>
          <cell r="M185" t="str">
            <v>(00:00 - 23:59)</v>
          </cell>
          <cell r="N185">
            <v>0</v>
          </cell>
          <cell r="O185">
            <v>0</v>
          </cell>
          <cell r="P185">
            <v>0</v>
          </cell>
          <cell r="Q185">
            <v>1440</v>
          </cell>
        </row>
        <row r="186">
          <cell r="B186" t="str">
            <v>5015</v>
          </cell>
          <cell r="C186" t="str">
            <v>I Putu Dendy Pratama</v>
          </cell>
          <cell r="D186" t="str">
            <v>Mitra 10 ByPass NgurahRai</v>
          </cell>
          <cell r="E186" t="str">
            <v>ABACUS BALI</v>
          </cell>
          <cell r="F186">
            <v>1</v>
          </cell>
          <cell r="G186" t="str">
            <v>04-Denpasar</v>
          </cell>
          <cell r="H186" t="str">
            <v>B</v>
          </cell>
          <cell r="I186" t="str">
            <v>ATM</v>
          </cell>
          <cell r="J186" t="str">
            <v>Denpasar</v>
          </cell>
          <cell r="K186" t="str">
            <v>Bali Nusra</v>
          </cell>
          <cell r="L186" t="str">
            <v xml:space="preserve">MON-SUN </v>
          </cell>
          <cell r="M186" t="str">
            <v>(00:00 - 23:59)</v>
          </cell>
          <cell r="N186">
            <v>0</v>
          </cell>
          <cell r="O186">
            <v>0</v>
          </cell>
          <cell r="P186">
            <v>0</v>
          </cell>
          <cell r="Q186">
            <v>1440</v>
          </cell>
        </row>
        <row r="187">
          <cell r="B187" t="str">
            <v>5022</v>
          </cell>
          <cell r="C187" t="str">
            <v>Bambang Yuniarko</v>
          </cell>
          <cell r="D187" t="str">
            <v>CK 131 Tukad Yeh Aya</v>
          </cell>
          <cell r="E187" t="str">
            <v>ANDALAN BALI</v>
          </cell>
          <cell r="F187">
            <v>1</v>
          </cell>
          <cell r="G187" t="str">
            <v>04-Denpasar</v>
          </cell>
          <cell r="H187" t="str">
            <v>B</v>
          </cell>
          <cell r="I187" t="str">
            <v>ATM</v>
          </cell>
          <cell r="J187" t="str">
            <v>Denpasar</v>
          </cell>
          <cell r="K187" t="str">
            <v>Bali Nusra</v>
          </cell>
          <cell r="L187" t="str">
            <v xml:space="preserve">MON-SUN </v>
          </cell>
          <cell r="M187" t="str">
            <v>(00:00 - 23:59)</v>
          </cell>
          <cell r="N187">
            <v>0</v>
          </cell>
          <cell r="O187">
            <v>0</v>
          </cell>
          <cell r="P187">
            <v>0</v>
          </cell>
          <cell r="Q187">
            <v>1440</v>
          </cell>
        </row>
        <row r="188">
          <cell r="B188" t="str">
            <v>5029</v>
          </cell>
          <cell r="C188" t="str">
            <v>Bambang Yuniarko</v>
          </cell>
          <cell r="D188" t="str">
            <v>CK 108 Kopi Bali Sanur</v>
          </cell>
          <cell r="E188" t="str">
            <v>ANDALAN BALI</v>
          </cell>
          <cell r="F188">
            <v>1</v>
          </cell>
          <cell r="G188" t="str">
            <v>04-Denpasar</v>
          </cell>
          <cell r="H188" t="str">
            <v>B</v>
          </cell>
          <cell r="I188" t="str">
            <v>ATM</v>
          </cell>
          <cell r="J188" t="str">
            <v>Denpasar</v>
          </cell>
          <cell r="K188" t="str">
            <v>Bali Nusra</v>
          </cell>
          <cell r="L188" t="str">
            <v xml:space="preserve">MON-SUN </v>
          </cell>
          <cell r="M188" t="str">
            <v>(00:00 - 23:59)</v>
          </cell>
          <cell r="N188">
            <v>0</v>
          </cell>
          <cell r="O188">
            <v>0</v>
          </cell>
          <cell r="P188">
            <v>0</v>
          </cell>
          <cell r="Q188">
            <v>1440</v>
          </cell>
        </row>
        <row r="189">
          <cell r="B189" t="str">
            <v>5059</v>
          </cell>
          <cell r="C189" t="str">
            <v>Revaldi Resha Wardhana</v>
          </cell>
          <cell r="D189" t="str">
            <v>CK 100 Cokro Aminoto</v>
          </cell>
          <cell r="E189" t="str">
            <v>ABACUS BALI</v>
          </cell>
          <cell r="F189">
            <v>1</v>
          </cell>
          <cell r="G189" t="str">
            <v>04-Denpasar</v>
          </cell>
          <cell r="H189" t="str">
            <v>B</v>
          </cell>
          <cell r="I189" t="str">
            <v>ATM</v>
          </cell>
          <cell r="J189" t="str">
            <v>Denpasar</v>
          </cell>
          <cell r="K189" t="str">
            <v>Bali Nusra</v>
          </cell>
          <cell r="L189" t="str">
            <v xml:space="preserve">MON-SUN </v>
          </cell>
          <cell r="M189" t="str">
            <v>(00:00 - 23:59)</v>
          </cell>
          <cell r="N189">
            <v>0</v>
          </cell>
          <cell r="O189">
            <v>0</v>
          </cell>
          <cell r="P189">
            <v>0</v>
          </cell>
          <cell r="Q189">
            <v>1440</v>
          </cell>
        </row>
        <row r="190">
          <cell r="B190" t="str">
            <v>513N</v>
          </cell>
          <cell r="C190" t="str">
            <v>Lalu Riswan Hadi</v>
          </cell>
          <cell r="D190" t="str">
            <v>Alfa Brawijaya Mataram</v>
          </cell>
          <cell r="E190" t="str">
            <v>ADVANTAGE CAKRANEGARA</v>
          </cell>
          <cell r="F190">
            <v>1</v>
          </cell>
          <cell r="G190" t="str">
            <v>04-Denpasar</v>
          </cell>
          <cell r="H190" t="str">
            <v>B</v>
          </cell>
          <cell r="I190" t="str">
            <v>ATM</v>
          </cell>
          <cell r="J190" t="str">
            <v>Mataram</v>
          </cell>
          <cell r="K190" t="str">
            <v>Bali Nusra</v>
          </cell>
          <cell r="L190" t="str">
            <v xml:space="preserve">MON-SUN </v>
          </cell>
          <cell r="M190" t="str">
            <v>(00:00 - 23:59)</v>
          </cell>
          <cell r="N190">
            <v>1</v>
          </cell>
          <cell r="O190">
            <v>36</v>
          </cell>
          <cell r="P190">
            <v>2.5</v>
          </cell>
          <cell r="Q190">
            <v>1440</v>
          </cell>
        </row>
        <row r="191">
          <cell r="B191" t="str">
            <v>516M</v>
          </cell>
          <cell r="C191" t="str">
            <v>Revaldi Resha Wardhana</v>
          </cell>
          <cell r="D191" t="str">
            <v>Citraland Waterpark</v>
          </cell>
          <cell r="E191" t="str">
            <v>ABACUS BALI</v>
          </cell>
          <cell r="F191">
            <v>1</v>
          </cell>
          <cell r="G191" t="str">
            <v>04-Denpasar</v>
          </cell>
          <cell r="H191" t="str">
            <v>B</v>
          </cell>
          <cell r="I191" t="str">
            <v>ATM</v>
          </cell>
          <cell r="J191" t="str">
            <v>Denpasar</v>
          </cell>
          <cell r="K191" t="str">
            <v>Bali Nusra</v>
          </cell>
          <cell r="L191" t="str">
            <v xml:space="preserve">MON-SUN </v>
          </cell>
          <cell r="M191" t="str">
            <v>(00:00 - 23:59)</v>
          </cell>
          <cell r="N191">
            <v>0</v>
          </cell>
          <cell r="O191">
            <v>0</v>
          </cell>
          <cell r="P191">
            <v>0</v>
          </cell>
          <cell r="Q191">
            <v>1440</v>
          </cell>
        </row>
        <row r="192">
          <cell r="B192" t="str">
            <v>5174</v>
          </cell>
          <cell r="C192" t="str">
            <v>Rio Erdiansyah</v>
          </cell>
          <cell r="D192" t="str">
            <v>Pusat Kesenian Lovina 2</v>
          </cell>
          <cell r="E192" t="str">
            <v>ABACUS BALI</v>
          </cell>
          <cell r="F192">
            <v>1</v>
          </cell>
          <cell r="G192" t="str">
            <v>04-Denpasar</v>
          </cell>
          <cell r="H192" t="str">
            <v>B</v>
          </cell>
          <cell r="I192" t="str">
            <v>ATM</v>
          </cell>
          <cell r="J192" t="str">
            <v>Singaraja</v>
          </cell>
          <cell r="K192" t="str">
            <v>Bali Nusra</v>
          </cell>
          <cell r="L192" t="str">
            <v xml:space="preserve">MON-SUN </v>
          </cell>
          <cell r="M192" t="str">
            <v>(00:00 - 23:59)</v>
          </cell>
          <cell r="N192">
            <v>0</v>
          </cell>
          <cell r="O192">
            <v>0</v>
          </cell>
          <cell r="P192">
            <v>0</v>
          </cell>
          <cell r="Q192">
            <v>1440</v>
          </cell>
        </row>
        <row r="193">
          <cell r="B193" t="str">
            <v>519C</v>
          </cell>
          <cell r="C193" t="str">
            <v>Eko Adi Sugiyantoro</v>
          </cell>
          <cell r="D193" t="str">
            <v>IDM Pandu Badung Kuta</v>
          </cell>
          <cell r="E193" t="str">
            <v>ABACUS BALI</v>
          </cell>
          <cell r="F193">
            <v>1</v>
          </cell>
          <cell r="G193" t="str">
            <v>04-Denpasar</v>
          </cell>
          <cell r="H193" t="str">
            <v>B</v>
          </cell>
          <cell r="I193" t="str">
            <v>ATM</v>
          </cell>
          <cell r="J193" t="str">
            <v>Denpasar</v>
          </cell>
          <cell r="K193" t="str">
            <v>Bali Nusra</v>
          </cell>
          <cell r="L193" t="str">
            <v xml:space="preserve">MON-SUN </v>
          </cell>
          <cell r="M193" t="str">
            <v>(07:00 - 22:00)</v>
          </cell>
          <cell r="N193">
            <v>0</v>
          </cell>
          <cell r="O193">
            <v>0</v>
          </cell>
          <cell r="P193">
            <v>0</v>
          </cell>
          <cell r="Q193">
            <v>900</v>
          </cell>
        </row>
        <row r="194">
          <cell r="B194" t="str">
            <v>532D</v>
          </cell>
          <cell r="C194" t="str">
            <v>Revaldi Resha Wardhana</v>
          </cell>
          <cell r="D194" t="str">
            <v>Alfa Suradipa</v>
          </cell>
          <cell r="E194" t="str">
            <v>ABACUS BALI</v>
          </cell>
          <cell r="F194">
            <v>1</v>
          </cell>
          <cell r="G194" t="str">
            <v>04-Denpasar</v>
          </cell>
          <cell r="H194" t="str">
            <v>B</v>
          </cell>
          <cell r="I194" t="str">
            <v>ATM</v>
          </cell>
          <cell r="J194" t="str">
            <v>Denpasar</v>
          </cell>
          <cell r="K194" t="str">
            <v>Bali Nusra</v>
          </cell>
          <cell r="L194" t="str">
            <v xml:space="preserve">MON-SUN </v>
          </cell>
          <cell r="M194" t="str">
            <v>(00:00 - 23:59)</v>
          </cell>
          <cell r="N194">
            <v>2</v>
          </cell>
          <cell r="O194">
            <v>81</v>
          </cell>
          <cell r="P194">
            <v>5.63</v>
          </cell>
          <cell r="Q194">
            <v>1440</v>
          </cell>
        </row>
        <row r="195">
          <cell r="B195" t="str">
            <v>536X</v>
          </cell>
          <cell r="C195" t="str">
            <v>Bambang Yuniarko</v>
          </cell>
          <cell r="D195" t="str">
            <v>CK BAL0416 Batu Belig II</v>
          </cell>
          <cell r="E195" t="str">
            <v>ABACUS BALI</v>
          </cell>
          <cell r="F195">
            <v>1</v>
          </cell>
          <cell r="G195" t="str">
            <v>04-Denpasar</v>
          </cell>
          <cell r="H195" t="str">
            <v>B</v>
          </cell>
          <cell r="I195" t="str">
            <v>ATM</v>
          </cell>
          <cell r="J195" t="str">
            <v>Denpasar</v>
          </cell>
          <cell r="K195" t="str">
            <v>Bali Nusra</v>
          </cell>
          <cell r="L195" t="str">
            <v xml:space="preserve">MON-SUN </v>
          </cell>
          <cell r="M195" t="str">
            <v>(00:00 - 23:59)</v>
          </cell>
          <cell r="N195">
            <v>0</v>
          </cell>
          <cell r="O195">
            <v>0</v>
          </cell>
          <cell r="P195">
            <v>0</v>
          </cell>
          <cell r="Q195">
            <v>1440</v>
          </cell>
        </row>
        <row r="196">
          <cell r="B196" t="str">
            <v>544D</v>
          </cell>
          <cell r="C196" t="str">
            <v>Bambang Yuniarko</v>
          </cell>
          <cell r="D196" t="str">
            <v>Plaza Renon 1</v>
          </cell>
          <cell r="E196" t="str">
            <v>ANDALAN BALI</v>
          </cell>
          <cell r="F196">
            <v>1</v>
          </cell>
          <cell r="G196" t="str">
            <v>04-Denpasar</v>
          </cell>
          <cell r="H196" t="str">
            <v>B</v>
          </cell>
          <cell r="I196" t="str">
            <v>ATM</v>
          </cell>
          <cell r="J196" t="str">
            <v>Denpasar</v>
          </cell>
          <cell r="K196" t="str">
            <v>Bali Nusra</v>
          </cell>
          <cell r="L196" t="str">
            <v xml:space="preserve">MON-SUN </v>
          </cell>
          <cell r="M196" t="str">
            <v>(07:00 - 22:00)</v>
          </cell>
          <cell r="N196">
            <v>0</v>
          </cell>
          <cell r="O196">
            <v>0</v>
          </cell>
          <cell r="P196">
            <v>0</v>
          </cell>
          <cell r="Q196">
            <v>900</v>
          </cell>
        </row>
        <row r="197">
          <cell r="B197" t="str">
            <v>554H</v>
          </cell>
          <cell r="C197" t="str">
            <v>Farozan Ali Fahmi</v>
          </cell>
          <cell r="D197" t="str">
            <v>Bale Udang Ubud 1</v>
          </cell>
          <cell r="E197" t="str">
            <v>ABACUS BALI</v>
          </cell>
          <cell r="F197">
            <v>1</v>
          </cell>
          <cell r="G197" t="str">
            <v>04-Denpasar</v>
          </cell>
          <cell r="H197" t="str">
            <v>B</v>
          </cell>
          <cell r="I197" t="str">
            <v>ATM</v>
          </cell>
          <cell r="J197" t="str">
            <v>Denpasar</v>
          </cell>
          <cell r="K197" t="str">
            <v>Bali Nusra</v>
          </cell>
          <cell r="L197" t="str">
            <v xml:space="preserve">MON-SUN </v>
          </cell>
          <cell r="M197" t="str">
            <v>(00:00 - 23:59)</v>
          </cell>
          <cell r="N197">
            <v>1</v>
          </cell>
          <cell r="O197">
            <v>156</v>
          </cell>
          <cell r="P197">
            <v>10.83</v>
          </cell>
          <cell r="Q197">
            <v>1440</v>
          </cell>
        </row>
        <row r="198">
          <cell r="B198" t="str">
            <v>556E</v>
          </cell>
          <cell r="C198" t="str">
            <v>Eko Adi Sugiyantoro</v>
          </cell>
          <cell r="D198" t="str">
            <v>CK Batu Bolong Badung</v>
          </cell>
          <cell r="E198" t="str">
            <v>ABACUS BALI</v>
          </cell>
          <cell r="F198">
            <v>1</v>
          </cell>
          <cell r="G198" t="str">
            <v>04-Denpasar</v>
          </cell>
          <cell r="H198" t="str">
            <v>B</v>
          </cell>
          <cell r="I198" t="str">
            <v>ATM</v>
          </cell>
          <cell r="J198" t="str">
            <v>Denpasar</v>
          </cell>
          <cell r="K198" t="str">
            <v>Bali Nusra</v>
          </cell>
          <cell r="L198" t="str">
            <v xml:space="preserve">MON-SUN </v>
          </cell>
          <cell r="M198" t="str">
            <v>(00:00 - 23:59)</v>
          </cell>
          <cell r="N198">
            <v>0</v>
          </cell>
          <cell r="O198">
            <v>0</v>
          </cell>
          <cell r="P198">
            <v>0</v>
          </cell>
          <cell r="Q198">
            <v>1440</v>
          </cell>
        </row>
        <row r="199">
          <cell r="B199" t="str">
            <v>561J</v>
          </cell>
          <cell r="C199" t="str">
            <v>Muhammad Ngainun Najib</v>
          </cell>
          <cell r="D199" t="str">
            <v>Samasta Jimbaran 1</v>
          </cell>
          <cell r="E199" t="str">
            <v>ABACUS BALI</v>
          </cell>
          <cell r="F199">
            <v>1</v>
          </cell>
          <cell r="G199" t="str">
            <v>04-Denpasar</v>
          </cell>
          <cell r="H199" t="str">
            <v>B</v>
          </cell>
          <cell r="I199" t="str">
            <v>ATM</v>
          </cell>
          <cell r="J199" t="str">
            <v>Denpasar</v>
          </cell>
          <cell r="K199" t="str">
            <v>Bali Nusra</v>
          </cell>
          <cell r="L199" t="str">
            <v xml:space="preserve">MON-SUN </v>
          </cell>
          <cell r="M199" t="str">
            <v>(00:00 - 23:59)</v>
          </cell>
          <cell r="N199">
            <v>0</v>
          </cell>
          <cell r="O199">
            <v>0</v>
          </cell>
          <cell r="P199">
            <v>0</v>
          </cell>
          <cell r="Q199">
            <v>1440</v>
          </cell>
        </row>
        <row r="200">
          <cell r="B200" t="str">
            <v>5753</v>
          </cell>
          <cell r="C200" t="str">
            <v>Suhel Risdianto</v>
          </cell>
          <cell r="D200" t="str">
            <v>Super Ekonomi Malboro</v>
          </cell>
          <cell r="E200" t="str">
            <v>ABACUS BALI</v>
          </cell>
          <cell r="F200">
            <v>1</v>
          </cell>
          <cell r="G200" t="str">
            <v>04-Denpasar</v>
          </cell>
          <cell r="H200" t="str">
            <v>B</v>
          </cell>
          <cell r="I200" t="str">
            <v>ATM</v>
          </cell>
          <cell r="J200" t="str">
            <v>Denpasar</v>
          </cell>
          <cell r="K200" t="str">
            <v>Bali Nusra</v>
          </cell>
          <cell r="L200" t="str">
            <v xml:space="preserve">MON-SUN </v>
          </cell>
          <cell r="M200" t="str">
            <v>(00:00 - 23:59)</v>
          </cell>
          <cell r="N200">
            <v>0</v>
          </cell>
          <cell r="O200">
            <v>0</v>
          </cell>
          <cell r="P200">
            <v>0</v>
          </cell>
          <cell r="Q200">
            <v>1440</v>
          </cell>
        </row>
        <row r="201">
          <cell r="B201" t="str">
            <v>5762</v>
          </cell>
          <cell r="C201" t="str">
            <v>Arif Rahman Hakim</v>
          </cell>
          <cell r="D201" t="str">
            <v>CK Uluwatu</v>
          </cell>
          <cell r="E201" t="str">
            <v>ABACUS BALI</v>
          </cell>
          <cell r="F201">
            <v>1</v>
          </cell>
          <cell r="G201" t="str">
            <v>04-Denpasar</v>
          </cell>
          <cell r="H201" t="str">
            <v>B</v>
          </cell>
          <cell r="I201" t="str">
            <v>ATM</v>
          </cell>
          <cell r="J201" t="str">
            <v>Denpasar</v>
          </cell>
          <cell r="K201" t="str">
            <v>Bali Nusra</v>
          </cell>
          <cell r="L201" t="str">
            <v xml:space="preserve">MON-SUN </v>
          </cell>
          <cell r="M201" t="str">
            <v>(00:00 - 23:59)</v>
          </cell>
          <cell r="N201">
            <v>0</v>
          </cell>
          <cell r="O201">
            <v>0</v>
          </cell>
          <cell r="P201">
            <v>0</v>
          </cell>
          <cell r="Q201">
            <v>1440</v>
          </cell>
        </row>
        <row r="202">
          <cell r="B202" t="str">
            <v>5867</v>
          </cell>
          <cell r="C202" t="str">
            <v>Farozan Ali Fahmi</v>
          </cell>
          <cell r="D202" t="str">
            <v>Pertokoan Delta Mas</v>
          </cell>
          <cell r="E202" t="str">
            <v>ABACUS BALI</v>
          </cell>
          <cell r="F202">
            <v>1</v>
          </cell>
          <cell r="G202" t="str">
            <v>04-Denpasar</v>
          </cell>
          <cell r="H202" t="str">
            <v>B</v>
          </cell>
          <cell r="I202" t="str">
            <v>ATM</v>
          </cell>
          <cell r="J202" t="str">
            <v>Denpasar</v>
          </cell>
          <cell r="K202" t="str">
            <v>Bali Nusra</v>
          </cell>
          <cell r="L202" t="str">
            <v xml:space="preserve">MON-SUN </v>
          </cell>
          <cell r="M202" t="str">
            <v>(00:00 - 23:59)</v>
          </cell>
          <cell r="N202">
            <v>2</v>
          </cell>
          <cell r="O202">
            <v>378</v>
          </cell>
          <cell r="P202">
            <v>26.25</v>
          </cell>
          <cell r="Q202">
            <v>1440</v>
          </cell>
        </row>
        <row r="203">
          <cell r="B203" t="str">
            <v>5874</v>
          </cell>
          <cell r="C203" t="str">
            <v>Farozan Ali Fahmi</v>
          </cell>
          <cell r="D203" t="str">
            <v>CK Sanur</v>
          </cell>
          <cell r="E203" t="str">
            <v>ANDALAN BALI</v>
          </cell>
          <cell r="F203">
            <v>1</v>
          </cell>
          <cell r="G203" t="str">
            <v>04-Denpasar</v>
          </cell>
          <cell r="H203" t="str">
            <v>B</v>
          </cell>
          <cell r="I203" t="str">
            <v>ATM</v>
          </cell>
          <cell r="J203" t="str">
            <v>Denpasar</v>
          </cell>
          <cell r="K203" t="str">
            <v>Bali Nusra</v>
          </cell>
          <cell r="L203" t="str">
            <v xml:space="preserve">MON-SUN </v>
          </cell>
          <cell r="M203" t="str">
            <v>(00:00 - 23:59)</v>
          </cell>
          <cell r="N203">
            <v>1</v>
          </cell>
          <cell r="O203">
            <v>62</v>
          </cell>
          <cell r="P203">
            <v>4.3099999999999996</v>
          </cell>
          <cell r="Q203">
            <v>1440</v>
          </cell>
        </row>
        <row r="204">
          <cell r="B204" t="str">
            <v>587C</v>
          </cell>
          <cell r="C204" t="str">
            <v>Leonardo A Ruly</v>
          </cell>
          <cell r="D204" t="str">
            <v>SPBU Mitra 01</v>
          </cell>
          <cell r="E204" t="str">
            <v>ADVANTAGE KUPANG</v>
          </cell>
          <cell r="F204">
            <v>1</v>
          </cell>
          <cell r="G204" t="str">
            <v>04-Denpasar</v>
          </cell>
          <cell r="H204" t="str">
            <v>B</v>
          </cell>
          <cell r="I204" t="str">
            <v>ATM</v>
          </cell>
          <cell r="J204" t="str">
            <v>Kupang</v>
          </cell>
          <cell r="K204" t="str">
            <v>Bali Nusra</v>
          </cell>
          <cell r="L204" t="str">
            <v xml:space="preserve">MON-SUN </v>
          </cell>
          <cell r="M204" t="str">
            <v>(00:00 - 23:59)</v>
          </cell>
          <cell r="N204">
            <v>0</v>
          </cell>
          <cell r="O204">
            <v>0</v>
          </cell>
          <cell r="P204">
            <v>0</v>
          </cell>
          <cell r="Q204">
            <v>1440</v>
          </cell>
        </row>
        <row r="205">
          <cell r="B205" t="str">
            <v>5918</v>
          </cell>
          <cell r="C205" t="str">
            <v>Adi Irawan</v>
          </cell>
          <cell r="D205" t="str">
            <v>RS Bersalin Tresna Mtrm</v>
          </cell>
          <cell r="E205" t="str">
            <v>ADVANTAGE CAKRANEGARA</v>
          </cell>
          <cell r="F205">
            <v>1</v>
          </cell>
          <cell r="G205" t="str">
            <v>04-Denpasar</v>
          </cell>
          <cell r="H205" t="str">
            <v>B</v>
          </cell>
          <cell r="I205" t="str">
            <v>ATM</v>
          </cell>
          <cell r="J205" t="str">
            <v>Mataram</v>
          </cell>
          <cell r="K205" t="str">
            <v>Bali Nusra</v>
          </cell>
          <cell r="L205" t="str">
            <v xml:space="preserve">MON-SUN </v>
          </cell>
          <cell r="M205" t="str">
            <v>(00:00 - 23:59)</v>
          </cell>
          <cell r="N205">
            <v>0</v>
          </cell>
          <cell r="O205">
            <v>0</v>
          </cell>
          <cell r="P205">
            <v>0</v>
          </cell>
          <cell r="Q205">
            <v>1440</v>
          </cell>
        </row>
        <row r="206">
          <cell r="B206" t="str">
            <v>602U</v>
          </cell>
          <cell r="C206" t="str">
            <v>Rio Erdiansyah</v>
          </cell>
          <cell r="D206" t="str">
            <v>Alfa Gerokgak</v>
          </cell>
          <cell r="E206" t="str">
            <v>ABACUS BALI</v>
          </cell>
          <cell r="F206">
            <v>2</v>
          </cell>
          <cell r="G206" t="str">
            <v>04-Denpasar</v>
          </cell>
          <cell r="H206" t="str">
            <v>B</v>
          </cell>
          <cell r="I206" t="str">
            <v>ATM</v>
          </cell>
          <cell r="J206" t="str">
            <v>Singaraja</v>
          </cell>
          <cell r="K206" t="str">
            <v>Bali Nusra</v>
          </cell>
          <cell r="L206" t="str">
            <v xml:space="preserve">MON-SUN </v>
          </cell>
          <cell r="M206" t="str">
            <v>(07:00 - 23:00)</v>
          </cell>
          <cell r="N206">
            <v>0</v>
          </cell>
          <cell r="O206">
            <v>0</v>
          </cell>
          <cell r="P206">
            <v>0</v>
          </cell>
          <cell r="Q206">
            <v>960</v>
          </cell>
        </row>
        <row r="207">
          <cell r="B207" t="str">
            <v>602Y</v>
          </cell>
          <cell r="C207" t="str">
            <v>Bambang Yuniarko</v>
          </cell>
          <cell r="D207" t="str">
            <v>Prima Medika Hospital</v>
          </cell>
          <cell r="E207" t="str">
            <v>ABACUS BALI</v>
          </cell>
          <cell r="F207">
            <v>1</v>
          </cell>
          <cell r="G207" t="str">
            <v>04-Denpasar</v>
          </cell>
          <cell r="H207" t="str">
            <v>B</v>
          </cell>
          <cell r="I207" t="str">
            <v>ATM</v>
          </cell>
          <cell r="J207" t="str">
            <v>Denpasar</v>
          </cell>
          <cell r="K207" t="str">
            <v>Bali Nusra</v>
          </cell>
          <cell r="L207" t="str">
            <v xml:space="preserve">MON-SUN </v>
          </cell>
          <cell r="M207" t="str">
            <v>(00:00 - 23:59)</v>
          </cell>
          <cell r="N207">
            <v>0</v>
          </cell>
          <cell r="O207">
            <v>0</v>
          </cell>
          <cell r="P207">
            <v>0</v>
          </cell>
          <cell r="Q207">
            <v>1440</v>
          </cell>
        </row>
        <row r="208">
          <cell r="B208" t="str">
            <v>602Z</v>
          </cell>
          <cell r="C208" t="str">
            <v>Suhel Risdianto</v>
          </cell>
          <cell r="D208" t="str">
            <v>Toko Ayu Denpasar Bali 1</v>
          </cell>
          <cell r="E208" t="str">
            <v>ABACUS BALI</v>
          </cell>
          <cell r="F208">
            <v>1</v>
          </cell>
          <cell r="G208" t="str">
            <v>04-Denpasar</v>
          </cell>
          <cell r="H208" t="str">
            <v>B</v>
          </cell>
          <cell r="I208" t="str">
            <v>ATM</v>
          </cell>
          <cell r="J208" t="str">
            <v>Denpasar</v>
          </cell>
          <cell r="K208" t="str">
            <v>Bali Nusra</v>
          </cell>
          <cell r="L208" t="str">
            <v xml:space="preserve">MON-SUN </v>
          </cell>
          <cell r="M208" t="str">
            <v>(00:00 - 23:59)</v>
          </cell>
          <cell r="N208">
            <v>0</v>
          </cell>
          <cell r="O208">
            <v>0</v>
          </cell>
          <cell r="P208">
            <v>0</v>
          </cell>
          <cell r="Q208">
            <v>1440</v>
          </cell>
        </row>
        <row r="209">
          <cell r="B209" t="str">
            <v>607B</v>
          </cell>
          <cell r="C209" t="str">
            <v>Bambang Yuniarko</v>
          </cell>
          <cell r="D209" t="str">
            <v>IDM Hayam Wuruk Denpasar</v>
          </cell>
          <cell r="E209" t="str">
            <v>ANDALAN BALI</v>
          </cell>
          <cell r="F209">
            <v>1</v>
          </cell>
          <cell r="G209" t="str">
            <v>04-Denpasar</v>
          </cell>
          <cell r="H209" t="str">
            <v>B</v>
          </cell>
          <cell r="I209" t="str">
            <v>ATM</v>
          </cell>
          <cell r="J209" t="str">
            <v>Denpasar</v>
          </cell>
          <cell r="K209" t="str">
            <v>Bali Nusra</v>
          </cell>
          <cell r="L209" t="str">
            <v xml:space="preserve">MON-SUN </v>
          </cell>
          <cell r="M209" t="str">
            <v>(00:00 - 23:59)</v>
          </cell>
          <cell r="N209">
            <v>0</v>
          </cell>
          <cell r="O209">
            <v>0</v>
          </cell>
          <cell r="P209">
            <v>0</v>
          </cell>
          <cell r="Q209">
            <v>1440</v>
          </cell>
        </row>
        <row r="210">
          <cell r="B210" t="str">
            <v>609W</v>
          </cell>
          <cell r="C210" t="str">
            <v>Alparizi</v>
          </cell>
          <cell r="D210" t="str">
            <v>IDM Raya Senggigi Lombok</v>
          </cell>
          <cell r="E210" t="str">
            <v>ADVANTAGE CAKRANEGARA</v>
          </cell>
          <cell r="F210">
            <v>1</v>
          </cell>
          <cell r="G210" t="str">
            <v>04-Denpasar</v>
          </cell>
          <cell r="H210" t="str">
            <v>B</v>
          </cell>
          <cell r="I210" t="str">
            <v>ATM</v>
          </cell>
          <cell r="J210" t="str">
            <v>Mataram</v>
          </cell>
          <cell r="K210" t="str">
            <v>Bali Nusra</v>
          </cell>
          <cell r="L210" t="str">
            <v xml:space="preserve">MON-SUN </v>
          </cell>
          <cell r="M210" t="str">
            <v>(00:00 - 23:59)</v>
          </cell>
          <cell r="N210">
            <v>0</v>
          </cell>
          <cell r="O210">
            <v>0</v>
          </cell>
          <cell r="P210">
            <v>0</v>
          </cell>
          <cell r="Q210">
            <v>1440</v>
          </cell>
        </row>
        <row r="211">
          <cell r="B211" t="str">
            <v>611Z</v>
          </cell>
          <cell r="C211" t="str">
            <v>Suhel Risdianto</v>
          </cell>
          <cell r="D211" t="str">
            <v>Alfa Kerobokan III</v>
          </cell>
          <cell r="E211" t="str">
            <v>ABACUS BALI</v>
          </cell>
          <cell r="F211">
            <v>1</v>
          </cell>
          <cell r="G211" t="str">
            <v>04-Denpasar</v>
          </cell>
          <cell r="H211" t="str">
            <v>B</v>
          </cell>
          <cell r="I211" t="str">
            <v>ATM</v>
          </cell>
          <cell r="J211" t="str">
            <v>Denpasar</v>
          </cell>
          <cell r="K211" t="str">
            <v>Bali Nusra</v>
          </cell>
          <cell r="L211" t="str">
            <v xml:space="preserve">MON-SUN </v>
          </cell>
          <cell r="M211" t="str">
            <v>(07:00 - 22:00)</v>
          </cell>
          <cell r="N211">
            <v>0</v>
          </cell>
          <cell r="O211">
            <v>0</v>
          </cell>
          <cell r="P211">
            <v>0</v>
          </cell>
          <cell r="Q211">
            <v>900</v>
          </cell>
        </row>
        <row r="212">
          <cell r="B212" t="str">
            <v>614Y</v>
          </cell>
          <cell r="C212" t="str">
            <v>Farozan Ali Fahmi</v>
          </cell>
          <cell r="D212" t="str">
            <v>CK Kamboja BAL0270</v>
          </cell>
          <cell r="E212" t="str">
            <v>ANDALAN BALI</v>
          </cell>
          <cell r="F212">
            <v>1</v>
          </cell>
          <cell r="G212" t="str">
            <v>04-Denpasar</v>
          </cell>
          <cell r="H212" t="str">
            <v>B</v>
          </cell>
          <cell r="I212" t="str">
            <v>ATM</v>
          </cell>
          <cell r="J212" t="str">
            <v>Denpasar</v>
          </cell>
          <cell r="K212" t="str">
            <v>Bali Nusra</v>
          </cell>
          <cell r="L212" t="str">
            <v xml:space="preserve">MON-SUN </v>
          </cell>
          <cell r="M212" t="str">
            <v>(00:00 - 23:59)</v>
          </cell>
          <cell r="N212">
            <v>0</v>
          </cell>
          <cell r="O212">
            <v>0</v>
          </cell>
          <cell r="P212">
            <v>0</v>
          </cell>
          <cell r="Q212">
            <v>1440</v>
          </cell>
        </row>
        <row r="213">
          <cell r="B213" t="str">
            <v>617B</v>
          </cell>
          <cell r="C213" t="str">
            <v>Lalu Riswan Hadi</v>
          </cell>
          <cell r="D213" t="str">
            <v>SPBU 5483508 bypas BIL</v>
          </cell>
          <cell r="E213" t="str">
            <v>ADVANTAGE CAKRANEGARA</v>
          </cell>
          <cell r="F213">
            <v>2</v>
          </cell>
          <cell r="G213" t="str">
            <v>04-Denpasar</v>
          </cell>
          <cell r="H213" t="str">
            <v>B</v>
          </cell>
          <cell r="I213" t="str">
            <v>ATM</v>
          </cell>
          <cell r="J213" t="str">
            <v>Mataram</v>
          </cell>
          <cell r="K213" t="str">
            <v>Bali Nusra</v>
          </cell>
          <cell r="L213" t="str">
            <v xml:space="preserve">MON-SUN </v>
          </cell>
          <cell r="M213" t="str">
            <v>(00:00 - 23:59)</v>
          </cell>
          <cell r="N213">
            <v>0</v>
          </cell>
          <cell r="O213">
            <v>0</v>
          </cell>
          <cell r="P213">
            <v>0</v>
          </cell>
          <cell r="Q213">
            <v>1440</v>
          </cell>
        </row>
        <row r="214">
          <cell r="B214" t="str">
            <v>617C</v>
          </cell>
          <cell r="C214" t="str">
            <v>Alparizi</v>
          </cell>
          <cell r="D214" t="str">
            <v>RM Taliwang II Pemenang</v>
          </cell>
          <cell r="E214" t="str">
            <v>ADVANTAGE CAKRANEGARA</v>
          </cell>
          <cell r="F214">
            <v>2</v>
          </cell>
          <cell r="G214" t="str">
            <v>04-Denpasar</v>
          </cell>
          <cell r="H214" t="str">
            <v>B</v>
          </cell>
          <cell r="I214" t="str">
            <v>ATM</v>
          </cell>
          <cell r="J214" t="str">
            <v>Mataram</v>
          </cell>
          <cell r="K214" t="str">
            <v>Bali Nusra</v>
          </cell>
          <cell r="L214" t="str">
            <v xml:space="preserve">MON-SUN </v>
          </cell>
          <cell r="M214" t="str">
            <v>(00:00 - 23:59)</v>
          </cell>
          <cell r="N214">
            <v>0</v>
          </cell>
          <cell r="O214">
            <v>0</v>
          </cell>
          <cell r="P214">
            <v>0</v>
          </cell>
          <cell r="Q214">
            <v>1440</v>
          </cell>
        </row>
        <row r="215">
          <cell r="B215" t="str">
            <v>619A</v>
          </cell>
          <cell r="C215" t="str">
            <v>Arif Rahman Hakim</v>
          </cell>
          <cell r="D215" t="str">
            <v>Taman Rama Jimbaran</v>
          </cell>
          <cell r="E215" t="str">
            <v>ABACUS BALI</v>
          </cell>
          <cell r="F215">
            <v>1</v>
          </cell>
          <cell r="G215" t="str">
            <v>04-Denpasar</v>
          </cell>
          <cell r="H215" t="str">
            <v>B</v>
          </cell>
          <cell r="I215" t="str">
            <v>ATM</v>
          </cell>
          <cell r="J215" t="str">
            <v>Denpasar</v>
          </cell>
          <cell r="K215" t="str">
            <v>Bali Nusra</v>
          </cell>
          <cell r="L215" t="str">
            <v xml:space="preserve">MON-SUN </v>
          </cell>
          <cell r="M215" t="str">
            <v>(07:00 - 22:00)</v>
          </cell>
          <cell r="N215">
            <v>0</v>
          </cell>
          <cell r="O215">
            <v>0</v>
          </cell>
          <cell r="P215">
            <v>0</v>
          </cell>
          <cell r="Q215">
            <v>900</v>
          </cell>
        </row>
        <row r="216">
          <cell r="B216" t="str">
            <v>619E</v>
          </cell>
          <cell r="C216" t="str">
            <v>Suhel Risdianto</v>
          </cell>
          <cell r="D216" t="str">
            <v>Minimarket Kembar Artha</v>
          </cell>
          <cell r="E216" t="str">
            <v>ABACUS BALI</v>
          </cell>
          <cell r="F216">
            <v>1</v>
          </cell>
          <cell r="G216" t="str">
            <v>04-Denpasar</v>
          </cell>
          <cell r="H216" t="str">
            <v>B</v>
          </cell>
          <cell r="I216" t="str">
            <v>ATM</v>
          </cell>
          <cell r="J216" t="str">
            <v>Denpasar</v>
          </cell>
          <cell r="K216" t="str">
            <v>Bali Nusra</v>
          </cell>
          <cell r="L216" t="str">
            <v xml:space="preserve">MON-SUN </v>
          </cell>
          <cell r="M216" t="str">
            <v>(00:00 - 23:59)</v>
          </cell>
          <cell r="N216">
            <v>0</v>
          </cell>
          <cell r="O216">
            <v>0</v>
          </cell>
          <cell r="P216">
            <v>0</v>
          </cell>
          <cell r="Q216">
            <v>1440</v>
          </cell>
        </row>
        <row r="217">
          <cell r="B217" t="str">
            <v>621J</v>
          </cell>
          <cell r="C217" t="str">
            <v>Suhel Risdianto</v>
          </cell>
          <cell r="D217" t="str">
            <v>IDM Sidakarya Denpasar</v>
          </cell>
          <cell r="E217" t="str">
            <v>ANDALAN BALI</v>
          </cell>
          <cell r="F217">
            <v>1</v>
          </cell>
          <cell r="G217" t="str">
            <v>04-Denpasar</v>
          </cell>
          <cell r="H217" t="str">
            <v>B</v>
          </cell>
          <cell r="I217" t="str">
            <v>ATM</v>
          </cell>
          <cell r="J217" t="str">
            <v>Denpasar</v>
          </cell>
          <cell r="K217" t="str">
            <v>Bali Nusra</v>
          </cell>
          <cell r="L217" t="str">
            <v xml:space="preserve">MON-SUN </v>
          </cell>
          <cell r="M217" t="str">
            <v>(00:00 - 23:59)</v>
          </cell>
          <cell r="N217">
            <v>0</v>
          </cell>
          <cell r="O217">
            <v>0</v>
          </cell>
          <cell r="P217">
            <v>0</v>
          </cell>
          <cell r="Q217">
            <v>1440</v>
          </cell>
        </row>
        <row r="218">
          <cell r="B218" t="str">
            <v>622H</v>
          </cell>
          <cell r="C218" t="str">
            <v>Suhel Risdianto</v>
          </cell>
          <cell r="D218" t="str">
            <v>IDM Pulau Saelus Denpasar</v>
          </cell>
          <cell r="E218" t="str">
            <v>ABACUS BALI</v>
          </cell>
          <cell r="F218">
            <v>1</v>
          </cell>
          <cell r="G218" t="str">
            <v>04-Denpasar</v>
          </cell>
          <cell r="H218" t="str">
            <v>B</v>
          </cell>
          <cell r="I218" t="str">
            <v>ATM</v>
          </cell>
          <cell r="J218" t="str">
            <v>Denpasar</v>
          </cell>
          <cell r="K218" t="str">
            <v>Bali Nusra</v>
          </cell>
          <cell r="L218" t="str">
            <v xml:space="preserve">MON-SUN </v>
          </cell>
          <cell r="M218" t="str">
            <v>(07:00 - 22:00)</v>
          </cell>
          <cell r="N218">
            <v>0</v>
          </cell>
          <cell r="O218">
            <v>0</v>
          </cell>
          <cell r="P218">
            <v>0</v>
          </cell>
          <cell r="Q218">
            <v>900</v>
          </cell>
        </row>
        <row r="219">
          <cell r="B219" t="str">
            <v>624F</v>
          </cell>
          <cell r="C219" t="str">
            <v>Muhammad Ngainun Najib</v>
          </cell>
          <cell r="D219" t="str">
            <v>Minimart Kediri III Bdg</v>
          </cell>
          <cell r="E219" t="str">
            <v>ABACUS BALI</v>
          </cell>
          <cell r="F219">
            <v>1</v>
          </cell>
          <cell r="G219" t="str">
            <v>04-Denpasar</v>
          </cell>
          <cell r="H219" t="str">
            <v>B</v>
          </cell>
          <cell r="I219" t="str">
            <v>ATM</v>
          </cell>
          <cell r="J219" t="str">
            <v>Denpasar</v>
          </cell>
          <cell r="K219" t="str">
            <v>Bali Nusra</v>
          </cell>
          <cell r="L219" t="str">
            <v xml:space="preserve">MON-SUN </v>
          </cell>
          <cell r="M219" t="str">
            <v>(00:00 - 23:59)</v>
          </cell>
          <cell r="N219">
            <v>0</v>
          </cell>
          <cell r="O219">
            <v>0</v>
          </cell>
          <cell r="P219">
            <v>0</v>
          </cell>
          <cell r="Q219">
            <v>1440</v>
          </cell>
        </row>
        <row r="220">
          <cell r="B220" t="str">
            <v>624T</v>
          </cell>
          <cell r="C220" t="str">
            <v>Yunarius Raynold Gege</v>
          </cell>
          <cell r="D220" t="str">
            <v>SPBU TuakDaunMerah Kupang</v>
          </cell>
          <cell r="E220" t="str">
            <v>ADVANTAGE KUPANG</v>
          </cell>
          <cell r="F220">
            <v>1</v>
          </cell>
          <cell r="G220" t="str">
            <v>04-Denpasar</v>
          </cell>
          <cell r="H220" t="str">
            <v>B</v>
          </cell>
          <cell r="I220" t="str">
            <v>ATM</v>
          </cell>
          <cell r="J220" t="str">
            <v>Kupang</v>
          </cell>
          <cell r="K220" t="str">
            <v>Bali Nusra</v>
          </cell>
          <cell r="L220" t="str">
            <v xml:space="preserve">MON-SUN </v>
          </cell>
          <cell r="M220" t="str">
            <v>(00:00 - 23:59)</v>
          </cell>
          <cell r="N220">
            <v>0</v>
          </cell>
          <cell r="O220">
            <v>0</v>
          </cell>
          <cell r="P220">
            <v>0</v>
          </cell>
          <cell r="Q220">
            <v>1440</v>
          </cell>
        </row>
        <row r="221">
          <cell r="B221" t="str">
            <v>625H</v>
          </cell>
          <cell r="C221" t="str">
            <v>Eko Adi Sugiyantoro</v>
          </cell>
          <cell r="D221" t="str">
            <v>Minimart TAB 3 Kediri Tbn</v>
          </cell>
          <cell r="E221" t="str">
            <v>ABACUS BALI</v>
          </cell>
          <cell r="F221">
            <v>1</v>
          </cell>
          <cell r="G221" t="str">
            <v>04-Denpasar</v>
          </cell>
          <cell r="H221" t="str">
            <v>B</v>
          </cell>
          <cell r="I221" t="str">
            <v>ATM</v>
          </cell>
          <cell r="J221" t="str">
            <v>Denpasar</v>
          </cell>
          <cell r="K221" t="str">
            <v>Bali Nusra</v>
          </cell>
          <cell r="L221" t="str">
            <v xml:space="preserve">MON-SUN </v>
          </cell>
          <cell r="M221" t="str">
            <v>(07:00 - 22:00)</v>
          </cell>
          <cell r="N221">
            <v>0</v>
          </cell>
          <cell r="O221">
            <v>0</v>
          </cell>
          <cell r="P221">
            <v>0</v>
          </cell>
          <cell r="Q221">
            <v>900</v>
          </cell>
        </row>
        <row r="222">
          <cell r="B222" t="str">
            <v>630X</v>
          </cell>
          <cell r="C222" t="str">
            <v>Adi Irawan</v>
          </cell>
          <cell r="D222" t="str">
            <v>Aston Inn Hotel Mataram</v>
          </cell>
          <cell r="E222" t="str">
            <v>ADVANTAGE CAKRANEGARA</v>
          </cell>
          <cell r="F222">
            <v>1</v>
          </cell>
          <cell r="G222" t="str">
            <v>04-Denpasar</v>
          </cell>
          <cell r="H222" t="str">
            <v>B</v>
          </cell>
          <cell r="I222" t="str">
            <v>ATM</v>
          </cell>
          <cell r="J222" t="str">
            <v>Mataram</v>
          </cell>
          <cell r="K222" t="str">
            <v>Bali Nusra</v>
          </cell>
          <cell r="L222" t="str">
            <v xml:space="preserve">MON-SUN </v>
          </cell>
          <cell r="M222" t="str">
            <v>(00:00 - 23:59)</v>
          </cell>
          <cell r="N222">
            <v>0</v>
          </cell>
          <cell r="O222">
            <v>0</v>
          </cell>
          <cell r="P222">
            <v>0</v>
          </cell>
          <cell r="Q222">
            <v>1440</v>
          </cell>
        </row>
        <row r="223">
          <cell r="B223" t="str">
            <v>633J</v>
          </cell>
          <cell r="C223" t="str">
            <v>Lalu Riswan Hadi</v>
          </cell>
          <cell r="D223" t="str">
            <v>IDM By Pass BIL IV</v>
          </cell>
          <cell r="E223" t="str">
            <v>ADVANTAGE CAKRANEGARA</v>
          </cell>
          <cell r="F223">
            <v>1</v>
          </cell>
          <cell r="G223" t="str">
            <v>04-Denpasar</v>
          </cell>
          <cell r="H223" t="str">
            <v>B</v>
          </cell>
          <cell r="I223" t="str">
            <v>ATM</v>
          </cell>
          <cell r="J223" t="str">
            <v>Mataram</v>
          </cell>
          <cell r="K223" t="str">
            <v>Bali Nusra</v>
          </cell>
          <cell r="L223" t="str">
            <v xml:space="preserve">MON-SUN </v>
          </cell>
          <cell r="M223" t="str">
            <v>(00:00 - 23:59)</v>
          </cell>
          <cell r="N223">
            <v>0</v>
          </cell>
          <cell r="O223">
            <v>0</v>
          </cell>
          <cell r="P223">
            <v>0</v>
          </cell>
          <cell r="Q223">
            <v>1440</v>
          </cell>
        </row>
        <row r="224">
          <cell r="B224" t="str">
            <v>634B</v>
          </cell>
          <cell r="C224" t="str">
            <v>Adi Irawan</v>
          </cell>
          <cell r="D224" t="str">
            <v>Alfamart Jendral Sudirman</v>
          </cell>
          <cell r="E224" t="str">
            <v>ADVANTAGE CAKRANEGARA</v>
          </cell>
          <cell r="F224">
            <v>1</v>
          </cell>
          <cell r="G224" t="str">
            <v>04-Denpasar</v>
          </cell>
          <cell r="H224" t="str">
            <v>B</v>
          </cell>
          <cell r="I224" t="str">
            <v>ATM</v>
          </cell>
          <cell r="J224" t="str">
            <v>Mataram</v>
          </cell>
          <cell r="K224" t="str">
            <v>Bali Nusra</v>
          </cell>
          <cell r="L224" t="str">
            <v xml:space="preserve">MON-SUN </v>
          </cell>
          <cell r="M224" t="str">
            <v>(00:00 - 23:59)</v>
          </cell>
          <cell r="N224">
            <v>0</v>
          </cell>
          <cell r="O224">
            <v>0</v>
          </cell>
          <cell r="P224">
            <v>0</v>
          </cell>
          <cell r="Q224">
            <v>1440</v>
          </cell>
        </row>
        <row r="225">
          <cell r="B225" t="str">
            <v>634J</v>
          </cell>
          <cell r="C225" t="str">
            <v>Lalu Riswan Hadi</v>
          </cell>
          <cell r="D225" t="str">
            <v>Alfa Puyung Lombok</v>
          </cell>
          <cell r="E225" t="str">
            <v>ADVANTAGE CAKRANEGARA</v>
          </cell>
          <cell r="F225">
            <v>2</v>
          </cell>
          <cell r="G225" t="str">
            <v>04-Denpasar</v>
          </cell>
          <cell r="H225" t="str">
            <v>B</v>
          </cell>
          <cell r="I225" t="str">
            <v>ATM</v>
          </cell>
          <cell r="J225" t="str">
            <v>Mataram</v>
          </cell>
          <cell r="K225" t="str">
            <v>Bali Nusra</v>
          </cell>
          <cell r="L225" t="str">
            <v xml:space="preserve">MON-SUN </v>
          </cell>
          <cell r="M225" t="str">
            <v>(00:00 - 23:59)</v>
          </cell>
          <cell r="N225">
            <v>0</v>
          </cell>
          <cell r="O225">
            <v>0</v>
          </cell>
          <cell r="P225">
            <v>0</v>
          </cell>
          <cell r="Q225">
            <v>1440</v>
          </cell>
        </row>
        <row r="226">
          <cell r="B226" t="str">
            <v>639D</v>
          </cell>
          <cell r="C226" t="str">
            <v>Farozan Ali Fahmi</v>
          </cell>
          <cell r="D226" t="str">
            <v>RS Ari Canti Mas Ubud 1</v>
          </cell>
          <cell r="E226" t="str">
            <v>ABACUS BALI</v>
          </cell>
          <cell r="F226">
            <v>1</v>
          </cell>
          <cell r="G226" t="str">
            <v>04-Denpasar</v>
          </cell>
          <cell r="H226" t="str">
            <v>B</v>
          </cell>
          <cell r="I226" t="str">
            <v>ATM</v>
          </cell>
          <cell r="J226" t="str">
            <v>Denpasar</v>
          </cell>
          <cell r="K226" t="str">
            <v>Bali Nusra</v>
          </cell>
          <cell r="L226" t="str">
            <v xml:space="preserve">MON-SUN </v>
          </cell>
          <cell r="M226" t="str">
            <v>(00:00 - 23:59)</v>
          </cell>
          <cell r="N226">
            <v>0</v>
          </cell>
          <cell r="O226">
            <v>0</v>
          </cell>
          <cell r="P226">
            <v>0</v>
          </cell>
          <cell r="Q226">
            <v>1440</v>
          </cell>
        </row>
        <row r="227">
          <cell r="B227" t="str">
            <v>646W</v>
          </cell>
          <cell r="C227" t="str">
            <v>Eko Adi Sugiyantoro</v>
          </cell>
          <cell r="D227" t="str">
            <v>CK Padonan Canggu</v>
          </cell>
          <cell r="E227" t="str">
            <v>ABACUS BALI</v>
          </cell>
          <cell r="F227">
            <v>1</v>
          </cell>
          <cell r="G227" t="str">
            <v>04-Denpasar</v>
          </cell>
          <cell r="H227" t="str">
            <v>B</v>
          </cell>
          <cell r="I227" t="str">
            <v>ATM</v>
          </cell>
          <cell r="J227" t="str">
            <v>Denpasar</v>
          </cell>
          <cell r="K227" t="str">
            <v>Bali Nusra</v>
          </cell>
          <cell r="L227" t="str">
            <v xml:space="preserve">MON-SUN </v>
          </cell>
          <cell r="M227" t="str">
            <v>(00:00 - 23:59)</v>
          </cell>
          <cell r="N227">
            <v>0</v>
          </cell>
          <cell r="O227">
            <v>0</v>
          </cell>
          <cell r="P227">
            <v>0</v>
          </cell>
          <cell r="Q227">
            <v>1440</v>
          </cell>
        </row>
        <row r="228">
          <cell r="B228" t="str">
            <v>649Y</v>
          </cell>
          <cell r="C228" t="str">
            <v>Bambang Yuniarko</v>
          </cell>
          <cell r="D228" t="str">
            <v>Alfa Batanghari 1</v>
          </cell>
          <cell r="E228" t="str">
            <v>ANDALAN BALI</v>
          </cell>
          <cell r="F228">
            <v>1</v>
          </cell>
          <cell r="G228" t="str">
            <v>04-Denpasar</v>
          </cell>
          <cell r="H228" t="str">
            <v>B</v>
          </cell>
          <cell r="I228" t="str">
            <v>ATM</v>
          </cell>
          <cell r="J228" t="str">
            <v>Denpasar</v>
          </cell>
          <cell r="K228" t="str">
            <v>Bali Nusra</v>
          </cell>
          <cell r="L228" t="str">
            <v xml:space="preserve">MON-SUN </v>
          </cell>
          <cell r="M228" t="str">
            <v>(07:00 - 22:00)</v>
          </cell>
          <cell r="N228">
            <v>0</v>
          </cell>
          <cell r="O228">
            <v>0</v>
          </cell>
          <cell r="P228">
            <v>0</v>
          </cell>
          <cell r="Q228">
            <v>900</v>
          </cell>
        </row>
        <row r="229">
          <cell r="B229" t="str">
            <v>650K</v>
          </cell>
          <cell r="C229" t="str">
            <v>Farozan Ali Fahmi</v>
          </cell>
          <cell r="D229" t="str">
            <v>OJK Denpasar 1</v>
          </cell>
          <cell r="E229" t="str">
            <v>ANDALAN BALI</v>
          </cell>
          <cell r="F229">
            <v>1</v>
          </cell>
          <cell r="G229" t="str">
            <v>04-Denpasar</v>
          </cell>
          <cell r="H229" t="str">
            <v>B</v>
          </cell>
          <cell r="I229" t="str">
            <v>ATM</v>
          </cell>
          <cell r="J229" t="str">
            <v>Denpasar</v>
          </cell>
          <cell r="K229" t="str">
            <v>Bali Nusra</v>
          </cell>
          <cell r="L229" t="str">
            <v xml:space="preserve">MON-SUN </v>
          </cell>
          <cell r="M229" t="str">
            <v>(00:00 - 23:59)</v>
          </cell>
          <cell r="N229">
            <v>0</v>
          </cell>
          <cell r="O229">
            <v>0</v>
          </cell>
          <cell r="P229">
            <v>0</v>
          </cell>
          <cell r="Q229">
            <v>1440</v>
          </cell>
        </row>
        <row r="230">
          <cell r="B230" t="str">
            <v>6519</v>
          </cell>
          <cell r="C230" t="str">
            <v>Revaldi Resha Wardhana</v>
          </cell>
          <cell r="D230" t="str">
            <v>Guntur Sport</v>
          </cell>
          <cell r="E230" t="str">
            <v>ABACUS BALI</v>
          </cell>
          <cell r="F230">
            <v>1</v>
          </cell>
          <cell r="G230" t="str">
            <v>04-Denpasar</v>
          </cell>
          <cell r="H230" t="str">
            <v>B</v>
          </cell>
          <cell r="I230" t="str">
            <v>ATM</v>
          </cell>
          <cell r="J230" t="str">
            <v>Denpasar</v>
          </cell>
          <cell r="K230" t="str">
            <v>Bali Nusra</v>
          </cell>
          <cell r="L230" t="str">
            <v xml:space="preserve">MON-SUN </v>
          </cell>
          <cell r="M230" t="str">
            <v>(00:00 - 23:59)</v>
          </cell>
          <cell r="N230">
            <v>0</v>
          </cell>
          <cell r="O230">
            <v>0</v>
          </cell>
          <cell r="P230">
            <v>0</v>
          </cell>
          <cell r="Q230">
            <v>1440</v>
          </cell>
        </row>
        <row r="231">
          <cell r="B231" t="str">
            <v>651H</v>
          </cell>
          <cell r="C231" t="str">
            <v>Suhel Risdianto</v>
          </cell>
          <cell r="D231" t="str">
            <v>CK Imam Bonjol Denpasar</v>
          </cell>
          <cell r="E231" t="str">
            <v>ABACUS BALI</v>
          </cell>
          <cell r="F231">
            <v>1</v>
          </cell>
          <cell r="G231" t="str">
            <v>04-Denpasar</v>
          </cell>
          <cell r="H231" t="str">
            <v>B</v>
          </cell>
          <cell r="I231" t="str">
            <v>ATM</v>
          </cell>
          <cell r="J231" t="str">
            <v>Denpasar</v>
          </cell>
          <cell r="K231" t="str">
            <v>Bali Nusra</v>
          </cell>
          <cell r="L231" t="str">
            <v xml:space="preserve">MON-SUN </v>
          </cell>
          <cell r="M231" t="str">
            <v>(00:00 - 23:59)</v>
          </cell>
          <cell r="N231">
            <v>0</v>
          </cell>
          <cell r="O231">
            <v>0</v>
          </cell>
          <cell r="P231">
            <v>0</v>
          </cell>
          <cell r="Q231">
            <v>1440</v>
          </cell>
        </row>
        <row r="232">
          <cell r="B232" t="str">
            <v>651J</v>
          </cell>
          <cell r="C232" t="str">
            <v>Revaldi Resha Wardhana</v>
          </cell>
          <cell r="D232" t="str">
            <v>CK 129 Bal 0236 Gatsu</v>
          </cell>
          <cell r="E232" t="str">
            <v>ABACUS BALI</v>
          </cell>
          <cell r="F232">
            <v>1</v>
          </cell>
          <cell r="G232" t="str">
            <v>04-Denpasar</v>
          </cell>
          <cell r="H232" t="str">
            <v>B</v>
          </cell>
          <cell r="I232" t="str">
            <v>ATM</v>
          </cell>
          <cell r="J232" t="str">
            <v>Denpasar</v>
          </cell>
          <cell r="K232" t="str">
            <v>Bali Nusra</v>
          </cell>
          <cell r="L232" t="str">
            <v xml:space="preserve">MON-SUN </v>
          </cell>
          <cell r="M232" t="str">
            <v>(00:00 - 23:59)</v>
          </cell>
          <cell r="N232">
            <v>0</v>
          </cell>
          <cell r="O232">
            <v>0</v>
          </cell>
          <cell r="P232">
            <v>0</v>
          </cell>
          <cell r="Q232">
            <v>1440</v>
          </cell>
        </row>
        <row r="233">
          <cell r="B233" t="str">
            <v>651L</v>
          </cell>
          <cell r="C233" t="str">
            <v>Suhel Risdianto</v>
          </cell>
          <cell r="D233" t="str">
            <v>CK 109 Bal 0244 TeukuUmar</v>
          </cell>
          <cell r="E233" t="str">
            <v>ABACUS BALI</v>
          </cell>
          <cell r="F233">
            <v>1</v>
          </cell>
          <cell r="G233" t="str">
            <v>04-Denpasar</v>
          </cell>
          <cell r="H233" t="str">
            <v>B</v>
          </cell>
          <cell r="I233" t="str">
            <v>ATM</v>
          </cell>
          <cell r="J233" t="str">
            <v>Denpasar</v>
          </cell>
          <cell r="K233" t="str">
            <v>Bali Nusra</v>
          </cell>
          <cell r="L233" t="str">
            <v xml:space="preserve">MON-SUN </v>
          </cell>
          <cell r="M233" t="str">
            <v>(00:00 - 23:59)</v>
          </cell>
          <cell r="N233">
            <v>0</v>
          </cell>
          <cell r="O233">
            <v>0</v>
          </cell>
          <cell r="P233">
            <v>0</v>
          </cell>
          <cell r="Q233">
            <v>1440</v>
          </cell>
        </row>
        <row r="234">
          <cell r="B234" t="str">
            <v>651M</v>
          </cell>
          <cell r="C234" t="str">
            <v>Farozan Ali Fahmi</v>
          </cell>
          <cell r="D234" t="str">
            <v>CK 111 Bal 0225 Tohpati</v>
          </cell>
          <cell r="E234" t="str">
            <v>ABACUS BALI</v>
          </cell>
          <cell r="F234">
            <v>1</v>
          </cell>
          <cell r="G234" t="str">
            <v>04-Denpasar</v>
          </cell>
          <cell r="H234" t="str">
            <v>B</v>
          </cell>
          <cell r="I234" t="str">
            <v>ATM</v>
          </cell>
          <cell r="J234" t="str">
            <v>Denpasar</v>
          </cell>
          <cell r="K234" t="str">
            <v>Bali Nusra</v>
          </cell>
          <cell r="L234" t="str">
            <v xml:space="preserve">MON-SUN </v>
          </cell>
          <cell r="M234" t="str">
            <v>(00:00 - 23:59)</v>
          </cell>
          <cell r="N234">
            <v>0</v>
          </cell>
          <cell r="O234">
            <v>0</v>
          </cell>
          <cell r="P234">
            <v>0</v>
          </cell>
          <cell r="Q234">
            <v>1440</v>
          </cell>
        </row>
        <row r="235">
          <cell r="B235" t="str">
            <v>651Q</v>
          </cell>
          <cell r="C235" t="str">
            <v>Suhel Risdianto</v>
          </cell>
          <cell r="D235" t="str">
            <v>CK 73 Bal0207 Teuku Umar</v>
          </cell>
          <cell r="E235" t="str">
            <v>ABACUS BALI</v>
          </cell>
          <cell r="F235">
            <v>1</v>
          </cell>
          <cell r="G235" t="str">
            <v>04-Denpasar</v>
          </cell>
          <cell r="H235" t="str">
            <v>B</v>
          </cell>
          <cell r="I235" t="str">
            <v>ATM</v>
          </cell>
          <cell r="J235" t="str">
            <v>Denpasar</v>
          </cell>
          <cell r="K235" t="str">
            <v>Bali Nusra</v>
          </cell>
          <cell r="L235" t="str">
            <v xml:space="preserve">MON-SUN </v>
          </cell>
          <cell r="M235" t="str">
            <v>(00:00 - 23:59)</v>
          </cell>
          <cell r="N235">
            <v>0</v>
          </cell>
          <cell r="O235">
            <v>0</v>
          </cell>
          <cell r="P235">
            <v>0</v>
          </cell>
          <cell r="Q235">
            <v>1440</v>
          </cell>
        </row>
        <row r="236">
          <cell r="B236" t="str">
            <v>6520</v>
          </cell>
          <cell r="C236" t="str">
            <v>Arif Rahman Hakim</v>
          </cell>
          <cell r="D236" t="str">
            <v>ST Regis</v>
          </cell>
          <cell r="E236" t="str">
            <v>ABACUS BALI</v>
          </cell>
          <cell r="F236">
            <v>1</v>
          </cell>
          <cell r="G236" t="str">
            <v>04-Denpasar</v>
          </cell>
          <cell r="H236" t="str">
            <v>B</v>
          </cell>
          <cell r="I236" t="str">
            <v>ATM</v>
          </cell>
          <cell r="J236" t="str">
            <v>Denpasar</v>
          </cell>
          <cell r="K236" t="str">
            <v>Bali Nusra</v>
          </cell>
          <cell r="L236" t="str">
            <v xml:space="preserve">MON-SUN </v>
          </cell>
          <cell r="M236" t="str">
            <v>(00:00 - 23:59)</v>
          </cell>
          <cell r="N236">
            <v>0</v>
          </cell>
          <cell r="O236">
            <v>0</v>
          </cell>
          <cell r="P236">
            <v>0</v>
          </cell>
          <cell r="Q236">
            <v>1440</v>
          </cell>
        </row>
        <row r="237">
          <cell r="B237" t="str">
            <v>6521</v>
          </cell>
          <cell r="C237" t="str">
            <v>Revaldi Resha Wardhana</v>
          </cell>
          <cell r="D237" t="str">
            <v>Mitra 10 Denpasar</v>
          </cell>
          <cell r="E237" t="str">
            <v>ABACUS BALI</v>
          </cell>
          <cell r="F237">
            <v>1</v>
          </cell>
          <cell r="G237" t="str">
            <v>04-Denpasar</v>
          </cell>
          <cell r="H237" t="str">
            <v>B</v>
          </cell>
          <cell r="I237" t="str">
            <v>ATM</v>
          </cell>
          <cell r="J237" t="str">
            <v>Denpasar</v>
          </cell>
          <cell r="K237" t="str">
            <v>Bali Nusra</v>
          </cell>
          <cell r="L237" t="str">
            <v xml:space="preserve">MON-SUN </v>
          </cell>
          <cell r="M237" t="str">
            <v>(07:00 - 22:00)</v>
          </cell>
          <cell r="N237">
            <v>0</v>
          </cell>
          <cell r="O237">
            <v>0</v>
          </cell>
          <cell r="P237">
            <v>0</v>
          </cell>
          <cell r="Q237">
            <v>900</v>
          </cell>
        </row>
        <row r="238">
          <cell r="B238" t="str">
            <v>652H</v>
          </cell>
          <cell r="C238" t="str">
            <v>Bambang Yuniarko</v>
          </cell>
          <cell r="D238" t="str">
            <v>Alfa Mudhita Tukad Barito</v>
          </cell>
          <cell r="E238" t="str">
            <v>ANDALAN BALI</v>
          </cell>
          <cell r="F238">
            <v>1</v>
          </cell>
          <cell r="G238" t="str">
            <v>04-Denpasar</v>
          </cell>
          <cell r="H238" t="str">
            <v>B</v>
          </cell>
          <cell r="I238" t="str">
            <v>ATM</v>
          </cell>
          <cell r="J238" t="str">
            <v>Denpasar</v>
          </cell>
          <cell r="K238" t="str">
            <v>Bali Nusra</v>
          </cell>
          <cell r="L238" t="str">
            <v xml:space="preserve">MON-SUN </v>
          </cell>
          <cell r="M238" t="str">
            <v>(07:00 - 22:00)</v>
          </cell>
          <cell r="N238">
            <v>0</v>
          </cell>
          <cell r="O238">
            <v>0</v>
          </cell>
          <cell r="P238">
            <v>0</v>
          </cell>
          <cell r="Q238">
            <v>900</v>
          </cell>
        </row>
        <row r="239">
          <cell r="B239" t="str">
            <v>653K</v>
          </cell>
          <cell r="C239" t="str">
            <v>Lalu Riswan Hadi</v>
          </cell>
          <cell r="D239" t="str">
            <v>LotteM Mataram</v>
          </cell>
          <cell r="E239" t="str">
            <v>ADVANTAGE CAKRANEGARA</v>
          </cell>
          <cell r="F239">
            <v>1</v>
          </cell>
          <cell r="G239" t="str">
            <v>04-Denpasar</v>
          </cell>
          <cell r="H239" t="str">
            <v>B</v>
          </cell>
          <cell r="I239" t="str">
            <v>ATM</v>
          </cell>
          <cell r="J239" t="str">
            <v>Mataram</v>
          </cell>
          <cell r="K239" t="str">
            <v>Bali Nusra</v>
          </cell>
          <cell r="L239" t="str">
            <v xml:space="preserve">MON-SUN </v>
          </cell>
          <cell r="M239" t="str">
            <v>(08:00 - 21:00)</v>
          </cell>
          <cell r="N239">
            <v>0</v>
          </cell>
          <cell r="O239">
            <v>0</v>
          </cell>
          <cell r="P239">
            <v>0</v>
          </cell>
          <cell r="Q239">
            <v>780</v>
          </cell>
        </row>
        <row r="240">
          <cell r="B240" t="str">
            <v>653L</v>
          </cell>
          <cell r="C240" t="str">
            <v>Yohanes Yeximus Tritanto</v>
          </cell>
          <cell r="D240" t="str">
            <v>Minimarket Pagi</v>
          </cell>
          <cell r="E240" t="str">
            <v>KUPANG</v>
          </cell>
          <cell r="F240">
            <v>4</v>
          </cell>
          <cell r="G240" t="str">
            <v>04-Denpasar</v>
          </cell>
          <cell r="H240" t="str">
            <v>B</v>
          </cell>
          <cell r="I240" t="str">
            <v>ATM</v>
          </cell>
          <cell r="J240" t="str">
            <v>Ende</v>
          </cell>
          <cell r="K240" t="str">
            <v>Bali Nusra</v>
          </cell>
          <cell r="L240" t="str">
            <v xml:space="preserve">MON-SUN </v>
          </cell>
          <cell r="M240" t="str">
            <v>(00:00 - 23:59)</v>
          </cell>
          <cell r="N240">
            <v>0</v>
          </cell>
          <cell r="O240">
            <v>0</v>
          </cell>
          <cell r="P240">
            <v>0</v>
          </cell>
          <cell r="Q240">
            <v>1440</v>
          </cell>
        </row>
        <row r="241">
          <cell r="B241" t="str">
            <v>653M</v>
          </cell>
          <cell r="C241" t="str">
            <v>Muhammad Hidayatullah</v>
          </cell>
          <cell r="D241" t="str">
            <v>Plaza Bangunan</v>
          </cell>
          <cell r="E241" t="str">
            <v>ADVANTAGE CAKRANEGARA</v>
          </cell>
          <cell r="F241">
            <v>1</v>
          </cell>
          <cell r="G241" t="str">
            <v>04-Denpasar</v>
          </cell>
          <cell r="H241" t="str">
            <v>B</v>
          </cell>
          <cell r="I241" t="str">
            <v>ATM</v>
          </cell>
          <cell r="J241" t="str">
            <v>Lombok Timur</v>
          </cell>
          <cell r="K241" t="str">
            <v>Bali Nusra</v>
          </cell>
          <cell r="L241" t="str">
            <v xml:space="preserve">MON-SUN </v>
          </cell>
          <cell r="M241" t="str">
            <v>(00:00 - 23:59)</v>
          </cell>
          <cell r="N241">
            <v>0</v>
          </cell>
          <cell r="O241">
            <v>0</v>
          </cell>
          <cell r="P241">
            <v>0</v>
          </cell>
          <cell r="Q241">
            <v>1440</v>
          </cell>
        </row>
        <row r="242">
          <cell r="B242" t="str">
            <v>656C</v>
          </cell>
          <cell r="C242" t="str">
            <v>I Putu Dendy Pratama</v>
          </cell>
          <cell r="D242" t="str">
            <v>CK Kunti Textile BAL0483</v>
          </cell>
          <cell r="E242" t="str">
            <v>ABACUS BALI</v>
          </cell>
          <cell r="F242">
            <v>1</v>
          </cell>
          <cell r="G242" t="str">
            <v>04-Denpasar</v>
          </cell>
          <cell r="H242" t="str">
            <v>B</v>
          </cell>
          <cell r="I242" t="str">
            <v>ATM</v>
          </cell>
          <cell r="J242" t="str">
            <v>Denpasar</v>
          </cell>
          <cell r="K242" t="str">
            <v>Bali Nusra</v>
          </cell>
          <cell r="L242" t="str">
            <v xml:space="preserve">MON-SUN </v>
          </cell>
          <cell r="M242" t="str">
            <v>(00:00 - 23:59)</v>
          </cell>
          <cell r="N242">
            <v>0</v>
          </cell>
          <cell r="O242">
            <v>0</v>
          </cell>
          <cell r="P242">
            <v>0</v>
          </cell>
          <cell r="Q242">
            <v>1440</v>
          </cell>
        </row>
        <row r="243">
          <cell r="B243" t="str">
            <v>657F</v>
          </cell>
          <cell r="C243" t="str">
            <v>Arif Rahman Hakim</v>
          </cell>
          <cell r="D243" t="str">
            <v>CK Uluwatu Square</v>
          </cell>
          <cell r="E243" t="str">
            <v>ABACUS BALI</v>
          </cell>
          <cell r="F243">
            <v>1</v>
          </cell>
          <cell r="G243" t="str">
            <v>04-Denpasar</v>
          </cell>
          <cell r="H243" t="str">
            <v>B</v>
          </cell>
          <cell r="I243" t="str">
            <v>ATM</v>
          </cell>
          <cell r="J243" t="str">
            <v>Denpasar</v>
          </cell>
          <cell r="K243" t="str">
            <v>Bali Nusra</v>
          </cell>
          <cell r="L243" t="str">
            <v xml:space="preserve">MON-SUN </v>
          </cell>
          <cell r="M243" t="str">
            <v>(00:00 - 23:59)</v>
          </cell>
          <cell r="N243">
            <v>0</v>
          </cell>
          <cell r="O243">
            <v>0</v>
          </cell>
          <cell r="P243">
            <v>0</v>
          </cell>
          <cell r="Q243">
            <v>1440</v>
          </cell>
        </row>
        <row r="244">
          <cell r="B244" t="str">
            <v>660D</v>
          </cell>
          <cell r="C244" t="str">
            <v>Farozan Ali Fahmi</v>
          </cell>
          <cell r="D244" t="str">
            <v>Bali Zoo 1</v>
          </cell>
          <cell r="E244" t="str">
            <v>ABACUS BALI</v>
          </cell>
          <cell r="F244">
            <v>1</v>
          </cell>
          <cell r="G244" t="str">
            <v>04-Denpasar</v>
          </cell>
          <cell r="H244" t="str">
            <v>B</v>
          </cell>
          <cell r="I244" t="str">
            <v>ATM</v>
          </cell>
          <cell r="J244" t="str">
            <v>Denpasar</v>
          </cell>
          <cell r="K244" t="str">
            <v>Bali Nusra</v>
          </cell>
          <cell r="L244" t="str">
            <v xml:space="preserve">MON-SUN </v>
          </cell>
          <cell r="M244" t="str">
            <v>(00:00 - 23:59)</v>
          </cell>
          <cell r="N244">
            <v>0</v>
          </cell>
          <cell r="O244">
            <v>0</v>
          </cell>
          <cell r="P244">
            <v>0</v>
          </cell>
          <cell r="Q244">
            <v>1440</v>
          </cell>
        </row>
        <row r="245">
          <cell r="B245" t="str">
            <v>663N</v>
          </cell>
          <cell r="C245" t="str">
            <v>I Putu Dendy Pratama</v>
          </cell>
          <cell r="D245" t="str">
            <v>CK 304 Nakula Timur</v>
          </cell>
          <cell r="E245" t="str">
            <v>ABACUS BALI</v>
          </cell>
          <cell r="F245">
            <v>1</v>
          </cell>
          <cell r="G245" t="str">
            <v>04-Denpasar</v>
          </cell>
          <cell r="H245" t="str">
            <v>B</v>
          </cell>
          <cell r="I245" t="str">
            <v>ATM</v>
          </cell>
          <cell r="J245" t="str">
            <v>Denpasar</v>
          </cell>
          <cell r="K245" t="str">
            <v>Bali Nusra</v>
          </cell>
          <cell r="L245" t="str">
            <v xml:space="preserve">MON-SUN </v>
          </cell>
          <cell r="M245" t="str">
            <v>(00:00 - 23:59)</v>
          </cell>
          <cell r="N245">
            <v>0</v>
          </cell>
          <cell r="O245">
            <v>0</v>
          </cell>
          <cell r="P245">
            <v>0</v>
          </cell>
          <cell r="Q245">
            <v>1440</v>
          </cell>
        </row>
        <row r="246">
          <cell r="B246" t="str">
            <v>664B</v>
          </cell>
          <cell r="C246" t="str">
            <v>Suhel Risdianto</v>
          </cell>
          <cell r="D246" t="str">
            <v>Minimarket Kembar Artha</v>
          </cell>
          <cell r="E246" t="str">
            <v>ABACUS BALI</v>
          </cell>
          <cell r="F246">
            <v>1</v>
          </cell>
          <cell r="G246" t="str">
            <v>04-Denpasar</v>
          </cell>
          <cell r="H246" t="str">
            <v>B</v>
          </cell>
          <cell r="I246" t="str">
            <v>ATM</v>
          </cell>
          <cell r="J246" t="str">
            <v>Denpasar</v>
          </cell>
          <cell r="K246" t="str">
            <v>Bali Nusra</v>
          </cell>
          <cell r="L246" t="str">
            <v xml:space="preserve">MON-SUN </v>
          </cell>
          <cell r="M246" t="str">
            <v>(00:00 - 23:59)</v>
          </cell>
          <cell r="N246">
            <v>0</v>
          </cell>
          <cell r="O246">
            <v>0</v>
          </cell>
          <cell r="P246">
            <v>0</v>
          </cell>
          <cell r="Q246">
            <v>1440</v>
          </cell>
        </row>
        <row r="247">
          <cell r="B247" t="str">
            <v>6651</v>
          </cell>
          <cell r="C247" t="str">
            <v>Suhel Risdianto</v>
          </cell>
          <cell r="D247" t="str">
            <v>Hotel Taman Suci</v>
          </cell>
          <cell r="E247" t="str">
            <v>ABACUS BALI</v>
          </cell>
          <cell r="F247">
            <v>1</v>
          </cell>
          <cell r="G247" t="str">
            <v>04-Denpasar</v>
          </cell>
          <cell r="H247" t="str">
            <v>B</v>
          </cell>
          <cell r="I247" t="str">
            <v>ATM</v>
          </cell>
          <cell r="J247" t="str">
            <v>Denpasar</v>
          </cell>
          <cell r="K247" t="str">
            <v>Bali Nusra</v>
          </cell>
          <cell r="L247" t="str">
            <v xml:space="preserve">MON-SUN </v>
          </cell>
          <cell r="M247" t="str">
            <v>(00:00 - 23:59)</v>
          </cell>
          <cell r="N247">
            <v>0</v>
          </cell>
          <cell r="O247">
            <v>0</v>
          </cell>
          <cell r="P247">
            <v>0</v>
          </cell>
          <cell r="Q247">
            <v>1440</v>
          </cell>
        </row>
        <row r="248">
          <cell r="B248" t="str">
            <v>665M</v>
          </cell>
          <cell r="C248" t="str">
            <v>I Putu Dendy Pratama</v>
          </cell>
          <cell r="D248" t="str">
            <v>Toko Ayu Pulau Galang 1</v>
          </cell>
          <cell r="E248" t="str">
            <v>ABACUS BALI</v>
          </cell>
          <cell r="F248">
            <v>1</v>
          </cell>
          <cell r="G248" t="str">
            <v>04-Denpasar</v>
          </cell>
          <cell r="H248" t="str">
            <v>B</v>
          </cell>
          <cell r="I248" t="str">
            <v>ATM</v>
          </cell>
          <cell r="J248" t="str">
            <v>Denpasar</v>
          </cell>
          <cell r="K248" t="str">
            <v>Bali Nusra</v>
          </cell>
          <cell r="L248" t="str">
            <v xml:space="preserve">MON-SUN </v>
          </cell>
          <cell r="M248" t="str">
            <v>(00:00 - 23:59)</v>
          </cell>
          <cell r="N248">
            <v>0</v>
          </cell>
          <cell r="O248">
            <v>0</v>
          </cell>
          <cell r="P248">
            <v>0</v>
          </cell>
          <cell r="Q248">
            <v>1440</v>
          </cell>
        </row>
        <row r="249">
          <cell r="B249" t="str">
            <v>6736</v>
          </cell>
          <cell r="C249" t="str">
            <v>I Putu Dendy Pratama</v>
          </cell>
          <cell r="D249" t="str">
            <v>Hard Rock Hotel Denpasar</v>
          </cell>
          <cell r="E249" t="str">
            <v>ABACUS BALI</v>
          </cell>
          <cell r="F249">
            <v>1</v>
          </cell>
          <cell r="G249" t="str">
            <v>04-Denpasar</v>
          </cell>
          <cell r="H249" t="str">
            <v>B</v>
          </cell>
          <cell r="I249" t="str">
            <v>ATM</v>
          </cell>
          <cell r="J249" t="str">
            <v>Denpasar</v>
          </cell>
          <cell r="K249" t="str">
            <v>Bali Nusra</v>
          </cell>
          <cell r="L249" t="str">
            <v xml:space="preserve">MON-SUN </v>
          </cell>
          <cell r="M249" t="str">
            <v>(00:00 - 23:59)</v>
          </cell>
          <cell r="N249">
            <v>0</v>
          </cell>
          <cell r="O249">
            <v>0</v>
          </cell>
          <cell r="P249">
            <v>0</v>
          </cell>
          <cell r="Q249">
            <v>1440</v>
          </cell>
        </row>
        <row r="250">
          <cell r="B250" t="str">
            <v>6738</v>
          </cell>
          <cell r="C250" t="str">
            <v>Bambang Yuniarko</v>
          </cell>
          <cell r="D250" t="str">
            <v>RSUP Sanglah</v>
          </cell>
          <cell r="E250" t="str">
            <v>ANDALAN BALI</v>
          </cell>
          <cell r="F250">
            <v>1</v>
          </cell>
          <cell r="G250" t="str">
            <v>04-Denpasar</v>
          </cell>
          <cell r="H250" t="str">
            <v>B</v>
          </cell>
          <cell r="I250" t="str">
            <v>ATM</v>
          </cell>
          <cell r="J250" t="str">
            <v>Denpasar</v>
          </cell>
          <cell r="K250" t="str">
            <v>Bali Nusra</v>
          </cell>
          <cell r="L250" t="str">
            <v xml:space="preserve">MON-SUN </v>
          </cell>
          <cell r="M250" t="str">
            <v>(00:00 - 23:59)</v>
          </cell>
          <cell r="N250">
            <v>0</v>
          </cell>
          <cell r="O250">
            <v>0</v>
          </cell>
          <cell r="P250">
            <v>0</v>
          </cell>
          <cell r="Q250">
            <v>1440</v>
          </cell>
        </row>
        <row r="251">
          <cell r="B251" t="str">
            <v>676Q</v>
          </cell>
          <cell r="C251" t="str">
            <v>Lalu Riswan Hadi</v>
          </cell>
          <cell r="D251" t="str">
            <v>Golden Palace Hotel</v>
          </cell>
          <cell r="E251" t="str">
            <v>ADVANTAGE CAKRANEGARA</v>
          </cell>
          <cell r="F251">
            <v>1</v>
          </cell>
          <cell r="G251" t="str">
            <v>04-Denpasar</v>
          </cell>
          <cell r="H251" t="str">
            <v>B</v>
          </cell>
          <cell r="I251" t="str">
            <v>ATM</v>
          </cell>
          <cell r="J251" t="str">
            <v>Mataram</v>
          </cell>
          <cell r="K251" t="str">
            <v>Bali Nusra</v>
          </cell>
          <cell r="L251" t="str">
            <v xml:space="preserve">MON-SUN </v>
          </cell>
          <cell r="M251" t="str">
            <v>(00:00 - 23:59)</v>
          </cell>
          <cell r="N251">
            <v>0</v>
          </cell>
          <cell r="O251">
            <v>0</v>
          </cell>
          <cell r="P251">
            <v>0</v>
          </cell>
          <cell r="Q251">
            <v>1440</v>
          </cell>
        </row>
        <row r="252">
          <cell r="B252" t="str">
            <v>681W</v>
          </cell>
          <cell r="C252" t="str">
            <v>Farozan Ali Fahmi</v>
          </cell>
          <cell r="D252" t="str">
            <v>IDM Intan Mart</v>
          </cell>
          <cell r="E252" t="str">
            <v>ABACUS BALI</v>
          </cell>
          <cell r="F252">
            <v>1</v>
          </cell>
          <cell r="G252" t="str">
            <v>04-Denpasar</v>
          </cell>
          <cell r="H252" t="str">
            <v>B</v>
          </cell>
          <cell r="I252" t="str">
            <v>ATM</v>
          </cell>
          <cell r="J252" t="str">
            <v>Denpasar</v>
          </cell>
          <cell r="K252" t="str">
            <v>Bali Nusra</v>
          </cell>
          <cell r="L252" t="str">
            <v xml:space="preserve">MON-SUN </v>
          </cell>
          <cell r="M252" t="str">
            <v>(07:00 - 22:00)</v>
          </cell>
          <cell r="N252">
            <v>2</v>
          </cell>
          <cell r="O252">
            <v>145</v>
          </cell>
          <cell r="P252">
            <v>16.11</v>
          </cell>
          <cell r="Q252">
            <v>900</v>
          </cell>
        </row>
        <row r="253">
          <cell r="B253" t="str">
            <v>681Z</v>
          </cell>
          <cell r="C253" t="str">
            <v>Arif Rahman Hakim</v>
          </cell>
          <cell r="D253" t="str">
            <v>The RitzCarlton Hotel</v>
          </cell>
          <cell r="E253" t="str">
            <v>ABACUS BALI</v>
          </cell>
          <cell r="F253">
            <v>1</v>
          </cell>
          <cell r="G253" t="str">
            <v>04-Denpasar</v>
          </cell>
          <cell r="H253" t="str">
            <v>B</v>
          </cell>
          <cell r="I253" t="str">
            <v>ATM</v>
          </cell>
          <cell r="J253" t="str">
            <v>Denpasar</v>
          </cell>
          <cell r="K253" t="str">
            <v>Bali Nusra</v>
          </cell>
          <cell r="L253" t="str">
            <v xml:space="preserve">MON-SUN </v>
          </cell>
          <cell r="M253" t="str">
            <v>(00:00 - 23:59)</v>
          </cell>
          <cell r="N253">
            <v>0</v>
          </cell>
          <cell r="O253">
            <v>0</v>
          </cell>
          <cell r="P253">
            <v>0</v>
          </cell>
          <cell r="Q253">
            <v>1440</v>
          </cell>
        </row>
        <row r="254">
          <cell r="B254" t="str">
            <v>683F</v>
          </cell>
          <cell r="C254" t="str">
            <v>Yunarius Raynold Gege</v>
          </cell>
          <cell r="D254" t="str">
            <v>Alfa Kolhua</v>
          </cell>
          <cell r="E254" t="str">
            <v>ADVANTAGE KUPANG</v>
          </cell>
          <cell r="F254">
            <v>1</v>
          </cell>
          <cell r="G254" t="str">
            <v>04-Denpasar</v>
          </cell>
          <cell r="H254" t="str">
            <v>B</v>
          </cell>
          <cell r="I254" t="str">
            <v>ATM</v>
          </cell>
          <cell r="J254" t="str">
            <v>Kupang</v>
          </cell>
          <cell r="K254" t="str">
            <v>Bali Nusra</v>
          </cell>
          <cell r="L254" t="str">
            <v xml:space="preserve">MON-SUN </v>
          </cell>
          <cell r="M254" t="str">
            <v>(00:00 - 23:59)</v>
          </cell>
          <cell r="N254">
            <v>0</v>
          </cell>
          <cell r="O254">
            <v>0</v>
          </cell>
          <cell r="P254">
            <v>0</v>
          </cell>
          <cell r="Q254">
            <v>1440</v>
          </cell>
        </row>
        <row r="255">
          <cell r="B255" t="str">
            <v>683X</v>
          </cell>
          <cell r="C255" t="str">
            <v>Bambang Yuniarko</v>
          </cell>
          <cell r="D255" t="str">
            <v>Koperasi 163 Mart</v>
          </cell>
          <cell r="E255" t="str">
            <v>ANDALAN BALI</v>
          </cell>
          <cell r="F255">
            <v>1</v>
          </cell>
          <cell r="G255" t="str">
            <v>04-Denpasar</v>
          </cell>
          <cell r="H255" t="str">
            <v>B</v>
          </cell>
          <cell r="I255" t="str">
            <v>ATM</v>
          </cell>
          <cell r="J255" t="str">
            <v>Denpasar</v>
          </cell>
          <cell r="K255" t="str">
            <v>Bali Nusra</v>
          </cell>
          <cell r="L255" t="str">
            <v xml:space="preserve">MON-SUN </v>
          </cell>
          <cell r="M255" t="str">
            <v>(08:00 - 21:00)</v>
          </cell>
          <cell r="N255">
            <v>0</v>
          </cell>
          <cell r="O255">
            <v>0</v>
          </cell>
          <cell r="P255">
            <v>0</v>
          </cell>
          <cell r="Q255">
            <v>780</v>
          </cell>
        </row>
        <row r="256">
          <cell r="B256" t="str">
            <v>685B</v>
          </cell>
          <cell r="C256" t="str">
            <v>Revaldi Resha Wardhana</v>
          </cell>
          <cell r="D256" t="str">
            <v>IDM Raya Sangeh</v>
          </cell>
          <cell r="E256" t="str">
            <v>ABACUS BALI</v>
          </cell>
          <cell r="F256">
            <v>1</v>
          </cell>
          <cell r="G256" t="str">
            <v>04-Denpasar</v>
          </cell>
          <cell r="H256" t="str">
            <v>B</v>
          </cell>
          <cell r="I256" t="str">
            <v>ATM</v>
          </cell>
          <cell r="J256" t="str">
            <v>Denpasar</v>
          </cell>
          <cell r="K256" t="str">
            <v>Bali Nusra</v>
          </cell>
          <cell r="L256" t="str">
            <v xml:space="preserve">MON-SUN </v>
          </cell>
          <cell r="M256" t="str">
            <v>(07:00 - 22:00)</v>
          </cell>
          <cell r="N256">
            <v>1</v>
          </cell>
          <cell r="O256">
            <v>63</v>
          </cell>
          <cell r="P256">
            <v>7</v>
          </cell>
          <cell r="Q256">
            <v>900</v>
          </cell>
        </row>
        <row r="257">
          <cell r="B257" t="str">
            <v>685E</v>
          </cell>
          <cell r="C257" t="str">
            <v>Arif Rahman Hakim</v>
          </cell>
          <cell r="D257" t="str">
            <v>Pepito Primaloka Kutuh</v>
          </cell>
          <cell r="E257" t="str">
            <v>ABACUS BALI</v>
          </cell>
          <cell r="F257">
            <v>1</v>
          </cell>
          <cell r="G257" t="str">
            <v>04-Denpasar</v>
          </cell>
          <cell r="H257" t="str">
            <v>B</v>
          </cell>
          <cell r="I257" t="str">
            <v>ATM</v>
          </cell>
          <cell r="J257" t="str">
            <v>Denpasar</v>
          </cell>
          <cell r="K257" t="str">
            <v>Bali Nusra</v>
          </cell>
          <cell r="L257" t="str">
            <v xml:space="preserve">MON-SUN </v>
          </cell>
          <cell r="M257" t="str">
            <v>(00:00 - 23:59)</v>
          </cell>
          <cell r="N257">
            <v>0</v>
          </cell>
          <cell r="O257">
            <v>0</v>
          </cell>
          <cell r="P257">
            <v>0</v>
          </cell>
          <cell r="Q257">
            <v>1440</v>
          </cell>
        </row>
        <row r="258">
          <cell r="B258" t="str">
            <v>686H</v>
          </cell>
          <cell r="C258" t="str">
            <v>Rio Erdiansyah</v>
          </cell>
          <cell r="D258" t="str">
            <v>IDM Kembang Mertha</v>
          </cell>
          <cell r="E258" t="str">
            <v>ABACUS BALI</v>
          </cell>
          <cell r="F258">
            <v>2</v>
          </cell>
          <cell r="G258" t="str">
            <v>04-Denpasar</v>
          </cell>
          <cell r="H258" t="str">
            <v>B</v>
          </cell>
          <cell r="I258" t="str">
            <v>ATM</v>
          </cell>
          <cell r="J258" t="str">
            <v>Singaraja</v>
          </cell>
          <cell r="K258" t="str">
            <v>Bali Nusra</v>
          </cell>
          <cell r="L258" t="str">
            <v xml:space="preserve">MON-SUN </v>
          </cell>
          <cell r="M258" t="str">
            <v>(06:00 - 22:00)</v>
          </cell>
          <cell r="N258">
            <v>0</v>
          </cell>
          <cell r="O258">
            <v>0</v>
          </cell>
          <cell r="P258">
            <v>0</v>
          </cell>
          <cell r="Q258">
            <v>960</v>
          </cell>
        </row>
        <row r="259">
          <cell r="B259" t="str">
            <v>686M</v>
          </cell>
          <cell r="C259" t="str">
            <v>Eko Adi Sugiyantoro</v>
          </cell>
          <cell r="D259" t="str">
            <v>CK Tridaya Canggu</v>
          </cell>
          <cell r="E259" t="str">
            <v>ABACUS BALI</v>
          </cell>
          <cell r="F259">
            <v>1</v>
          </cell>
          <cell r="G259" t="str">
            <v>04-Denpasar</v>
          </cell>
          <cell r="H259" t="str">
            <v>B</v>
          </cell>
          <cell r="I259" t="str">
            <v>ATM</v>
          </cell>
          <cell r="J259" t="str">
            <v>Denpasar</v>
          </cell>
          <cell r="K259" t="str">
            <v>Bali Nusra</v>
          </cell>
          <cell r="L259" t="str">
            <v xml:space="preserve">MON-SUN </v>
          </cell>
          <cell r="M259" t="str">
            <v>(00:00 - 23:59)</v>
          </cell>
          <cell r="N259">
            <v>0</v>
          </cell>
          <cell r="O259">
            <v>0</v>
          </cell>
          <cell r="P259">
            <v>0</v>
          </cell>
          <cell r="Q259">
            <v>1440</v>
          </cell>
        </row>
        <row r="260">
          <cell r="B260" t="str">
            <v>686R</v>
          </cell>
          <cell r="C260" t="str">
            <v>Suhel Risdianto</v>
          </cell>
          <cell r="D260" t="str">
            <v>Alfa Wida Bali</v>
          </cell>
          <cell r="E260" t="str">
            <v>ABACUS BALI</v>
          </cell>
          <cell r="F260">
            <v>1</v>
          </cell>
          <cell r="G260" t="str">
            <v>04-Denpasar</v>
          </cell>
          <cell r="H260" t="str">
            <v>B</v>
          </cell>
          <cell r="I260" t="str">
            <v>ATM</v>
          </cell>
          <cell r="J260" t="str">
            <v>Denpasar</v>
          </cell>
          <cell r="K260" t="str">
            <v>Bali Nusra</v>
          </cell>
          <cell r="L260" t="str">
            <v xml:space="preserve">MON-SUN </v>
          </cell>
          <cell r="M260" t="str">
            <v>(07:00 - 22:00)</v>
          </cell>
          <cell r="N260">
            <v>0</v>
          </cell>
          <cell r="O260">
            <v>0</v>
          </cell>
          <cell r="P260">
            <v>0</v>
          </cell>
          <cell r="Q260">
            <v>900</v>
          </cell>
        </row>
        <row r="261">
          <cell r="B261" t="str">
            <v>686V</v>
          </cell>
          <cell r="C261" t="str">
            <v>Muhammad Ngainun Najib</v>
          </cell>
          <cell r="D261" t="str">
            <v>RS Murni Teguh</v>
          </cell>
          <cell r="E261" t="str">
            <v>ABACUS BALI</v>
          </cell>
          <cell r="F261">
            <v>1</v>
          </cell>
          <cell r="G261" t="str">
            <v>04-Denpasar</v>
          </cell>
          <cell r="H261" t="str">
            <v>B</v>
          </cell>
          <cell r="I261" t="str">
            <v>ATM</v>
          </cell>
          <cell r="J261" t="str">
            <v>Denpasar</v>
          </cell>
          <cell r="K261" t="str">
            <v>Bali Nusra</v>
          </cell>
          <cell r="L261" t="str">
            <v xml:space="preserve">MON-SUN </v>
          </cell>
          <cell r="M261" t="str">
            <v>(00:00 - 23:59)</v>
          </cell>
          <cell r="N261">
            <v>0</v>
          </cell>
          <cell r="O261">
            <v>0</v>
          </cell>
          <cell r="P261">
            <v>0</v>
          </cell>
          <cell r="Q261">
            <v>1440</v>
          </cell>
        </row>
        <row r="262">
          <cell r="B262" t="str">
            <v>6873</v>
          </cell>
          <cell r="C262" t="str">
            <v>Bambang Yuniarko</v>
          </cell>
          <cell r="D262" t="str">
            <v>SPBU CO 5180130 Dps</v>
          </cell>
          <cell r="E262" t="str">
            <v>ANDALAN BALI</v>
          </cell>
          <cell r="F262">
            <v>1</v>
          </cell>
          <cell r="G262" t="str">
            <v>04-Denpasar</v>
          </cell>
          <cell r="H262" t="str">
            <v>B</v>
          </cell>
          <cell r="I262" t="str">
            <v>ATM</v>
          </cell>
          <cell r="J262" t="str">
            <v>Denpasar</v>
          </cell>
          <cell r="K262" t="str">
            <v>Bali Nusra</v>
          </cell>
          <cell r="L262" t="str">
            <v xml:space="preserve">MON-SUN </v>
          </cell>
          <cell r="M262" t="str">
            <v>(00:00 - 23:59)</v>
          </cell>
          <cell r="N262">
            <v>0</v>
          </cell>
          <cell r="O262">
            <v>0</v>
          </cell>
          <cell r="P262">
            <v>0</v>
          </cell>
          <cell r="Q262">
            <v>1440</v>
          </cell>
        </row>
        <row r="263">
          <cell r="B263" t="str">
            <v>6878</v>
          </cell>
          <cell r="C263" t="str">
            <v>Leonardo A Ruly</v>
          </cell>
          <cell r="D263" t="str">
            <v>Royal</v>
          </cell>
          <cell r="E263" t="str">
            <v>ADVANTAGE KUPANG</v>
          </cell>
          <cell r="F263">
            <v>1</v>
          </cell>
          <cell r="G263" t="str">
            <v>04-Denpasar</v>
          </cell>
          <cell r="H263" t="str">
            <v>B</v>
          </cell>
          <cell r="I263" t="str">
            <v>ATM</v>
          </cell>
          <cell r="J263" t="str">
            <v>Kupang</v>
          </cell>
          <cell r="K263" t="str">
            <v>Bali Nusra</v>
          </cell>
          <cell r="L263" t="str">
            <v xml:space="preserve">MON-SUN </v>
          </cell>
          <cell r="M263" t="str">
            <v>(00:00 - 23:59)</v>
          </cell>
          <cell r="N263">
            <v>0</v>
          </cell>
          <cell r="O263">
            <v>0</v>
          </cell>
          <cell r="P263">
            <v>0</v>
          </cell>
          <cell r="Q263">
            <v>1440</v>
          </cell>
        </row>
        <row r="264">
          <cell r="B264" t="str">
            <v>687L</v>
          </cell>
          <cell r="C264" t="str">
            <v>Farozan Ali Fahmi</v>
          </cell>
          <cell r="D264" t="str">
            <v>Teten Mart Desa Adat</v>
          </cell>
          <cell r="E264" t="str">
            <v>ABACUS BALI</v>
          </cell>
          <cell r="F264">
            <v>1</v>
          </cell>
          <cell r="G264" t="str">
            <v>04-Denpasar</v>
          </cell>
          <cell r="H264" t="str">
            <v>B</v>
          </cell>
          <cell r="I264" t="str">
            <v>ATM</v>
          </cell>
          <cell r="J264" t="str">
            <v>Denpasar</v>
          </cell>
          <cell r="K264" t="str">
            <v>Bali Nusra</v>
          </cell>
          <cell r="L264" t="str">
            <v xml:space="preserve">MON-SUN </v>
          </cell>
          <cell r="M264" t="str">
            <v>(00:00 - 23:59)</v>
          </cell>
          <cell r="N264">
            <v>2</v>
          </cell>
          <cell r="O264">
            <v>168</v>
          </cell>
          <cell r="P264">
            <v>11.67</v>
          </cell>
          <cell r="Q264">
            <v>1440</v>
          </cell>
        </row>
        <row r="265">
          <cell r="B265" t="str">
            <v>687Z</v>
          </cell>
          <cell r="C265" t="str">
            <v>Farozan Ali Fahmi</v>
          </cell>
          <cell r="D265" t="str">
            <v>Toko Bali Dewata Penatih</v>
          </cell>
          <cell r="E265" t="str">
            <v>ABACUS BALI</v>
          </cell>
          <cell r="F265">
            <v>1</v>
          </cell>
          <cell r="G265" t="str">
            <v>04-Denpasar</v>
          </cell>
          <cell r="H265" t="str">
            <v>B</v>
          </cell>
          <cell r="I265" t="str">
            <v>ATM</v>
          </cell>
          <cell r="J265" t="str">
            <v>Denpasar</v>
          </cell>
          <cell r="K265" t="str">
            <v>Bali Nusra</v>
          </cell>
          <cell r="L265" t="str">
            <v xml:space="preserve">MON-SUN </v>
          </cell>
          <cell r="M265" t="str">
            <v>(07:00 - 22:00)</v>
          </cell>
          <cell r="N265">
            <v>1</v>
          </cell>
          <cell r="O265">
            <v>17</v>
          </cell>
          <cell r="P265">
            <v>1.89</v>
          </cell>
          <cell r="Q265">
            <v>900</v>
          </cell>
        </row>
        <row r="266">
          <cell r="B266" t="str">
            <v>688A</v>
          </cell>
          <cell r="C266" t="str">
            <v>Eko Adi Sugiyantoro</v>
          </cell>
          <cell r="D266" t="str">
            <v>CK Toko Frozen Dalung</v>
          </cell>
          <cell r="E266" t="str">
            <v>ABACUS BALI</v>
          </cell>
          <cell r="F266">
            <v>1</v>
          </cell>
          <cell r="G266" t="str">
            <v>04-Denpasar</v>
          </cell>
          <cell r="H266" t="str">
            <v>B</v>
          </cell>
          <cell r="I266" t="str">
            <v>ATM</v>
          </cell>
          <cell r="J266" t="str">
            <v>Denpasar</v>
          </cell>
          <cell r="K266" t="str">
            <v>Bali Nusra</v>
          </cell>
          <cell r="L266" t="str">
            <v xml:space="preserve">MON-SUN </v>
          </cell>
          <cell r="M266" t="str">
            <v>(00:00 - 23:59)</v>
          </cell>
          <cell r="N266">
            <v>0</v>
          </cell>
          <cell r="O266">
            <v>0</v>
          </cell>
          <cell r="P266">
            <v>0</v>
          </cell>
          <cell r="Q266">
            <v>1440</v>
          </cell>
        </row>
        <row r="267">
          <cell r="B267" t="str">
            <v>688B</v>
          </cell>
          <cell r="C267" t="str">
            <v>Suhel Risdianto</v>
          </cell>
          <cell r="D267" t="str">
            <v>IDM Andong II Gianyar</v>
          </cell>
          <cell r="E267" t="str">
            <v>ABACUS BALI</v>
          </cell>
          <cell r="F267">
            <v>1</v>
          </cell>
          <cell r="G267" t="str">
            <v>04-Denpasar</v>
          </cell>
          <cell r="H267" t="str">
            <v>B</v>
          </cell>
          <cell r="I267" t="str">
            <v>ATM</v>
          </cell>
          <cell r="J267" t="str">
            <v>Denpasar</v>
          </cell>
          <cell r="K267" t="str">
            <v>Bali Nusra</v>
          </cell>
          <cell r="L267" t="str">
            <v xml:space="preserve">MON-SUN </v>
          </cell>
          <cell r="M267" t="str">
            <v>(07:00 - 22:00)</v>
          </cell>
          <cell r="N267">
            <v>1</v>
          </cell>
          <cell r="O267">
            <v>199</v>
          </cell>
          <cell r="P267">
            <v>22.11</v>
          </cell>
          <cell r="Q267">
            <v>900</v>
          </cell>
        </row>
        <row r="268">
          <cell r="B268" t="str">
            <v>688D</v>
          </cell>
          <cell r="C268" t="str">
            <v>Bambang Yuniarko</v>
          </cell>
          <cell r="D268" t="str">
            <v>CK Dapur Express Renon</v>
          </cell>
          <cell r="E268" t="str">
            <v>ANDALAN BALI</v>
          </cell>
          <cell r="F268">
            <v>1</v>
          </cell>
          <cell r="G268" t="str">
            <v>04-Denpasar</v>
          </cell>
          <cell r="H268" t="str">
            <v>B</v>
          </cell>
          <cell r="I268" t="str">
            <v>ATM</v>
          </cell>
          <cell r="J268" t="str">
            <v>Denpasar</v>
          </cell>
          <cell r="K268" t="str">
            <v>Bali Nusra</v>
          </cell>
          <cell r="L268" t="str">
            <v xml:space="preserve">MON-SUN </v>
          </cell>
          <cell r="M268" t="str">
            <v>(06:00 - 23:00)</v>
          </cell>
          <cell r="N268">
            <v>0</v>
          </cell>
          <cell r="O268">
            <v>0</v>
          </cell>
          <cell r="P268">
            <v>0</v>
          </cell>
          <cell r="Q268">
            <v>1020</v>
          </cell>
        </row>
        <row r="269">
          <cell r="B269" t="str">
            <v>688J</v>
          </cell>
          <cell r="C269" t="str">
            <v>Alparizi</v>
          </cell>
          <cell r="D269" t="str">
            <v>Alfa Adisucipto Mataram</v>
          </cell>
          <cell r="E269" t="str">
            <v>ADVANTAGE CAKRANEGARA</v>
          </cell>
          <cell r="F269">
            <v>1</v>
          </cell>
          <cell r="G269" t="str">
            <v>04-Denpasar</v>
          </cell>
          <cell r="H269" t="str">
            <v>B</v>
          </cell>
          <cell r="I269" t="str">
            <v>ATM</v>
          </cell>
          <cell r="J269" t="str">
            <v>Mataram</v>
          </cell>
          <cell r="K269" t="str">
            <v>Bali Nusra</v>
          </cell>
          <cell r="L269" t="str">
            <v xml:space="preserve">MON-SUN </v>
          </cell>
          <cell r="M269" t="str">
            <v>(07:00 - 23:00)</v>
          </cell>
          <cell r="N269">
            <v>0</v>
          </cell>
          <cell r="O269">
            <v>0</v>
          </cell>
          <cell r="P269">
            <v>0</v>
          </cell>
          <cell r="Q269">
            <v>960</v>
          </cell>
        </row>
        <row r="270">
          <cell r="B270" t="str">
            <v>688K</v>
          </cell>
          <cell r="C270" t="str">
            <v>Suhel Risdianto</v>
          </cell>
          <cell r="D270" t="str">
            <v>IDM Imam Bonjol</v>
          </cell>
          <cell r="E270" t="str">
            <v>ABACUS BALI</v>
          </cell>
          <cell r="F270">
            <v>1</v>
          </cell>
          <cell r="G270" t="str">
            <v>04-Denpasar</v>
          </cell>
          <cell r="H270" t="str">
            <v>B</v>
          </cell>
          <cell r="I270" t="str">
            <v>ATM</v>
          </cell>
          <cell r="J270" t="str">
            <v>Denpasar</v>
          </cell>
          <cell r="K270" t="str">
            <v>Bali Nusra</v>
          </cell>
          <cell r="L270" t="str">
            <v xml:space="preserve">MON-SUN </v>
          </cell>
          <cell r="M270" t="str">
            <v>(07:00 - 22:00)</v>
          </cell>
          <cell r="N270">
            <v>0</v>
          </cell>
          <cell r="O270">
            <v>0</v>
          </cell>
          <cell r="P270">
            <v>0</v>
          </cell>
          <cell r="Q270">
            <v>900</v>
          </cell>
        </row>
        <row r="271">
          <cell r="B271" t="str">
            <v>689D</v>
          </cell>
          <cell r="C271" t="str">
            <v>Bambang Yuniarko</v>
          </cell>
          <cell r="D271" t="str">
            <v>IDM Palapa</v>
          </cell>
          <cell r="E271" t="str">
            <v>ABACUS BALI</v>
          </cell>
          <cell r="F271">
            <v>1</v>
          </cell>
          <cell r="G271" t="str">
            <v>04-Denpasar</v>
          </cell>
          <cell r="H271" t="str">
            <v>B</v>
          </cell>
          <cell r="I271" t="str">
            <v>ATM</v>
          </cell>
          <cell r="J271" t="str">
            <v>Denpasar</v>
          </cell>
          <cell r="K271" t="str">
            <v>Bali Nusra</v>
          </cell>
          <cell r="L271" t="str">
            <v xml:space="preserve">MON-SUN </v>
          </cell>
          <cell r="M271" t="str">
            <v>(00:00 - 23:59)</v>
          </cell>
          <cell r="N271">
            <v>0</v>
          </cell>
          <cell r="O271">
            <v>0</v>
          </cell>
          <cell r="P271">
            <v>0</v>
          </cell>
          <cell r="Q271">
            <v>1440</v>
          </cell>
        </row>
        <row r="272">
          <cell r="B272" t="str">
            <v>689H</v>
          </cell>
          <cell r="C272" t="str">
            <v>Eko Adi Sugiyantoro</v>
          </cell>
          <cell r="D272" t="str">
            <v>Luigis Hot Pizza Bali</v>
          </cell>
          <cell r="E272" t="str">
            <v>ABACUS BALI</v>
          </cell>
          <cell r="F272">
            <v>1</v>
          </cell>
          <cell r="G272" t="str">
            <v>04-Denpasar</v>
          </cell>
          <cell r="H272" t="str">
            <v>B</v>
          </cell>
          <cell r="I272" t="str">
            <v>ATM</v>
          </cell>
          <cell r="J272" t="str">
            <v>Denpasar</v>
          </cell>
          <cell r="K272" t="str">
            <v>Bali Nusra</v>
          </cell>
          <cell r="L272" t="str">
            <v xml:space="preserve">MON-SUN </v>
          </cell>
          <cell r="M272" t="str">
            <v>(00:00 - 23:59)</v>
          </cell>
          <cell r="N272">
            <v>0</v>
          </cell>
          <cell r="O272">
            <v>0</v>
          </cell>
          <cell r="P272">
            <v>0</v>
          </cell>
          <cell r="Q272">
            <v>1440</v>
          </cell>
        </row>
        <row r="273">
          <cell r="B273" t="str">
            <v>689M</v>
          </cell>
          <cell r="C273" t="str">
            <v>Farozan Ali Fahmi</v>
          </cell>
          <cell r="D273" t="str">
            <v>Grand Lucky Sanur Bali</v>
          </cell>
          <cell r="E273" t="str">
            <v>ANDALAN BALI</v>
          </cell>
          <cell r="F273">
            <v>1</v>
          </cell>
          <cell r="G273" t="str">
            <v>04-Denpasar</v>
          </cell>
          <cell r="H273" t="str">
            <v>B</v>
          </cell>
          <cell r="I273" t="str">
            <v>ATM</v>
          </cell>
          <cell r="J273" t="str">
            <v>Denpasar</v>
          </cell>
          <cell r="K273" t="str">
            <v>Bali Nusra</v>
          </cell>
          <cell r="L273" t="str">
            <v xml:space="preserve">MON-SUN </v>
          </cell>
          <cell r="M273" t="str">
            <v>(07:00 - 22:00)</v>
          </cell>
          <cell r="N273">
            <v>1</v>
          </cell>
          <cell r="O273">
            <v>24</v>
          </cell>
          <cell r="P273">
            <v>2.67</v>
          </cell>
          <cell r="Q273">
            <v>900</v>
          </cell>
        </row>
        <row r="274">
          <cell r="B274" t="str">
            <v>691X</v>
          </cell>
          <cell r="C274" t="str">
            <v>Farozan Ali Fahmi</v>
          </cell>
          <cell r="D274" t="str">
            <v>Arys Mikro Batuyang</v>
          </cell>
          <cell r="E274" t="str">
            <v>ABACUS BALI</v>
          </cell>
          <cell r="F274">
            <v>1</v>
          </cell>
          <cell r="G274" t="str">
            <v>04-Denpasar</v>
          </cell>
          <cell r="H274" t="str">
            <v>B</v>
          </cell>
          <cell r="I274" t="str">
            <v>ATM</v>
          </cell>
          <cell r="J274" t="str">
            <v>Denpasar</v>
          </cell>
          <cell r="K274" t="str">
            <v>Bali Nusra</v>
          </cell>
          <cell r="L274" t="str">
            <v xml:space="preserve">MON-SUN </v>
          </cell>
          <cell r="M274" t="str">
            <v>(00:00 - 23:59)</v>
          </cell>
          <cell r="N274">
            <v>0</v>
          </cell>
          <cell r="O274">
            <v>0</v>
          </cell>
          <cell r="P274">
            <v>0</v>
          </cell>
          <cell r="Q274">
            <v>1440</v>
          </cell>
        </row>
        <row r="275">
          <cell r="B275" t="str">
            <v>692A</v>
          </cell>
          <cell r="C275" t="str">
            <v>Alparizi</v>
          </cell>
          <cell r="D275" t="str">
            <v>Alfa Raya Kopang</v>
          </cell>
          <cell r="E275" t="str">
            <v>ADVANTAGE CAKRANEGARA</v>
          </cell>
          <cell r="F275">
            <v>2</v>
          </cell>
          <cell r="G275" t="str">
            <v>04-Denpasar</v>
          </cell>
          <cell r="H275" t="str">
            <v>B</v>
          </cell>
          <cell r="I275" t="str">
            <v>ATM</v>
          </cell>
          <cell r="J275" t="str">
            <v>Mataram</v>
          </cell>
          <cell r="K275" t="str">
            <v>Bali Nusra</v>
          </cell>
          <cell r="L275" t="str">
            <v xml:space="preserve">MON-SUN </v>
          </cell>
          <cell r="M275" t="str">
            <v>(00:00 - 23:59)</v>
          </cell>
          <cell r="N275">
            <v>0</v>
          </cell>
          <cell r="O275">
            <v>0</v>
          </cell>
          <cell r="P275">
            <v>0</v>
          </cell>
          <cell r="Q275">
            <v>1440</v>
          </cell>
        </row>
        <row r="276">
          <cell r="B276" t="str">
            <v>692Q</v>
          </cell>
          <cell r="C276" t="str">
            <v>Farozan Ali Fahmi</v>
          </cell>
          <cell r="D276" t="str">
            <v>Arys Mikro Singapadu</v>
          </cell>
          <cell r="E276" t="str">
            <v>ABACUS BALI</v>
          </cell>
          <cell r="F276">
            <v>1</v>
          </cell>
          <cell r="G276" t="str">
            <v>04-Denpasar</v>
          </cell>
          <cell r="H276" t="str">
            <v>B</v>
          </cell>
          <cell r="I276" t="str">
            <v>ATM</v>
          </cell>
          <cell r="J276" t="str">
            <v>Denpasar</v>
          </cell>
          <cell r="K276" t="str">
            <v>Bali Nusra</v>
          </cell>
          <cell r="L276" t="str">
            <v xml:space="preserve">MON-SUN </v>
          </cell>
          <cell r="M276" t="str">
            <v>(00:00 - 23:59)</v>
          </cell>
          <cell r="N276">
            <v>0</v>
          </cell>
          <cell r="O276">
            <v>0</v>
          </cell>
          <cell r="P276">
            <v>0</v>
          </cell>
          <cell r="Q276">
            <v>1440</v>
          </cell>
        </row>
        <row r="277">
          <cell r="B277" t="str">
            <v>694F</v>
          </cell>
          <cell r="C277" t="str">
            <v>Arif Rahman Hakim</v>
          </cell>
          <cell r="D277" t="str">
            <v>Bvlgari Resort Bali</v>
          </cell>
          <cell r="E277" t="str">
            <v>ABACUS BALI</v>
          </cell>
          <cell r="F277">
            <v>1</v>
          </cell>
          <cell r="G277" t="str">
            <v>04-Denpasar</v>
          </cell>
          <cell r="H277" t="str">
            <v>B</v>
          </cell>
          <cell r="I277" t="str">
            <v>ATM</v>
          </cell>
          <cell r="J277" t="str">
            <v>Denpasar</v>
          </cell>
          <cell r="K277" t="str">
            <v>Bali Nusra</v>
          </cell>
          <cell r="L277" t="str">
            <v xml:space="preserve">MON-SUN </v>
          </cell>
          <cell r="M277" t="str">
            <v>(00:00 - 23:59)</v>
          </cell>
          <cell r="N277">
            <v>0</v>
          </cell>
          <cell r="O277">
            <v>0</v>
          </cell>
          <cell r="P277">
            <v>0</v>
          </cell>
          <cell r="Q277">
            <v>1440</v>
          </cell>
        </row>
        <row r="278">
          <cell r="B278" t="str">
            <v>694K</v>
          </cell>
          <cell r="C278" t="str">
            <v>Arif Rahman Hakim</v>
          </cell>
          <cell r="D278" t="str">
            <v>Hotel Conrad Bali</v>
          </cell>
          <cell r="E278" t="str">
            <v>ABACUS BALI</v>
          </cell>
          <cell r="F278">
            <v>1</v>
          </cell>
          <cell r="G278" t="str">
            <v>04-Denpasar</v>
          </cell>
          <cell r="H278" t="str">
            <v>B</v>
          </cell>
          <cell r="I278" t="str">
            <v>ATM</v>
          </cell>
          <cell r="J278" t="str">
            <v>Denpasar</v>
          </cell>
          <cell r="K278" t="str">
            <v>Bali Nusra</v>
          </cell>
          <cell r="L278" t="str">
            <v xml:space="preserve">MON-SUN </v>
          </cell>
          <cell r="M278" t="str">
            <v>(00:00 - 23:59)</v>
          </cell>
          <cell r="N278">
            <v>0</v>
          </cell>
          <cell r="O278">
            <v>0</v>
          </cell>
          <cell r="P278">
            <v>0</v>
          </cell>
          <cell r="Q278">
            <v>1440</v>
          </cell>
        </row>
        <row r="279">
          <cell r="B279" t="str">
            <v>694M</v>
          </cell>
          <cell r="C279" t="str">
            <v>Suhel Risdianto</v>
          </cell>
          <cell r="D279" t="str">
            <v>CK Kadewatan</v>
          </cell>
          <cell r="E279" t="str">
            <v>ABACUS BALI</v>
          </cell>
          <cell r="F279">
            <v>2</v>
          </cell>
          <cell r="G279" t="str">
            <v>04-Denpasar</v>
          </cell>
          <cell r="H279" t="str">
            <v>B</v>
          </cell>
          <cell r="I279" t="str">
            <v>ATM</v>
          </cell>
          <cell r="J279" t="str">
            <v>Denpasar</v>
          </cell>
          <cell r="K279" t="str">
            <v>Bali Nusra</v>
          </cell>
          <cell r="L279" t="str">
            <v xml:space="preserve">MON-SUN </v>
          </cell>
          <cell r="M279" t="str">
            <v>(00:00 - 23:59)</v>
          </cell>
          <cell r="N279">
            <v>0</v>
          </cell>
          <cell r="O279">
            <v>0</v>
          </cell>
          <cell r="P279">
            <v>0</v>
          </cell>
          <cell r="Q279">
            <v>1440</v>
          </cell>
        </row>
        <row r="280">
          <cell r="B280" t="str">
            <v>694Q</v>
          </cell>
          <cell r="C280" t="str">
            <v>Eko Adi Sugiyantoro</v>
          </cell>
          <cell r="D280" t="str">
            <v>IDM Tanah Lot Tabanan</v>
          </cell>
          <cell r="E280" t="str">
            <v>ABACUS BALI</v>
          </cell>
          <cell r="F280">
            <v>1</v>
          </cell>
          <cell r="G280" t="str">
            <v>04-Denpasar</v>
          </cell>
          <cell r="H280" t="str">
            <v>B</v>
          </cell>
          <cell r="I280" t="str">
            <v>ATM</v>
          </cell>
          <cell r="J280" t="str">
            <v>Denpasar</v>
          </cell>
          <cell r="K280" t="str">
            <v>Bali Nusra</v>
          </cell>
          <cell r="L280" t="str">
            <v xml:space="preserve">MON-SUN </v>
          </cell>
          <cell r="M280" t="str">
            <v>(07:00 - 22:00)</v>
          </cell>
          <cell r="N280">
            <v>0</v>
          </cell>
          <cell r="O280">
            <v>0</v>
          </cell>
          <cell r="P280">
            <v>0</v>
          </cell>
          <cell r="Q280">
            <v>900</v>
          </cell>
        </row>
        <row r="281">
          <cell r="B281" t="str">
            <v>694R</v>
          </cell>
          <cell r="C281" t="str">
            <v>Eko Adi Sugiyantoro</v>
          </cell>
          <cell r="D281" t="str">
            <v>IDM Bantas Tabanan</v>
          </cell>
          <cell r="E281" t="str">
            <v>ABACUS BALI</v>
          </cell>
          <cell r="F281">
            <v>2</v>
          </cell>
          <cell r="G281" t="str">
            <v>04-Denpasar</v>
          </cell>
          <cell r="H281" t="str">
            <v>B</v>
          </cell>
          <cell r="I281" t="str">
            <v>ATM</v>
          </cell>
          <cell r="J281" t="str">
            <v>Denpasar</v>
          </cell>
          <cell r="K281" t="str">
            <v>Bali Nusra</v>
          </cell>
          <cell r="L281" t="str">
            <v xml:space="preserve">MON-SUN </v>
          </cell>
          <cell r="M281" t="str">
            <v>(00:00 - 23:59)</v>
          </cell>
          <cell r="N281">
            <v>0</v>
          </cell>
          <cell r="O281">
            <v>0</v>
          </cell>
          <cell r="P281">
            <v>0</v>
          </cell>
          <cell r="Q281">
            <v>1440</v>
          </cell>
        </row>
        <row r="282">
          <cell r="B282" t="str">
            <v>695F</v>
          </cell>
          <cell r="C282" t="str">
            <v>Revaldi Resha Wardhana</v>
          </cell>
          <cell r="D282" t="str">
            <v>RS Puri Bunda</v>
          </cell>
          <cell r="E282" t="str">
            <v>ABACUS BALI</v>
          </cell>
          <cell r="F282">
            <v>1</v>
          </cell>
          <cell r="G282" t="str">
            <v>04-Denpasar</v>
          </cell>
          <cell r="H282" t="str">
            <v>B</v>
          </cell>
          <cell r="I282" t="str">
            <v>ATM</v>
          </cell>
          <cell r="J282" t="str">
            <v>Denpasar</v>
          </cell>
          <cell r="K282" t="str">
            <v>Bali Nusra</v>
          </cell>
          <cell r="L282" t="str">
            <v xml:space="preserve">MON-SUN </v>
          </cell>
          <cell r="M282" t="str">
            <v>(00:00 - 23:59)</v>
          </cell>
          <cell r="N282">
            <v>0</v>
          </cell>
          <cell r="O282">
            <v>0</v>
          </cell>
          <cell r="P282">
            <v>0</v>
          </cell>
          <cell r="Q282">
            <v>1440</v>
          </cell>
        </row>
        <row r="283">
          <cell r="B283" t="str">
            <v>695J</v>
          </cell>
          <cell r="C283" t="str">
            <v>Alparizi</v>
          </cell>
          <cell r="D283" t="str">
            <v>Alfa Pantai Senggigi</v>
          </cell>
          <cell r="E283" t="str">
            <v>ADVANTAGE CAKRANEGARA</v>
          </cell>
          <cell r="F283">
            <v>1</v>
          </cell>
          <cell r="G283" t="str">
            <v>04-Denpasar</v>
          </cell>
          <cell r="H283" t="str">
            <v>B</v>
          </cell>
          <cell r="I283" t="str">
            <v>ATM</v>
          </cell>
          <cell r="J283" t="str">
            <v>Mataram</v>
          </cell>
          <cell r="K283" t="str">
            <v>Bali Nusra</v>
          </cell>
          <cell r="L283" t="str">
            <v xml:space="preserve">MON-SUN </v>
          </cell>
          <cell r="M283" t="str">
            <v>(00:00 - 23:59)</v>
          </cell>
          <cell r="N283">
            <v>0</v>
          </cell>
          <cell r="O283">
            <v>0</v>
          </cell>
          <cell r="P283">
            <v>0</v>
          </cell>
          <cell r="Q283">
            <v>1440</v>
          </cell>
        </row>
        <row r="284">
          <cell r="B284" t="str">
            <v>695K</v>
          </cell>
          <cell r="C284" t="str">
            <v>Lalu Riswan Hadi</v>
          </cell>
          <cell r="D284" t="str">
            <v>IDM Terong Tawah</v>
          </cell>
          <cell r="E284" t="str">
            <v>ADVANTAGE CAKRANEGARA</v>
          </cell>
          <cell r="F284">
            <v>1</v>
          </cell>
          <cell r="G284" t="str">
            <v>04-Denpasar</v>
          </cell>
          <cell r="H284" t="str">
            <v>B</v>
          </cell>
          <cell r="I284" t="str">
            <v>ATM</v>
          </cell>
          <cell r="J284" t="str">
            <v>Mataram</v>
          </cell>
          <cell r="K284" t="str">
            <v>Bali Nusra</v>
          </cell>
          <cell r="L284" t="str">
            <v xml:space="preserve">MON-SUN </v>
          </cell>
          <cell r="M284" t="str">
            <v>(00:00 - 23:59)</v>
          </cell>
          <cell r="N284">
            <v>0</v>
          </cell>
          <cell r="O284">
            <v>0</v>
          </cell>
          <cell r="P284">
            <v>0</v>
          </cell>
          <cell r="Q284">
            <v>1440</v>
          </cell>
        </row>
        <row r="285">
          <cell r="B285" t="str">
            <v>695L</v>
          </cell>
          <cell r="C285" t="str">
            <v>Suhel Risdianto</v>
          </cell>
          <cell r="D285" t="str">
            <v>CK Bali Kiddy</v>
          </cell>
          <cell r="E285" t="str">
            <v>ABACUS BALI</v>
          </cell>
          <cell r="F285">
            <v>1</v>
          </cell>
          <cell r="G285" t="str">
            <v>04-Denpasar</v>
          </cell>
          <cell r="H285" t="str">
            <v>B</v>
          </cell>
          <cell r="I285" t="str">
            <v>ATM</v>
          </cell>
          <cell r="J285" t="str">
            <v>Denpasar</v>
          </cell>
          <cell r="K285" t="str">
            <v>Bali Nusra</v>
          </cell>
          <cell r="L285" t="str">
            <v xml:space="preserve">MON-SUN </v>
          </cell>
          <cell r="M285" t="str">
            <v>(00:00 - 23:59)</v>
          </cell>
          <cell r="N285">
            <v>0</v>
          </cell>
          <cell r="O285">
            <v>0</v>
          </cell>
          <cell r="P285">
            <v>0</v>
          </cell>
          <cell r="Q285">
            <v>1440</v>
          </cell>
        </row>
        <row r="286">
          <cell r="B286" t="str">
            <v>695Y</v>
          </cell>
          <cell r="C286" t="str">
            <v>Farozan Ali Fahmi</v>
          </cell>
          <cell r="D286" t="str">
            <v>IDM I Bagus Mantra 119</v>
          </cell>
          <cell r="E286" t="str">
            <v>ABACUS BALI</v>
          </cell>
          <cell r="F286">
            <v>2</v>
          </cell>
          <cell r="G286" t="str">
            <v>04-Denpasar</v>
          </cell>
          <cell r="H286" t="str">
            <v>B</v>
          </cell>
          <cell r="I286" t="str">
            <v>ATM</v>
          </cell>
          <cell r="J286" t="str">
            <v>Denpasar</v>
          </cell>
          <cell r="K286" t="str">
            <v>Bali Nusra</v>
          </cell>
          <cell r="L286" t="str">
            <v xml:space="preserve">MON-SUN </v>
          </cell>
          <cell r="M286" t="str">
            <v>(07:00 - 22:00)</v>
          </cell>
          <cell r="N286">
            <v>0</v>
          </cell>
          <cell r="O286">
            <v>0</v>
          </cell>
          <cell r="P286">
            <v>0</v>
          </cell>
          <cell r="Q286">
            <v>900</v>
          </cell>
        </row>
        <row r="287">
          <cell r="B287" t="str">
            <v>697W</v>
          </cell>
          <cell r="C287" t="str">
            <v>Revaldi Resha Wardhana</v>
          </cell>
          <cell r="D287" t="str">
            <v>SPBU Buluh Indah</v>
          </cell>
          <cell r="E287" t="str">
            <v>ABACUS BALI</v>
          </cell>
          <cell r="F287">
            <v>1</v>
          </cell>
          <cell r="G287" t="str">
            <v>04-Denpasar</v>
          </cell>
          <cell r="H287" t="str">
            <v>B</v>
          </cell>
          <cell r="I287" t="str">
            <v>ATM</v>
          </cell>
          <cell r="J287" t="str">
            <v>Denpasar</v>
          </cell>
          <cell r="K287" t="str">
            <v>Bali Nusra</v>
          </cell>
          <cell r="L287" t="str">
            <v xml:space="preserve">MON-SUN </v>
          </cell>
          <cell r="M287" t="str">
            <v>(00:00 - 23:59)</v>
          </cell>
          <cell r="N287">
            <v>0</v>
          </cell>
          <cell r="O287">
            <v>0</v>
          </cell>
          <cell r="P287">
            <v>0</v>
          </cell>
          <cell r="Q287">
            <v>1440</v>
          </cell>
        </row>
        <row r="288">
          <cell r="B288" t="str">
            <v>699B</v>
          </cell>
          <cell r="C288" t="str">
            <v>Revaldi Resha Wardhana</v>
          </cell>
          <cell r="D288" t="str">
            <v>IDM Angantaka</v>
          </cell>
          <cell r="E288" t="str">
            <v>ABACUS BALI</v>
          </cell>
          <cell r="F288">
            <v>1</v>
          </cell>
          <cell r="G288" t="str">
            <v>04-Denpasar</v>
          </cell>
          <cell r="H288" t="str">
            <v>B</v>
          </cell>
          <cell r="I288" t="str">
            <v>ATM</v>
          </cell>
          <cell r="J288" t="str">
            <v>Denpasar</v>
          </cell>
          <cell r="K288" t="str">
            <v>Bali Nusra</v>
          </cell>
          <cell r="L288" t="str">
            <v xml:space="preserve">MON-SUN </v>
          </cell>
          <cell r="M288" t="str">
            <v>(07:00 - 22:00)</v>
          </cell>
          <cell r="N288">
            <v>0</v>
          </cell>
          <cell r="O288">
            <v>0</v>
          </cell>
          <cell r="P288">
            <v>0</v>
          </cell>
          <cell r="Q288">
            <v>900</v>
          </cell>
        </row>
        <row r="289">
          <cell r="B289" t="str">
            <v>699C</v>
          </cell>
          <cell r="C289" t="str">
            <v>Bambang Yuniarko</v>
          </cell>
          <cell r="D289" t="str">
            <v>Alfa Tukad Irawadi</v>
          </cell>
          <cell r="E289" t="str">
            <v>ANDALAN BALI</v>
          </cell>
          <cell r="F289">
            <v>1</v>
          </cell>
          <cell r="G289" t="str">
            <v>04-Denpasar</v>
          </cell>
          <cell r="H289" t="str">
            <v>B</v>
          </cell>
          <cell r="I289" t="str">
            <v>ATM</v>
          </cell>
          <cell r="J289" t="str">
            <v>Denpasar</v>
          </cell>
          <cell r="K289" t="str">
            <v>Bali Nusra</v>
          </cell>
          <cell r="L289" t="str">
            <v xml:space="preserve">MON-SUN </v>
          </cell>
          <cell r="M289" t="str">
            <v>(07:00 - 22:00)</v>
          </cell>
          <cell r="N289">
            <v>0</v>
          </cell>
          <cell r="O289">
            <v>0</v>
          </cell>
          <cell r="P289">
            <v>0</v>
          </cell>
          <cell r="Q289">
            <v>900</v>
          </cell>
        </row>
        <row r="290">
          <cell r="B290" t="str">
            <v>Z07P</v>
          </cell>
          <cell r="C290" t="str">
            <v>Alparizi</v>
          </cell>
          <cell r="D290" t="str">
            <v>Ampenan</v>
          </cell>
          <cell r="E290" t="str">
            <v>ADVANTAGE CAKRANEGARA</v>
          </cell>
          <cell r="F290">
            <v>1</v>
          </cell>
          <cell r="G290" t="str">
            <v>04-Denpasar</v>
          </cell>
          <cell r="H290" t="str">
            <v>B</v>
          </cell>
          <cell r="I290" t="str">
            <v>CRM</v>
          </cell>
          <cell r="J290" t="str">
            <v>Mataram</v>
          </cell>
          <cell r="K290" t="str">
            <v>Bali Nusra</v>
          </cell>
          <cell r="L290" t="str">
            <v xml:space="preserve">MON-SUN </v>
          </cell>
          <cell r="M290" t="str">
            <v>(00:00 - 23:59)</v>
          </cell>
          <cell r="N290">
            <v>1</v>
          </cell>
          <cell r="O290">
            <v>48</v>
          </cell>
          <cell r="P290">
            <v>3.33</v>
          </cell>
          <cell r="Q290">
            <v>1440</v>
          </cell>
        </row>
        <row r="291">
          <cell r="B291" t="str">
            <v>Z07Q</v>
          </cell>
          <cell r="C291" t="str">
            <v>Alparizi</v>
          </cell>
          <cell r="D291" t="str">
            <v>Ampenan</v>
          </cell>
          <cell r="E291" t="str">
            <v>ADVANTAGE CAKRANEGARA</v>
          </cell>
          <cell r="F291">
            <v>1</v>
          </cell>
          <cell r="G291" t="str">
            <v>04-Denpasar</v>
          </cell>
          <cell r="H291" t="str">
            <v>B</v>
          </cell>
          <cell r="I291" t="str">
            <v>CRM</v>
          </cell>
          <cell r="J291" t="str">
            <v>Mataram</v>
          </cell>
          <cell r="K291" t="str">
            <v>Bali Nusra</v>
          </cell>
          <cell r="L291" t="str">
            <v xml:space="preserve">MON-SUN </v>
          </cell>
          <cell r="M291" t="str">
            <v>(00:00 - 23:59)</v>
          </cell>
          <cell r="N291">
            <v>0</v>
          </cell>
          <cell r="O291">
            <v>0</v>
          </cell>
          <cell r="P291">
            <v>0</v>
          </cell>
          <cell r="Q291">
            <v>1440</v>
          </cell>
        </row>
        <row r="292">
          <cell r="B292" t="str">
            <v>Z07R</v>
          </cell>
          <cell r="C292" t="str">
            <v>Adi Irawan</v>
          </cell>
          <cell r="D292" t="str">
            <v>Cakranegara</v>
          </cell>
          <cell r="E292" t="str">
            <v>ADVANTAGE CAKRANEGARA</v>
          </cell>
          <cell r="F292">
            <v>1</v>
          </cell>
          <cell r="G292" t="str">
            <v>04-Denpasar</v>
          </cell>
          <cell r="H292" t="str">
            <v>B</v>
          </cell>
          <cell r="I292" t="str">
            <v>CRM</v>
          </cell>
          <cell r="J292" t="str">
            <v>Mataram</v>
          </cell>
          <cell r="K292" t="str">
            <v>Bali Nusra</v>
          </cell>
          <cell r="L292" t="str">
            <v xml:space="preserve">MON-SUN </v>
          </cell>
          <cell r="M292" t="str">
            <v>(00:00 - 23:59)</v>
          </cell>
          <cell r="N292">
            <v>0</v>
          </cell>
          <cell r="O292">
            <v>0</v>
          </cell>
          <cell r="P292">
            <v>0</v>
          </cell>
          <cell r="Q292">
            <v>1440</v>
          </cell>
        </row>
        <row r="293">
          <cell r="B293" t="str">
            <v>Z07T</v>
          </cell>
          <cell r="C293" t="str">
            <v>Adi Irawan</v>
          </cell>
          <cell r="D293" t="str">
            <v>Cakranegara</v>
          </cell>
          <cell r="E293" t="str">
            <v>ADVANTAGE CAKRANEGARA</v>
          </cell>
          <cell r="F293">
            <v>1</v>
          </cell>
          <cell r="G293" t="str">
            <v>04-Denpasar</v>
          </cell>
          <cell r="H293" t="str">
            <v>B</v>
          </cell>
          <cell r="I293" t="str">
            <v>CRM</v>
          </cell>
          <cell r="J293" t="str">
            <v>Mataram</v>
          </cell>
          <cell r="K293" t="str">
            <v>Bali Nusra</v>
          </cell>
          <cell r="L293" t="str">
            <v xml:space="preserve">MON-SUN </v>
          </cell>
          <cell r="M293" t="str">
            <v>(00:00 - 23:59)</v>
          </cell>
          <cell r="N293">
            <v>0</v>
          </cell>
          <cell r="O293">
            <v>0</v>
          </cell>
          <cell r="P293">
            <v>0</v>
          </cell>
          <cell r="Q293">
            <v>1440</v>
          </cell>
        </row>
        <row r="294">
          <cell r="B294" t="str">
            <v>Z07U</v>
          </cell>
          <cell r="C294" t="str">
            <v>Adi Irawan</v>
          </cell>
          <cell r="D294" t="str">
            <v>Cakranegara</v>
          </cell>
          <cell r="E294" t="str">
            <v>ADVANTAGE CAKRANEGARA</v>
          </cell>
          <cell r="F294">
            <v>1</v>
          </cell>
          <cell r="G294" t="str">
            <v>04-Denpasar</v>
          </cell>
          <cell r="H294" t="str">
            <v>B</v>
          </cell>
          <cell r="I294" t="str">
            <v>CRM</v>
          </cell>
          <cell r="J294" t="str">
            <v>Mataram</v>
          </cell>
          <cell r="K294" t="str">
            <v>Bali Nusra</v>
          </cell>
          <cell r="L294" t="str">
            <v xml:space="preserve">MON-SUN </v>
          </cell>
          <cell r="M294" t="str">
            <v>(00:00 - 23:59)</v>
          </cell>
          <cell r="N294">
            <v>0</v>
          </cell>
          <cell r="O294">
            <v>0</v>
          </cell>
          <cell r="P294">
            <v>0</v>
          </cell>
          <cell r="Q294">
            <v>1440</v>
          </cell>
        </row>
        <row r="295">
          <cell r="B295" t="str">
            <v>Z07V</v>
          </cell>
          <cell r="C295" t="str">
            <v>Adi Irawan</v>
          </cell>
          <cell r="D295" t="str">
            <v>Cakranegara</v>
          </cell>
          <cell r="E295" t="str">
            <v>ADVANTAGE CAKRANEGARA</v>
          </cell>
          <cell r="F295">
            <v>1</v>
          </cell>
          <cell r="G295" t="str">
            <v>04-Denpasar</v>
          </cell>
          <cell r="H295" t="str">
            <v>B</v>
          </cell>
          <cell r="I295" t="str">
            <v>CRM</v>
          </cell>
          <cell r="J295" t="str">
            <v>Mataram</v>
          </cell>
          <cell r="K295" t="str">
            <v>Bali Nusra</v>
          </cell>
          <cell r="L295" t="str">
            <v xml:space="preserve">MON-SUN </v>
          </cell>
          <cell r="M295" t="str">
            <v>(00:00 - 23:59)</v>
          </cell>
          <cell r="N295">
            <v>0</v>
          </cell>
          <cell r="O295">
            <v>0</v>
          </cell>
          <cell r="P295">
            <v>0</v>
          </cell>
          <cell r="Q295">
            <v>1440</v>
          </cell>
        </row>
        <row r="296">
          <cell r="B296" t="str">
            <v>Z07Z</v>
          </cell>
          <cell r="C296" t="str">
            <v>Adi Irawan</v>
          </cell>
          <cell r="D296" t="str">
            <v>Sweta</v>
          </cell>
          <cell r="E296" t="str">
            <v>ADVANTAGE CAKRANEGARA</v>
          </cell>
          <cell r="F296">
            <v>1</v>
          </cell>
          <cell r="G296" t="str">
            <v>04-Denpasar</v>
          </cell>
          <cell r="H296" t="str">
            <v>B</v>
          </cell>
          <cell r="I296" t="str">
            <v>CRM</v>
          </cell>
          <cell r="J296" t="str">
            <v>Mataram</v>
          </cell>
          <cell r="K296" t="str">
            <v>Bali Nusra</v>
          </cell>
          <cell r="L296" t="str">
            <v xml:space="preserve">MON-SUN </v>
          </cell>
          <cell r="M296" t="str">
            <v>(00:00 - 23:59)</v>
          </cell>
          <cell r="N296">
            <v>0</v>
          </cell>
          <cell r="O296">
            <v>0</v>
          </cell>
          <cell r="P296">
            <v>0</v>
          </cell>
          <cell r="Q296">
            <v>1440</v>
          </cell>
        </row>
        <row r="297">
          <cell r="B297" t="str">
            <v>Z08A</v>
          </cell>
          <cell r="C297" t="str">
            <v>Adi Irawan</v>
          </cell>
          <cell r="D297" t="str">
            <v>Sweta</v>
          </cell>
          <cell r="E297" t="str">
            <v>ADVANTAGE CAKRANEGARA</v>
          </cell>
          <cell r="F297">
            <v>1</v>
          </cell>
          <cell r="G297" t="str">
            <v>04-Denpasar</v>
          </cell>
          <cell r="H297" t="str">
            <v>B</v>
          </cell>
          <cell r="I297" t="str">
            <v>CRM</v>
          </cell>
          <cell r="J297" t="str">
            <v>Mataram</v>
          </cell>
          <cell r="K297" t="str">
            <v>Bali Nusra</v>
          </cell>
          <cell r="L297" t="str">
            <v xml:space="preserve">MON-SUN </v>
          </cell>
          <cell r="M297" t="str">
            <v>(00:00 - 23:59)</v>
          </cell>
          <cell r="N297">
            <v>0</v>
          </cell>
          <cell r="O297">
            <v>0</v>
          </cell>
          <cell r="P297">
            <v>0</v>
          </cell>
          <cell r="Q297">
            <v>1440</v>
          </cell>
        </row>
        <row r="298">
          <cell r="B298" t="str">
            <v>Z08E</v>
          </cell>
          <cell r="C298" t="str">
            <v>Revaldi Resha Wardhana</v>
          </cell>
          <cell r="D298" t="str">
            <v>Cokroaminoto</v>
          </cell>
          <cell r="E298" t="str">
            <v>ABACUS BALI</v>
          </cell>
          <cell r="F298">
            <v>1</v>
          </cell>
          <cell r="G298" t="str">
            <v>04-Denpasar</v>
          </cell>
          <cell r="H298" t="str">
            <v>B</v>
          </cell>
          <cell r="I298" t="str">
            <v>CRM</v>
          </cell>
          <cell r="J298" t="str">
            <v>Denpasar</v>
          </cell>
          <cell r="K298" t="str">
            <v>Bali Nusra</v>
          </cell>
          <cell r="L298" t="str">
            <v xml:space="preserve">MON-SUN </v>
          </cell>
          <cell r="M298" t="str">
            <v>(00:00 - 23:59)</v>
          </cell>
          <cell r="N298">
            <v>0</v>
          </cell>
          <cell r="O298">
            <v>0</v>
          </cell>
          <cell r="P298">
            <v>0</v>
          </cell>
          <cell r="Q298">
            <v>1440</v>
          </cell>
        </row>
        <row r="299">
          <cell r="B299" t="str">
            <v>Z08F</v>
          </cell>
          <cell r="C299" t="str">
            <v>Revaldi Resha Wardhana</v>
          </cell>
          <cell r="D299" t="str">
            <v>Cokroaminoto</v>
          </cell>
          <cell r="E299" t="str">
            <v>ABACUS BALI</v>
          </cell>
          <cell r="F299">
            <v>1</v>
          </cell>
          <cell r="G299" t="str">
            <v>04-Denpasar</v>
          </cell>
          <cell r="H299" t="str">
            <v>B</v>
          </cell>
          <cell r="I299" t="str">
            <v>CRM</v>
          </cell>
          <cell r="J299" t="str">
            <v>Denpasar</v>
          </cell>
          <cell r="K299" t="str">
            <v>Bali Nusra</v>
          </cell>
          <cell r="L299" t="str">
            <v xml:space="preserve">MON-SUN </v>
          </cell>
          <cell r="M299" t="str">
            <v>(00:00 - 23:59)</v>
          </cell>
          <cell r="N299">
            <v>1</v>
          </cell>
          <cell r="O299">
            <v>16</v>
          </cell>
          <cell r="P299">
            <v>1.1100000000000001</v>
          </cell>
          <cell r="Q299">
            <v>1440</v>
          </cell>
        </row>
        <row r="300">
          <cell r="B300" t="str">
            <v>Z08N</v>
          </cell>
          <cell r="C300" t="str">
            <v>Bambang Yuniarko</v>
          </cell>
          <cell r="D300" t="str">
            <v>Denpasar</v>
          </cell>
          <cell r="E300" t="str">
            <v>ABACUS BALI</v>
          </cell>
          <cell r="F300">
            <v>1</v>
          </cell>
          <cell r="G300" t="str">
            <v>04-Denpasar</v>
          </cell>
          <cell r="H300" t="str">
            <v>B</v>
          </cell>
          <cell r="I300" t="str">
            <v>CRM</v>
          </cell>
          <cell r="J300" t="str">
            <v>Denpasar</v>
          </cell>
          <cell r="K300" t="str">
            <v>Bali Nusra</v>
          </cell>
          <cell r="L300" t="str">
            <v xml:space="preserve">MON-SUN </v>
          </cell>
          <cell r="M300" t="str">
            <v>(00:00 - 23:59)</v>
          </cell>
          <cell r="N300">
            <v>0</v>
          </cell>
          <cell r="O300">
            <v>0</v>
          </cell>
          <cell r="P300">
            <v>0</v>
          </cell>
          <cell r="Q300">
            <v>1440</v>
          </cell>
        </row>
        <row r="301">
          <cell r="B301" t="str">
            <v>Z08P</v>
          </cell>
          <cell r="C301" t="str">
            <v>Bambang Yuniarko</v>
          </cell>
          <cell r="D301" t="str">
            <v>Denpasar</v>
          </cell>
          <cell r="E301" t="str">
            <v>ABACUS BALI</v>
          </cell>
          <cell r="F301">
            <v>1</v>
          </cell>
          <cell r="G301" t="str">
            <v>04-Denpasar</v>
          </cell>
          <cell r="H301" t="str">
            <v>B</v>
          </cell>
          <cell r="I301" t="str">
            <v>CRM</v>
          </cell>
          <cell r="J301" t="str">
            <v>Denpasar</v>
          </cell>
          <cell r="K301" t="str">
            <v>Bali Nusra</v>
          </cell>
          <cell r="L301" t="str">
            <v xml:space="preserve">MON-SUN </v>
          </cell>
          <cell r="M301" t="str">
            <v>(00:00 - 23:59)</v>
          </cell>
          <cell r="N301">
            <v>0</v>
          </cell>
          <cell r="O301">
            <v>0</v>
          </cell>
          <cell r="P301">
            <v>0</v>
          </cell>
          <cell r="Q301">
            <v>1440</v>
          </cell>
        </row>
        <row r="302">
          <cell r="B302" t="str">
            <v>Z08Q</v>
          </cell>
          <cell r="C302" t="str">
            <v>Bambang Yuniarko</v>
          </cell>
          <cell r="D302" t="str">
            <v>Denpasar</v>
          </cell>
          <cell r="E302" t="str">
            <v>ABACUS BALI</v>
          </cell>
          <cell r="F302">
            <v>1</v>
          </cell>
          <cell r="G302" t="str">
            <v>04-Denpasar</v>
          </cell>
          <cell r="H302" t="str">
            <v>B</v>
          </cell>
          <cell r="I302" t="str">
            <v>CRM</v>
          </cell>
          <cell r="J302" t="str">
            <v>Denpasar</v>
          </cell>
          <cell r="K302" t="str">
            <v>Bali Nusra</v>
          </cell>
          <cell r="L302" t="str">
            <v xml:space="preserve">MON-SUN </v>
          </cell>
          <cell r="M302" t="str">
            <v>(00:00 - 23:59)</v>
          </cell>
          <cell r="N302">
            <v>0</v>
          </cell>
          <cell r="O302">
            <v>0</v>
          </cell>
          <cell r="P302">
            <v>0</v>
          </cell>
          <cell r="Q302">
            <v>1440</v>
          </cell>
        </row>
        <row r="303">
          <cell r="B303" t="str">
            <v>Z08R</v>
          </cell>
          <cell r="C303" t="str">
            <v>Bambang Yuniarko</v>
          </cell>
          <cell r="D303" t="str">
            <v>Denpasar</v>
          </cell>
          <cell r="E303" t="str">
            <v>ABACUS BALI</v>
          </cell>
          <cell r="F303">
            <v>1</v>
          </cell>
          <cell r="G303" t="str">
            <v>04-Denpasar</v>
          </cell>
          <cell r="H303" t="str">
            <v>B</v>
          </cell>
          <cell r="I303" t="str">
            <v>CRM</v>
          </cell>
          <cell r="J303" t="str">
            <v>Denpasar</v>
          </cell>
          <cell r="K303" t="str">
            <v>Bali Nusra</v>
          </cell>
          <cell r="L303" t="str">
            <v xml:space="preserve">MON-SUN </v>
          </cell>
          <cell r="M303" t="str">
            <v>(00:00 - 23:59)</v>
          </cell>
          <cell r="N303">
            <v>2</v>
          </cell>
          <cell r="O303">
            <v>81</v>
          </cell>
          <cell r="P303">
            <v>5.63</v>
          </cell>
          <cell r="Q303">
            <v>1440</v>
          </cell>
        </row>
        <row r="304">
          <cell r="B304" t="str">
            <v>Z08X</v>
          </cell>
          <cell r="C304" t="str">
            <v>Bambang Yuniarko</v>
          </cell>
          <cell r="D304" t="str">
            <v>Grand Sudirman</v>
          </cell>
          <cell r="E304" t="str">
            <v>ANDALAN BALI</v>
          </cell>
          <cell r="F304">
            <v>1</v>
          </cell>
          <cell r="G304" t="str">
            <v>04-Denpasar</v>
          </cell>
          <cell r="H304" t="str">
            <v>B</v>
          </cell>
          <cell r="I304" t="str">
            <v>CRM</v>
          </cell>
          <cell r="J304" t="str">
            <v>Denpasar</v>
          </cell>
          <cell r="K304" t="str">
            <v>Bali Nusra</v>
          </cell>
          <cell r="L304" t="str">
            <v xml:space="preserve">MON-SUN </v>
          </cell>
          <cell r="M304" t="str">
            <v>(00:00 - 23:59)</v>
          </cell>
          <cell r="N304">
            <v>0</v>
          </cell>
          <cell r="O304">
            <v>0</v>
          </cell>
          <cell r="P304">
            <v>0</v>
          </cell>
          <cell r="Q304">
            <v>1440</v>
          </cell>
        </row>
        <row r="305">
          <cell r="B305" t="str">
            <v>Z08Z</v>
          </cell>
          <cell r="C305" t="str">
            <v>Bambang Yuniarko</v>
          </cell>
          <cell r="D305" t="str">
            <v>Grand Sudirman</v>
          </cell>
          <cell r="E305" t="str">
            <v>ANDALAN BALI</v>
          </cell>
          <cell r="F305">
            <v>1</v>
          </cell>
          <cell r="G305" t="str">
            <v>04-Denpasar</v>
          </cell>
          <cell r="H305" t="str">
            <v>B</v>
          </cell>
          <cell r="I305" t="str">
            <v>CRM</v>
          </cell>
          <cell r="J305" t="str">
            <v>Denpasar</v>
          </cell>
          <cell r="K305" t="str">
            <v>Bali Nusra</v>
          </cell>
          <cell r="L305" t="str">
            <v xml:space="preserve">MON-SUN </v>
          </cell>
          <cell r="M305" t="str">
            <v>(00:00 - 23:59)</v>
          </cell>
          <cell r="N305">
            <v>0</v>
          </cell>
          <cell r="O305">
            <v>0</v>
          </cell>
          <cell r="P305">
            <v>0</v>
          </cell>
          <cell r="Q305">
            <v>1440</v>
          </cell>
        </row>
        <row r="306">
          <cell r="B306" t="str">
            <v>Z09A</v>
          </cell>
          <cell r="C306" t="str">
            <v>Bambang Yuniarko</v>
          </cell>
          <cell r="D306" t="str">
            <v>Grand Sudirman</v>
          </cell>
          <cell r="E306" t="str">
            <v>ANDALAN BALI</v>
          </cell>
          <cell r="F306">
            <v>1</v>
          </cell>
          <cell r="G306" t="str">
            <v>04-Denpasar</v>
          </cell>
          <cell r="H306" t="str">
            <v>B</v>
          </cell>
          <cell r="I306" t="str">
            <v>CRM</v>
          </cell>
          <cell r="J306" t="str">
            <v>Denpasar</v>
          </cell>
          <cell r="K306" t="str">
            <v>Bali Nusra</v>
          </cell>
          <cell r="L306" t="str">
            <v xml:space="preserve">MON-SUN </v>
          </cell>
          <cell r="M306" t="str">
            <v>(00:00 - 23:59)</v>
          </cell>
          <cell r="N306">
            <v>0</v>
          </cell>
          <cell r="O306">
            <v>0</v>
          </cell>
          <cell r="P306">
            <v>0</v>
          </cell>
          <cell r="Q306">
            <v>1440</v>
          </cell>
        </row>
        <row r="307">
          <cell r="B307" t="str">
            <v>Z09D</v>
          </cell>
          <cell r="C307" t="str">
            <v>Suhel Risdianto</v>
          </cell>
          <cell r="D307" t="str">
            <v>Sesetan</v>
          </cell>
          <cell r="E307" t="str">
            <v>ABACUS BALI</v>
          </cell>
          <cell r="F307">
            <v>1</v>
          </cell>
          <cell r="G307" t="str">
            <v>04-Denpasar</v>
          </cell>
          <cell r="H307" t="str">
            <v>B</v>
          </cell>
          <cell r="I307" t="str">
            <v>CRM</v>
          </cell>
          <cell r="J307" t="str">
            <v>Denpasar</v>
          </cell>
          <cell r="K307" t="str">
            <v>Bali Nusra</v>
          </cell>
          <cell r="L307" t="str">
            <v xml:space="preserve">MON-SUN </v>
          </cell>
          <cell r="M307" t="str">
            <v>(00:00 - 23:59)</v>
          </cell>
          <cell r="N307">
            <v>1</v>
          </cell>
          <cell r="O307">
            <v>25</v>
          </cell>
          <cell r="P307">
            <v>1.74</v>
          </cell>
          <cell r="Q307">
            <v>1440</v>
          </cell>
        </row>
        <row r="308">
          <cell r="B308" t="str">
            <v>Z09E</v>
          </cell>
          <cell r="C308" t="str">
            <v>Suhel Risdianto</v>
          </cell>
          <cell r="D308" t="str">
            <v>Sesetan</v>
          </cell>
          <cell r="E308" t="str">
            <v>ABACUS BALI</v>
          </cell>
          <cell r="F308">
            <v>1</v>
          </cell>
          <cell r="G308" t="str">
            <v>04-Denpasar</v>
          </cell>
          <cell r="H308" t="str">
            <v>B</v>
          </cell>
          <cell r="I308" t="str">
            <v>CRM</v>
          </cell>
          <cell r="J308" t="str">
            <v>Denpasar</v>
          </cell>
          <cell r="K308" t="str">
            <v>Bali Nusra</v>
          </cell>
          <cell r="L308" t="str">
            <v xml:space="preserve">MON-SUN </v>
          </cell>
          <cell r="M308" t="str">
            <v>(00:00 - 23:59)</v>
          </cell>
          <cell r="N308">
            <v>0</v>
          </cell>
          <cell r="O308">
            <v>0</v>
          </cell>
          <cell r="P308">
            <v>0</v>
          </cell>
          <cell r="Q308">
            <v>1440</v>
          </cell>
        </row>
        <row r="309">
          <cell r="B309" t="str">
            <v>Z09K</v>
          </cell>
          <cell r="C309" t="str">
            <v>Revaldi Resha Wardhana</v>
          </cell>
          <cell r="D309" t="str">
            <v>Teuku Umar Denpasar</v>
          </cell>
          <cell r="E309" t="str">
            <v>ANDALAN BALI</v>
          </cell>
          <cell r="F309">
            <v>1</v>
          </cell>
          <cell r="G309" t="str">
            <v>04-Denpasar</v>
          </cell>
          <cell r="H309" t="str">
            <v>B</v>
          </cell>
          <cell r="I309" t="str">
            <v>CRM</v>
          </cell>
          <cell r="J309" t="str">
            <v>Denpasar</v>
          </cell>
          <cell r="K309" t="str">
            <v>Bali Nusra</v>
          </cell>
          <cell r="L309" t="str">
            <v xml:space="preserve">MON-SUN </v>
          </cell>
          <cell r="M309" t="str">
            <v>(00:00 - 23:59)</v>
          </cell>
          <cell r="N309">
            <v>0</v>
          </cell>
          <cell r="O309">
            <v>0</v>
          </cell>
          <cell r="P309">
            <v>0</v>
          </cell>
          <cell r="Q309">
            <v>1440</v>
          </cell>
        </row>
        <row r="310">
          <cell r="B310" t="str">
            <v>Z09N</v>
          </cell>
          <cell r="C310" t="str">
            <v>I Putu Dendy Pratama</v>
          </cell>
          <cell r="D310" t="str">
            <v>Mahendradata</v>
          </cell>
          <cell r="E310" t="str">
            <v>ABACUS BALI</v>
          </cell>
          <cell r="F310">
            <v>1</v>
          </cell>
          <cell r="G310" t="str">
            <v>04-Denpasar</v>
          </cell>
          <cell r="H310" t="str">
            <v>B</v>
          </cell>
          <cell r="I310" t="str">
            <v>CRM</v>
          </cell>
          <cell r="J310" t="str">
            <v>Denpasar</v>
          </cell>
          <cell r="K310" t="str">
            <v>Bali Nusra</v>
          </cell>
          <cell r="L310" t="str">
            <v xml:space="preserve">MON-SUN </v>
          </cell>
          <cell r="M310" t="str">
            <v>(00:00 - 23:59)</v>
          </cell>
          <cell r="N310">
            <v>0</v>
          </cell>
          <cell r="O310">
            <v>0</v>
          </cell>
          <cell r="P310">
            <v>0</v>
          </cell>
          <cell r="Q310">
            <v>1440</v>
          </cell>
        </row>
        <row r="311">
          <cell r="B311" t="str">
            <v>Z09P</v>
          </cell>
          <cell r="C311" t="str">
            <v>I Putu Dendy Pratama</v>
          </cell>
          <cell r="D311" t="str">
            <v>Mahendradata</v>
          </cell>
          <cell r="E311" t="str">
            <v>ABACUS BALI</v>
          </cell>
          <cell r="F311">
            <v>1</v>
          </cell>
          <cell r="G311" t="str">
            <v>04-Denpasar</v>
          </cell>
          <cell r="H311" t="str">
            <v>B</v>
          </cell>
          <cell r="I311" t="str">
            <v>CRM</v>
          </cell>
          <cell r="J311" t="str">
            <v>Denpasar</v>
          </cell>
          <cell r="K311" t="str">
            <v>Bali Nusra</v>
          </cell>
          <cell r="L311" t="str">
            <v xml:space="preserve">MON-SUN </v>
          </cell>
          <cell r="M311" t="str">
            <v>(00:00 - 23:59)</v>
          </cell>
          <cell r="N311">
            <v>1</v>
          </cell>
          <cell r="O311">
            <v>5</v>
          </cell>
          <cell r="P311">
            <v>0.35</v>
          </cell>
          <cell r="Q311">
            <v>1440</v>
          </cell>
        </row>
        <row r="312">
          <cell r="B312" t="str">
            <v>Z09Q</v>
          </cell>
          <cell r="C312" t="str">
            <v>I Putu Dendy Pratama</v>
          </cell>
          <cell r="D312" t="str">
            <v>Mahendradata</v>
          </cell>
          <cell r="E312" t="str">
            <v>ABACUS BALI</v>
          </cell>
          <cell r="F312">
            <v>1</v>
          </cell>
          <cell r="G312" t="str">
            <v>04-Denpasar</v>
          </cell>
          <cell r="H312" t="str">
            <v>B</v>
          </cell>
          <cell r="I312" t="str">
            <v>CRM</v>
          </cell>
          <cell r="J312" t="str">
            <v>Denpasar</v>
          </cell>
          <cell r="K312" t="str">
            <v>Bali Nusra</v>
          </cell>
          <cell r="L312" t="str">
            <v xml:space="preserve">MON-SUN </v>
          </cell>
          <cell r="M312" t="str">
            <v>(00:00 - 23:59)</v>
          </cell>
          <cell r="N312">
            <v>0</v>
          </cell>
          <cell r="O312">
            <v>0</v>
          </cell>
          <cell r="P312">
            <v>0</v>
          </cell>
          <cell r="Q312">
            <v>1440</v>
          </cell>
        </row>
        <row r="313">
          <cell r="B313" t="str">
            <v>Z09R</v>
          </cell>
          <cell r="C313" t="str">
            <v>I Putu Dendy Pratama</v>
          </cell>
          <cell r="D313" t="str">
            <v>Mahendradata</v>
          </cell>
          <cell r="E313" t="str">
            <v>ABACUS BALI</v>
          </cell>
          <cell r="F313">
            <v>1</v>
          </cell>
          <cell r="G313" t="str">
            <v>04-Denpasar</v>
          </cell>
          <cell r="H313" t="str">
            <v>B</v>
          </cell>
          <cell r="I313" t="str">
            <v>CRM</v>
          </cell>
          <cell r="J313" t="str">
            <v>Denpasar</v>
          </cell>
          <cell r="K313" t="str">
            <v>Bali Nusra</v>
          </cell>
          <cell r="L313" t="str">
            <v xml:space="preserve">MON-SUN </v>
          </cell>
          <cell r="M313" t="str">
            <v>(00:00 - 23:59)</v>
          </cell>
          <cell r="N313">
            <v>0</v>
          </cell>
          <cell r="O313">
            <v>0</v>
          </cell>
          <cell r="P313">
            <v>0</v>
          </cell>
          <cell r="Q313">
            <v>1440</v>
          </cell>
        </row>
        <row r="314">
          <cell r="B314" t="str">
            <v>Z0J9</v>
          </cell>
          <cell r="C314" t="str">
            <v>Yunarius Raynold Gege</v>
          </cell>
          <cell r="D314" t="str">
            <v>Alfa Tenu</v>
          </cell>
          <cell r="E314" t="str">
            <v>KUPANG</v>
          </cell>
          <cell r="F314">
            <v>4</v>
          </cell>
          <cell r="G314" t="str">
            <v>04-Denpasar</v>
          </cell>
          <cell r="H314" t="str">
            <v>B</v>
          </cell>
          <cell r="I314" t="str">
            <v>CRM</v>
          </cell>
          <cell r="J314" t="str">
            <v>Kupang</v>
          </cell>
          <cell r="K314" t="str">
            <v>Bali Nusra</v>
          </cell>
          <cell r="L314" t="str">
            <v xml:space="preserve">MON-SUN </v>
          </cell>
          <cell r="M314" t="str">
            <v>(00:00 - 23:59)</v>
          </cell>
          <cell r="N314">
            <v>0</v>
          </cell>
          <cell r="O314">
            <v>0</v>
          </cell>
          <cell r="P314">
            <v>0</v>
          </cell>
          <cell r="Q314">
            <v>1440</v>
          </cell>
        </row>
        <row r="315">
          <cell r="B315" t="str">
            <v>Z0M6</v>
          </cell>
          <cell r="C315" t="str">
            <v>Leonardo A Ruly</v>
          </cell>
          <cell r="D315" t="str">
            <v>SPBU Valentine Naibonat</v>
          </cell>
          <cell r="E315" t="str">
            <v>ADVANTAGE KUPANG</v>
          </cell>
          <cell r="F315">
            <v>2</v>
          </cell>
          <cell r="G315" t="str">
            <v>04-Denpasar</v>
          </cell>
          <cell r="H315" t="str">
            <v>B</v>
          </cell>
          <cell r="I315" t="str">
            <v>CRM</v>
          </cell>
          <cell r="J315" t="str">
            <v>Kupang</v>
          </cell>
          <cell r="K315" t="str">
            <v>Bali Nusra</v>
          </cell>
          <cell r="L315" t="str">
            <v xml:space="preserve">MON-SUN </v>
          </cell>
          <cell r="M315" t="str">
            <v>(00:00 - 23:59)</v>
          </cell>
          <cell r="N315">
            <v>0</v>
          </cell>
          <cell r="O315">
            <v>0</v>
          </cell>
          <cell r="P315">
            <v>0</v>
          </cell>
          <cell r="Q315">
            <v>1440</v>
          </cell>
        </row>
        <row r="316">
          <cell r="B316" t="str">
            <v>Z0P8</v>
          </cell>
          <cell r="C316" t="str">
            <v>Yunarius Raynold Gege</v>
          </cell>
          <cell r="D316" t="str">
            <v>PT MSM</v>
          </cell>
          <cell r="E316" t="str">
            <v>KUPANG</v>
          </cell>
          <cell r="F316">
            <v>4</v>
          </cell>
          <cell r="G316" t="str">
            <v>04-Denpasar</v>
          </cell>
          <cell r="H316" t="str">
            <v>B</v>
          </cell>
          <cell r="I316" t="str">
            <v>CRM</v>
          </cell>
          <cell r="J316" t="str">
            <v>Kupang</v>
          </cell>
          <cell r="K316" t="str">
            <v>Bali Nusra</v>
          </cell>
          <cell r="L316" t="str">
            <v xml:space="preserve">MON-SUN </v>
          </cell>
          <cell r="M316" t="str">
            <v>(00:00 - 23:59)</v>
          </cell>
          <cell r="N316">
            <v>0</v>
          </cell>
          <cell r="O316">
            <v>0</v>
          </cell>
          <cell r="P316">
            <v>0</v>
          </cell>
          <cell r="Q316">
            <v>1440</v>
          </cell>
        </row>
        <row r="317">
          <cell r="B317" t="str">
            <v>Z0Q3</v>
          </cell>
          <cell r="C317" t="str">
            <v>Revaldi Resha Wardhana</v>
          </cell>
          <cell r="D317" t="str">
            <v>Gatot Subroto Barat</v>
          </cell>
          <cell r="E317" t="str">
            <v>ABACUS BALI</v>
          </cell>
          <cell r="F317">
            <v>1</v>
          </cell>
          <cell r="G317" t="str">
            <v>04-Denpasar</v>
          </cell>
          <cell r="H317" t="str">
            <v>B</v>
          </cell>
          <cell r="I317" t="str">
            <v>CRM</v>
          </cell>
          <cell r="J317" t="str">
            <v>Denpasar</v>
          </cell>
          <cell r="K317" t="str">
            <v>Bali Nusra</v>
          </cell>
          <cell r="L317" t="str">
            <v xml:space="preserve">MON-SUN </v>
          </cell>
          <cell r="M317" t="str">
            <v>(00:00 - 23:59)</v>
          </cell>
          <cell r="N317">
            <v>0</v>
          </cell>
          <cell r="O317">
            <v>0</v>
          </cell>
          <cell r="P317">
            <v>0</v>
          </cell>
          <cell r="Q317">
            <v>1440</v>
          </cell>
        </row>
        <row r="318">
          <cell r="B318" t="str">
            <v>Z0Q4</v>
          </cell>
          <cell r="C318" t="str">
            <v>Revaldi Resha Wardhana</v>
          </cell>
          <cell r="D318" t="str">
            <v>Gatot Subroto Barat</v>
          </cell>
          <cell r="E318" t="str">
            <v>ABACUS BALI</v>
          </cell>
          <cell r="F318">
            <v>1</v>
          </cell>
          <cell r="G318" t="str">
            <v>04-Denpasar</v>
          </cell>
          <cell r="H318" t="str">
            <v>B</v>
          </cell>
          <cell r="I318" t="str">
            <v>CRM</v>
          </cell>
          <cell r="J318" t="str">
            <v>Denpasar</v>
          </cell>
          <cell r="K318" t="str">
            <v>Bali Nusra</v>
          </cell>
          <cell r="L318" t="str">
            <v xml:space="preserve">MON-SUN </v>
          </cell>
          <cell r="M318" t="str">
            <v>(00:00 - 23:59)</v>
          </cell>
          <cell r="N318">
            <v>2</v>
          </cell>
          <cell r="O318">
            <v>19</v>
          </cell>
          <cell r="P318">
            <v>1.32</v>
          </cell>
          <cell r="Q318">
            <v>1440</v>
          </cell>
        </row>
        <row r="319">
          <cell r="B319" t="str">
            <v>Z10Y</v>
          </cell>
          <cell r="C319" t="str">
            <v>Yunarius Raynold Gege</v>
          </cell>
          <cell r="D319" t="str">
            <v>Kupang</v>
          </cell>
          <cell r="E319" t="str">
            <v>KUPANG</v>
          </cell>
          <cell r="F319">
            <v>1</v>
          </cell>
          <cell r="G319" t="str">
            <v>04-Denpasar</v>
          </cell>
          <cell r="H319" t="str">
            <v>B</v>
          </cell>
          <cell r="I319" t="str">
            <v>CRM</v>
          </cell>
          <cell r="J319" t="str">
            <v>Kupang</v>
          </cell>
          <cell r="K319" t="str">
            <v>Bali Nusra</v>
          </cell>
          <cell r="L319" t="str">
            <v xml:space="preserve">MON-SUN </v>
          </cell>
          <cell r="M319" t="str">
            <v>(00:00 - 23:59)</v>
          </cell>
          <cell r="N319">
            <v>0</v>
          </cell>
          <cell r="O319">
            <v>0</v>
          </cell>
          <cell r="P319">
            <v>0</v>
          </cell>
          <cell r="Q319">
            <v>1440</v>
          </cell>
        </row>
        <row r="320">
          <cell r="B320" t="str">
            <v>Z10Z</v>
          </cell>
          <cell r="C320" t="str">
            <v>Yunarius Raynold Gege</v>
          </cell>
          <cell r="D320" t="str">
            <v>Kupang</v>
          </cell>
          <cell r="E320" t="str">
            <v>ADVANTAGE KUPANG</v>
          </cell>
          <cell r="F320">
            <v>1</v>
          </cell>
          <cell r="G320" t="str">
            <v>04-Denpasar</v>
          </cell>
          <cell r="H320" t="str">
            <v>B</v>
          </cell>
          <cell r="I320" t="str">
            <v>CRM</v>
          </cell>
          <cell r="J320" t="str">
            <v>Kupang</v>
          </cell>
          <cell r="K320" t="str">
            <v>Bali Nusra</v>
          </cell>
          <cell r="L320" t="str">
            <v xml:space="preserve">MON-SUN </v>
          </cell>
          <cell r="M320" t="str">
            <v>(00:00 - 23:59)</v>
          </cell>
          <cell r="N320">
            <v>0</v>
          </cell>
          <cell r="O320">
            <v>0</v>
          </cell>
          <cell r="P320">
            <v>0</v>
          </cell>
          <cell r="Q320">
            <v>1440</v>
          </cell>
        </row>
        <row r="321">
          <cell r="B321" t="str">
            <v>Z11K</v>
          </cell>
          <cell r="C321" t="str">
            <v>Bambang Yuniarko</v>
          </cell>
          <cell r="D321" t="str">
            <v>Kerobokan</v>
          </cell>
          <cell r="E321" t="str">
            <v>ABACUS BALI</v>
          </cell>
          <cell r="F321">
            <v>1</v>
          </cell>
          <cell r="G321" t="str">
            <v>04-Denpasar</v>
          </cell>
          <cell r="H321" t="str">
            <v>B</v>
          </cell>
          <cell r="I321" t="str">
            <v>CRM</v>
          </cell>
          <cell r="J321" t="str">
            <v>Denpasar</v>
          </cell>
          <cell r="K321" t="str">
            <v>Bali Nusra</v>
          </cell>
          <cell r="L321" t="str">
            <v xml:space="preserve">MON-SUN </v>
          </cell>
          <cell r="M321" t="str">
            <v>(00:00 - 23:59)</v>
          </cell>
          <cell r="N321">
            <v>0</v>
          </cell>
          <cell r="O321">
            <v>0</v>
          </cell>
          <cell r="P321">
            <v>0</v>
          </cell>
          <cell r="Q321">
            <v>1440</v>
          </cell>
        </row>
        <row r="322">
          <cell r="B322" t="str">
            <v>Z11Q</v>
          </cell>
          <cell r="C322" t="str">
            <v>Muhammad Hidayatullah</v>
          </cell>
          <cell r="D322" t="str">
            <v>Lombok Timur</v>
          </cell>
          <cell r="E322" t="str">
            <v>ADVANTAGE CAKRANEGARA</v>
          </cell>
          <cell r="F322">
            <v>1</v>
          </cell>
          <cell r="G322" t="str">
            <v>04-Denpasar</v>
          </cell>
          <cell r="H322" t="str">
            <v>B</v>
          </cell>
          <cell r="I322" t="str">
            <v>CRM</v>
          </cell>
          <cell r="J322" t="str">
            <v>Lombok Timur</v>
          </cell>
          <cell r="K322" t="str">
            <v>Bali Nusra</v>
          </cell>
          <cell r="L322" t="str">
            <v xml:space="preserve">MON-SUN </v>
          </cell>
          <cell r="M322" t="str">
            <v>(00:00 - 23:59)</v>
          </cell>
          <cell r="N322">
            <v>0</v>
          </cell>
          <cell r="O322">
            <v>0</v>
          </cell>
          <cell r="P322">
            <v>0</v>
          </cell>
          <cell r="Q322">
            <v>1440</v>
          </cell>
        </row>
        <row r="323">
          <cell r="B323" t="str">
            <v>Z11R</v>
          </cell>
          <cell r="C323" t="str">
            <v>Muhammad Hidayatullah</v>
          </cell>
          <cell r="D323" t="str">
            <v>Lombok Timur</v>
          </cell>
          <cell r="E323" t="str">
            <v>ADVANTAGE CAKRANEGARA</v>
          </cell>
          <cell r="F323">
            <v>1</v>
          </cell>
          <cell r="G323" t="str">
            <v>04-Denpasar</v>
          </cell>
          <cell r="H323" t="str">
            <v>B</v>
          </cell>
          <cell r="I323" t="str">
            <v>CRM</v>
          </cell>
          <cell r="J323" t="str">
            <v>Lombok Timur</v>
          </cell>
          <cell r="K323" t="str">
            <v>Bali Nusra</v>
          </cell>
          <cell r="L323" t="str">
            <v xml:space="preserve">MON-SUN </v>
          </cell>
          <cell r="M323" t="str">
            <v>(00:00 - 23:59)</v>
          </cell>
          <cell r="N323">
            <v>1</v>
          </cell>
          <cell r="O323">
            <v>13</v>
          </cell>
          <cell r="P323">
            <v>0.9</v>
          </cell>
          <cell r="Q323">
            <v>1440</v>
          </cell>
        </row>
        <row r="324">
          <cell r="B324" t="str">
            <v>Z14T</v>
          </cell>
          <cell r="C324" t="str">
            <v>Arif Rahman Hakim</v>
          </cell>
          <cell r="D324" t="str">
            <v>By Pass Mumbul</v>
          </cell>
          <cell r="E324" t="str">
            <v>ABACUS BALI</v>
          </cell>
          <cell r="F324">
            <v>1</v>
          </cell>
          <cell r="G324" t="str">
            <v>04-Denpasar</v>
          </cell>
          <cell r="H324" t="str">
            <v>B</v>
          </cell>
          <cell r="I324" t="str">
            <v>CRM</v>
          </cell>
          <cell r="J324" t="str">
            <v>Denpasar</v>
          </cell>
          <cell r="K324" t="str">
            <v>Bali Nusra</v>
          </cell>
          <cell r="L324" t="str">
            <v xml:space="preserve">MON-SUN </v>
          </cell>
          <cell r="M324" t="str">
            <v>(00:00 - 23:59)</v>
          </cell>
          <cell r="N324">
            <v>0</v>
          </cell>
          <cell r="O324">
            <v>0</v>
          </cell>
          <cell r="P324">
            <v>0</v>
          </cell>
          <cell r="Q324">
            <v>1440</v>
          </cell>
        </row>
        <row r="325">
          <cell r="B325" t="str">
            <v>Z14W</v>
          </cell>
          <cell r="C325" t="str">
            <v>Arif Rahman Hakim</v>
          </cell>
          <cell r="D325" t="str">
            <v>By Pass Mumbul</v>
          </cell>
          <cell r="E325" t="str">
            <v>ABACUS BALI</v>
          </cell>
          <cell r="F325">
            <v>1</v>
          </cell>
          <cell r="G325" t="str">
            <v>04-Denpasar</v>
          </cell>
          <cell r="H325" t="str">
            <v>B</v>
          </cell>
          <cell r="I325" t="str">
            <v>CRM</v>
          </cell>
          <cell r="J325" t="str">
            <v>Denpasar</v>
          </cell>
          <cell r="K325" t="str">
            <v>Bali Nusra</v>
          </cell>
          <cell r="L325" t="str">
            <v xml:space="preserve">MON-SUN </v>
          </cell>
          <cell r="M325" t="str">
            <v>(00:00 - 23:59)</v>
          </cell>
          <cell r="N325">
            <v>0</v>
          </cell>
          <cell r="O325">
            <v>0</v>
          </cell>
          <cell r="P325">
            <v>0</v>
          </cell>
          <cell r="Q325">
            <v>1440</v>
          </cell>
        </row>
        <row r="326">
          <cell r="B326" t="str">
            <v>Z15Q</v>
          </cell>
          <cell r="C326" t="str">
            <v>Rio Erdiansyah</v>
          </cell>
          <cell r="D326" t="str">
            <v>Seririt</v>
          </cell>
          <cell r="E326" t="str">
            <v>ABACUS BALI</v>
          </cell>
          <cell r="F326">
            <v>2</v>
          </cell>
          <cell r="G326" t="str">
            <v>04-Denpasar</v>
          </cell>
          <cell r="H326" t="str">
            <v>B</v>
          </cell>
          <cell r="I326" t="str">
            <v>CRM</v>
          </cell>
          <cell r="J326" t="str">
            <v>Singaraja</v>
          </cell>
          <cell r="K326" t="str">
            <v>Bali Nusra</v>
          </cell>
          <cell r="L326" t="str">
            <v xml:space="preserve">MON-SUN </v>
          </cell>
          <cell r="M326" t="str">
            <v>(00:00 - 23:59)</v>
          </cell>
          <cell r="N326">
            <v>0</v>
          </cell>
          <cell r="O326">
            <v>0</v>
          </cell>
          <cell r="P326">
            <v>0</v>
          </cell>
          <cell r="Q326">
            <v>1440</v>
          </cell>
        </row>
        <row r="327">
          <cell r="B327" t="str">
            <v>Z15T</v>
          </cell>
          <cell r="C327" t="str">
            <v>Rio Erdiansyah</v>
          </cell>
          <cell r="D327" t="str">
            <v>Singaraja</v>
          </cell>
          <cell r="E327" t="str">
            <v>ABACUS BALI</v>
          </cell>
          <cell r="F327">
            <v>1</v>
          </cell>
          <cell r="G327" t="str">
            <v>04-Denpasar</v>
          </cell>
          <cell r="H327" t="str">
            <v>B</v>
          </cell>
          <cell r="I327" t="str">
            <v>CRM</v>
          </cell>
          <cell r="J327" t="str">
            <v>Singaraja</v>
          </cell>
          <cell r="K327" t="str">
            <v>Bali Nusra</v>
          </cell>
          <cell r="L327" t="str">
            <v xml:space="preserve">MON-SUN </v>
          </cell>
          <cell r="M327" t="str">
            <v>(00:00 - 23:59)</v>
          </cell>
          <cell r="N327">
            <v>0</v>
          </cell>
          <cell r="O327">
            <v>0</v>
          </cell>
          <cell r="P327">
            <v>0</v>
          </cell>
          <cell r="Q327">
            <v>1440</v>
          </cell>
        </row>
        <row r="328">
          <cell r="B328" t="str">
            <v>Z15U</v>
          </cell>
          <cell r="C328" t="str">
            <v>Rio Erdiansyah</v>
          </cell>
          <cell r="D328" t="str">
            <v>Singaraja</v>
          </cell>
          <cell r="E328" t="str">
            <v>ABACUS BALI</v>
          </cell>
          <cell r="F328">
            <v>1</v>
          </cell>
          <cell r="G328" t="str">
            <v>04-Denpasar</v>
          </cell>
          <cell r="H328" t="str">
            <v>B</v>
          </cell>
          <cell r="I328" t="str">
            <v>CRM</v>
          </cell>
          <cell r="J328" t="str">
            <v>Singaraja</v>
          </cell>
          <cell r="K328" t="str">
            <v>Bali Nusra</v>
          </cell>
          <cell r="L328" t="str">
            <v xml:space="preserve">MON-SUN </v>
          </cell>
          <cell r="M328" t="str">
            <v>(00:00 - 23:59)</v>
          </cell>
          <cell r="N328">
            <v>0</v>
          </cell>
          <cell r="O328">
            <v>0</v>
          </cell>
          <cell r="P328">
            <v>0</v>
          </cell>
          <cell r="Q328">
            <v>1440</v>
          </cell>
        </row>
        <row r="329">
          <cell r="B329" t="str">
            <v>Z15V</v>
          </cell>
          <cell r="C329" t="str">
            <v>Rio Erdiansyah</v>
          </cell>
          <cell r="D329" t="str">
            <v>Singaraja</v>
          </cell>
          <cell r="E329" t="str">
            <v>ABACUS BALI</v>
          </cell>
          <cell r="F329">
            <v>1</v>
          </cell>
          <cell r="G329" t="str">
            <v>04-Denpasar</v>
          </cell>
          <cell r="H329" t="str">
            <v>B</v>
          </cell>
          <cell r="I329" t="str">
            <v>CRM</v>
          </cell>
          <cell r="J329" t="str">
            <v>Singaraja</v>
          </cell>
          <cell r="K329" t="str">
            <v>Bali Nusra</v>
          </cell>
          <cell r="L329" t="str">
            <v xml:space="preserve">MON-SUN </v>
          </cell>
          <cell r="M329" t="str">
            <v>(00:00 - 23:59)</v>
          </cell>
          <cell r="N329">
            <v>0</v>
          </cell>
          <cell r="O329">
            <v>0</v>
          </cell>
          <cell r="P329">
            <v>0</v>
          </cell>
          <cell r="Q329">
            <v>1440</v>
          </cell>
        </row>
        <row r="330">
          <cell r="B330" t="str">
            <v>Z16J</v>
          </cell>
          <cell r="C330" t="str">
            <v>Lalu Riswan Hadi</v>
          </cell>
          <cell r="D330" t="str">
            <v>Sriwijaya</v>
          </cell>
          <cell r="E330" t="str">
            <v>ADVANTAGE CAKRANEGARA</v>
          </cell>
          <cell r="F330">
            <v>1</v>
          </cell>
          <cell r="G330" t="str">
            <v>04-Denpasar</v>
          </cell>
          <cell r="H330" t="str">
            <v>B</v>
          </cell>
          <cell r="I330" t="str">
            <v>CRM</v>
          </cell>
          <cell r="J330" t="str">
            <v>Mataram</v>
          </cell>
          <cell r="K330" t="str">
            <v>Bali Nusra</v>
          </cell>
          <cell r="L330" t="str">
            <v xml:space="preserve">MON-SUN </v>
          </cell>
          <cell r="M330" t="str">
            <v>(00:00 - 23:59)</v>
          </cell>
          <cell r="N330">
            <v>3</v>
          </cell>
          <cell r="O330">
            <v>103</v>
          </cell>
          <cell r="P330">
            <v>7.15</v>
          </cell>
          <cell r="Q330">
            <v>1440</v>
          </cell>
        </row>
        <row r="331">
          <cell r="B331" t="str">
            <v>Z1N0</v>
          </cell>
          <cell r="C331" t="str">
            <v>I Putu Dendy Pratama</v>
          </cell>
          <cell r="D331" t="str">
            <v>IDM Kepaon Indah</v>
          </cell>
          <cell r="E331" t="str">
            <v>ABACUS BALI</v>
          </cell>
          <cell r="F331">
            <v>1</v>
          </cell>
          <cell r="G331" t="str">
            <v>04-Denpasar</v>
          </cell>
          <cell r="H331" t="str">
            <v>B</v>
          </cell>
          <cell r="I331" t="str">
            <v>CRM</v>
          </cell>
          <cell r="J331" t="str">
            <v>Denpasar</v>
          </cell>
          <cell r="K331" t="str">
            <v>Bali Nusra</v>
          </cell>
          <cell r="L331" t="str">
            <v xml:space="preserve">MON-SUN </v>
          </cell>
          <cell r="M331" t="str">
            <v>(00:00 - 23:59)</v>
          </cell>
          <cell r="N331">
            <v>0</v>
          </cell>
          <cell r="O331">
            <v>0</v>
          </cell>
          <cell r="P331">
            <v>0</v>
          </cell>
          <cell r="Q331">
            <v>1440</v>
          </cell>
        </row>
        <row r="332">
          <cell r="B332" t="str">
            <v>Z1Q7</v>
          </cell>
          <cell r="C332" t="str">
            <v>Revaldi Resha Wardhana</v>
          </cell>
          <cell r="D332" t="str">
            <v>Dhana Mart Intaran</v>
          </cell>
          <cell r="E332" t="str">
            <v>ANDALAN BALI</v>
          </cell>
          <cell r="F332">
            <v>1</v>
          </cell>
          <cell r="G332" t="str">
            <v>04-Denpasar</v>
          </cell>
          <cell r="H332" t="str">
            <v>B</v>
          </cell>
          <cell r="I332" t="str">
            <v>CRM</v>
          </cell>
          <cell r="J332" t="str">
            <v>Denpasar</v>
          </cell>
          <cell r="K332" t="str">
            <v>Bali Nusra</v>
          </cell>
          <cell r="L332" t="str">
            <v xml:space="preserve">MON-SUN </v>
          </cell>
          <cell r="M332" t="str">
            <v>(06:00 - 23:00)</v>
          </cell>
          <cell r="N332">
            <v>0</v>
          </cell>
          <cell r="O332">
            <v>0</v>
          </cell>
          <cell r="P332">
            <v>0</v>
          </cell>
          <cell r="Q332">
            <v>1020</v>
          </cell>
        </row>
        <row r="333">
          <cell r="B333" t="str">
            <v>Z1T1</v>
          </cell>
          <cell r="C333" t="str">
            <v>Yohanes Yeximus Tritanto</v>
          </cell>
          <cell r="D333" t="str">
            <v>Alfa Batu Cermin</v>
          </cell>
          <cell r="E333" t="str">
            <v>KUPANG</v>
          </cell>
          <cell r="F333">
            <v>1</v>
          </cell>
          <cell r="G333" t="str">
            <v>04-Denpasar</v>
          </cell>
          <cell r="H333" t="str">
            <v>B</v>
          </cell>
          <cell r="I333" t="str">
            <v>CRM</v>
          </cell>
          <cell r="J333" t="str">
            <v>Ende</v>
          </cell>
          <cell r="K333" t="str">
            <v>Bali Nusra</v>
          </cell>
          <cell r="L333" t="str">
            <v xml:space="preserve">MON-SUN </v>
          </cell>
          <cell r="M333" t="str">
            <v>(00:00 - 23:59)</v>
          </cell>
          <cell r="N333">
            <v>0</v>
          </cell>
          <cell r="O333">
            <v>0</v>
          </cell>
          <cell r="P333">
            <v>0</v>
          </cell>
          <cell r="Q333">
            <v>1440</v>
          </cell>
        </row>
        <row r="334">
          <cell r="B334" t="str">
            <v>Z1T7</v>
          </cell>
          <cell r="C334" t="str">
            <v>Revaldi Resha Wardhana</v>
          </cell>
          <cell r="D334" t="str">
            <v>Alfa Green Kori</v>
          </cell>
          <cell r="E334" t="str">
            <v>ABACUS BALI</v>
          </cell>
          <cell r="F334">
            <v>1</v>
          </cell>
          <cell r="G334" t="str">
            <v>04-Denpasar</v>
          </cell>
          <cell r="H334" t="str">
            <v>B</v>
          </cell>
          <cell r="I334" t="str">
            <v>CRM</v>
          </cell>
          <cell r="J334" t="str">
            <v>Denpasar</v>
          </cell>
          <cell r="K334" t="str">
            <v>Bali Nusra</v>
          </cell>
          <cell r="L334" t="str">
            <v xml:space="preserve">MON-SUN </v>
          </cell>
          <cell r="M334" t="str">
            <v>(07:00 - 22:00)</v>
          </cell>
          <cell r="N334">
            <v>0</v>
          </cell>
          <cell r="O334">
            <v>0</v>
          </cell>
          <cell r="P334">
            <v>0</v>
          </cell>
          <cell r="Q334">
            <v>900</v>
          </cell>
        </row>
        <row r="335">
          <cell r="B335" t="str">
            <v>Z1ZA</v>
          </cell>
          <cell r="C335" t="str">
            <v>Lalu Riswan Hadi</v>
          </cell>
          <cell r="D335" t="str">
            <v>GBI Mataram</v>
          </cell>
          <cell r="E335" t="str">
            <v>ADVANTAGE CAKRANEGARA</v>
          </cell>
          <cell r="F335">
            <v>1</v>
          </cell>
          <cell r="G335" t="str">
            <v>04-Denpasar</v>
          </cell>
          <cell r="H335" t="str">
            <v>B</v>
          </cell>
          <cell r="I335" t="str">
            <v>CRM</v>
          </cell>
          <cell r="J335" t="str">
            <v>Mataram</v>
          </cell>
          <cell r="K335" t="str">
            <v>Bali Nusra</v>
          </cell>
          <cell r="L335" t="str">
            <v xml:space="preserve">MON-SUN </v>
          </cell>
          <cell r="M335" t="str">
            <v>(00:00 - 23:59)</v>
          </cell>
          <cell r="N335">
            <v>0</v>
          </cell>
          <cell r="O335">
            <v>0</v>
          </cell>
          <cell r="P335">
            <v>0</v>
          </cell>
          <cell r="Q335">
            <v>1440</v>
          </cell>
        </row>
        <row r="336">
          <cell r="B336" t="str">
            <v>Z23C</v>
          </cell>
          <cell r="C336" t="str">
            <v>Furqan</v>
          </cell>
          <cell r="D336" t="str">
            <v>Alfa Rabangodu Utara</v>
          </cell>
          <cell r="E336" t="str">
            <v>SSI BIMA</v>
          </cell>
          <cell r="F336">
            <v>1</v>
          </cell>
          <cell r="G336" t="str">
            <v>04-Denpasar</v>
          </cell>
          <cell r="H336" t="str">
            <v>B</v>
          </cell>
          <cell r="I336" t="str">
            <v>CRM</v>
          </cell>
          <cell r="J336" t="str">
            <v>Bima</v>
          </cell>
          <cell r="K336" t="str">
            <v>Bali Nusra</v>
          </cell>
          <cell r="L336" t="str">
            <v xml:space="preserve">MON-SUN </v>
          </cell>
          <cell r="M336" t="str">
            <v>(00:00 - 23:59)</v>
          </cell>
          <cell r="N336">
            <v>0</v>
          </cell>
          <cell r="O336">
            <v>0</v>
          </cell>
          <cell r="P336">
            <v>0</v>
          </cell>
          <cell r="Q336">
            <v>1440</v>
          </cell>
        </row>
        <row r="337">
          <cell r="B337" t="str">
            <v>Z23E</v>
          </cell>
          <cell r="C337" t="str">
            <v>Muhammad Rifki R</v>
          </cell>
          <cell r="D337" t="str">
            <v>Sumbawa Besar</v>
          </cell>
          <cell r="E337" t="str">
            <v>SSI SUMBAWA</v>
          </cell>
          <cell r="F337">
            <v>1</v>
          </cell>
          <cell r="G337" t="str">
            <v>04-Denpasar</v>
          </cell>
          <cell r="H337" t="str">
            <v>B</v>
          </cell>
          <cell r="I337" t="str">
            <v>CRM</v>
          </cell>
          <cell r="J337" t="str">
            <v>Sumbawa</v>
          </cell>
          <cell r="K337" t="str">
            <v>Bali Nusra</v>
          </cell>
          <cell r="L337" t="str">
            <v xml:space="preserve">MON-SUN </v>
          </cell>
          <cell r="M337" t="str">
            <v>(00:00 - 23:59)</v>
          </cell>
          <cell r="N337">
            <v>0</v>
          </cell>
          <cell r="O337">
            <v>0</v>
          </cell>
          <cell r="P337">
            <v>0</v>
          </cell>
          <cell r="Q337">
            <v>1440</v>
          </cell>
        </row>
        <row r="338">
          <cell r="B338" t="str">
            <v>Z23F</v>
          </cell>
          <cell r="C338" t="str">
            <v>Muhammad Rifki R</v>
          </cell>
          <cell r="D338" t="str">
            <v>Sumbawa Besar</v>
          </cell>
          <cell r="E338" t="str">
            <v>SSI SUMBAWA</v>
          </cell>
          <cell r="F338">
            <v>1</v>
          </cell>
          <cell r="G338" t="str">
            <v>04-Denpasar</v>
          </cell>
          <cell r="H338" t="str">
            <v>B</v>
          </cell>
          <cell r="I338" t="str">
            <v>CRM</v>
          </cell>
          <cell r="J338" t="str">
            <v>Sumbawa</v>
          </cell>
          <cell r="K338" t="str">
            <v>Bali Nusra</v>
          </cell>
          <cell r="L338" t="str">
            <v xml:space="preserve">MON-SUN </v>
          </cell>
          <cell r="M338" t="str">
            <v>(00:00 - 23:59)</v>
          </cell>
          <cell r="N338">
            <v>0</v>
          </cell>
          <cell r="O338">
            <v>0</v>
          </cell>
          <cell r="P338">
            <v>0</v>
          </cell>
          <cell r="Q338">
            <v>1440</v>
          </cell>
        </row>
        <row r="339">
          <cell r="B339" t="str">
            <v>Z24C</v>
          </cell>
          <cell r="C339" t="str">
            <v>Revaldi Resha Wardhana</v>
          </cell>
          <cell r="D339" t="str">
            <v>Crystal Mart Cargo</v>
          </cell>
          <cell r="E339" t="str">
            <v>ABACUS BALI</v>
          </cell>
          <cell r="F339">
            <v>1</v>
          </cell>
          <cell r="G339" t="str">
            <v>04-Denpasar</v>
          </cell>
          <cell r="H339" t="str">
            <v>B</v>
          </cell>
          <cell r="I339" t="str">
            <v>CRM</v>
          </cell>
          <cell r="J339" t="str">
            <v>Denpasar</v>
          </cell>
          <cell r="K339" t="str">
            <v>Bali Nusra</v>
          </cell>
          <cell r="L339" t="str">
            <v xml:space="preserve">MON-SUN </v>
          </cell>
          <cell r="M339" t="str">
            <v>(00:00 - 23:59)</v>
          </cell>
          <cell r="N339">
            <v>0</v>
          </cell>
          <cell r="O339">
            <v>0</v>
          </cell>
          <cell r="P339">
            <v>0</v>
          </cell>
          <cell r="Q339">
            <v>1440</v>
          </cell>
        </row>
        <row r="340">
          <cell r="B340" t="str">
            <v>Z24M</v>
          </cell>
          <cell r="C340" t="str">
            <v>Muhammad Gufron Sofyan</v>
          </cell>
          <cell r="D340" t="str">
            <v>IDM Melaya</v>
          </cell>
          <cell r="E340" t="str">
            <v>ABACUS BALI</v>
          </cell>
          <cell r="F340">
            <v>2</v>
          </cell>
          <cell r="G340" t="str">
            <v>04-Denpasar</v>
          </cell>
          <cell r="H340" t="str">
            <v>B</v>
          </cell>
          <cell r="I340" t="str">
            <v>CRM</v>
          </cell>
          <cell r="J340" t="str">
            <v>Negara</v>
          </cell>
          <cell r="K340" t="str">
            <v>Bali Nusra</v>
          </cell>
          <cell r="L340" t="str">
            <v xml:space="preserve">MON-SUN </v>
          </cell>
          <cell r="M340" t="str">
            <v>(07:00 - 22:00)</v>
          </cell>
          <cell r="N340">
            <v>0</v>
          </cell>
          <cell r="O340">
            <v>0</v>
          </cell>
          <cell r="P340">
            <v>0</v>
          </cell>
          <cell r="Q340">
            <v>900</v>
          </cell>
        </row>
        <row r="341">
          <cell r="B341" t="str">
            <v>Z263</v>
          </cell>
          <cell r="C341" t="str">
            <v>Suhel Risdianto</v>
          </cell>
          <cell r="D341" t="str">
            <v>Level 21 Denpasar</v>
          </cell>
          <cell r="E341" t="str">
            <v>ANDALAN BALI</v>
          </cell>
          <cell r="F341">
            <v>1</v>
          </cell>
          <cell r="G341" t="str">
            <v>04-Denpasar</v>
          </cell>
          <cell r="H341" t="str">
            <v>B</v>
          </cell>
          <cell r="I341" t="str">
            <v>CRM</v>
          </cell>
          <cell r="J341" t="str">
            <v>Denpasar</v>
          </cell>
          <cell r="K341" t="str">
            <v>Bali Nusra</v>
          </cell>
          <cell r="L341" t="str">
            <v xml:space="preserve">MON-SUN </v>
          </cell>
          <cell r="M341" t="str">
            <v>(07:00 - 22:00)</v>
          </cell>
          <cell r="N341">
            <v>0</v>
          </cell>
          <cell r="O341">
            <v>0</v>
          </cell>
          <cell r="P341">
            <v>0</v>
          </cell>
          <cell r="Q341">
            <v>900</v>
          </cell>
        </row>
        <row r="342">
          <cell r="B342" t="str">
            <v>Z2FB</v>
          </cell>
          <cell r="C342" t="str">
            <v>Leonardo A Ruly</v>
          </cell>
          <cell r="D342" t="str">
            <v>IDM Oesao</v>
          </cell>
          <cell r="E342" t="str">
            <v>ADVANTAGE KUPANG</v>
          </cell>
          <cell r="F342">
            <v>1</v>
          </cell>
          <cell r="G342" t="str">
            <v>04-Denpasar</v>
          </cell>
          <cell r="H342" t="str">
            <v>B</v>
          </cell>
          <cell r="I342" t="str">
            <v>CRM</v>
          </cell>
          <cell r="J342" t="str">
            <v>Kupang</v>
          </cell>
          <cell r="K342" t="str">
            <v>Bali Nusra</v>
          </cell>
          <cell r="L342" t="str">
            <v xml:space="preserve">MON-SUN </v>
          </cell>
          <cell r="M342" t="str">
            <v>(06:00 - 23:00)</v>
          </cell>
          <cell r="N342">
            <v>0</v>
          </cell>
          <cell r="O342">
            <v>0</v>
          </cell>
          <cell r="P342">
            <v>0</v>
          </cell>
          <cell r="Q342">
            <v>1020</v>
          </cell>
        </row>
        <row r="343">
          <cell r="B343" t="str">
            <v>Z2FC</v>
          </cell>
          <cell r="C343" t="str">
            <v>Lalu Riswan Hadi</v>
          </cell>
          <cell r="D343" t="str">
            <v>Praya</v>
          </cell>
          <cell r="E343" t="str">
            <v>ADVANTAGE CAKRANEGARA</v>
          </cell>
          <cell r="F343">
            <v>1</v>
          </cell>
          <cell r="G343" t="str">
            <v>04-Denpasar</v>
          </cell>
          <cell r="H343" t="str">
            <v>B</v>
          </cell>
          <cell r="I343" t="str">
            <v>CRM</v>
          </cell>
          <cell r="J343" t="str">
            <v>Mataram</v>
          </cell>
          <cell r="K343" t="str">
            <v>Bali Nusra</v>
          </cell>
          <cell r="L343" t="str">
            <v xml:space="preserve">MON-SUN </v>
          </cell>
          <cell r="M343" t="str">
            <v>(00:00 - 23:59)</v>
          </cell>
          <cell r="N343">
            <v>0</v>
          </cell>
          <cell r="O343">
            <v>0</v>
          </cell>
          <cell r="P343">
            <v>0</v>
          </cell>
          <cell r="Q343">
            <v>1440</v>
          </cell>
        </row>
        <row r="344">
          <cell r="B344" t="str">
            <v>Z2H2</v>
          </cell>
          <cell r="C344" t="str">
            <v>Farozan Ali Fahmi</v>
          </cell>
          <cell r="D344" t="str">
            <v>Gatot Subroto Timur</v>
          </cell>
          <cell r="E344" t="str">
            <v>ABACUS BALI</v>
          </cell>
          <cell r="F344">
            <v>1</v>
          </cell>
          <cell r="G344" t="str">
            <v>04-Denpasar</v>
          </cell>
          <cell r="H344" t="str">
            <v>B</v>
          </cell>
          <cell r="I344" t="str">
            <v>CRM</v>
          </cell>
          <cell r="J344" t="str">
            <v>Denpasar</v>
          </cell>
          <cell r="K344" t="str">
            <v>Bali Nusra</v>
          </cell>
          <cell r="L344" t="str">
            <v xml:space="preserve">MON-SUN </v>
          </cell>
          <cell r="M344" t="str">
            <v>(00:00 - 23:59)</v>
          </cell>
          <cell r="N344">
            <v>0</v>
          </cell>
          <cell r="O344">
            <v>0</v>
          </cell>
          <cell r="P344">
            <v>0</v>
          </cell>
          <cell r="Q344">
            <v>1440</v>
          </cell>
        </row>
        <row r="345">
          <cell r="B345" t="str">
            <v>Z2H3</v>
          </cell>
          <cell r="C345" t="str">
            <v>Farozan Ali Fahmi</v>
          </cell>
          <cell r="D345" t="str">
            <v>Gatot Subroto Timur</v>
          </cell>
          <cell r="E345" t="str">
            <v>ABACUS BALI</v>
          </cell>
          <cell r="F345">
            <v>1</v>
          </cell>
          <cell r="G345" t="str">
            <v>04-Denpasar</v>
          </cell>
          <cell r="H345" t="str">
            <v>B</v>
          </cell>
          <cell r="I345" t="str">
            <v>CRM</v>
          </cell>
          <cell r="J345" t="str">
            <v>Denpasar</v>
          </cell>
          <cell r="K345" t="str">
            <v>Bali Nusra</v>
          </cell>
          <cell r="L345" t="str">
            <v xml:space="preserve">MON-SUN </v>
          </cell>
          <cell r="M345" t="str">
            <v>(00:00 - 23:59)</v>
          </cell>
          <cell r="N345">
            <v>0</v>
          </cell>
          <cell r="O345">
            <v>0</v>
          </cell>
          <cell r="P345">
            <v>0</v>
          </cell>
          <cell r="Q345">
            <v>1440</v>
          </cell>
        </row>
        <row r="346">
          <cell r="B346" t="str">
            <v>Z2H4</v>
          </cell>
          <cell r="C346" t="str">
            <v>Farozan Ali Fahmi</v>
          </cell>
          <cell r="D346" t="str">
            <v>Gatot Subroto Timur</v>
          </cell>
          <cell r="E346" t="str">
            <v>ABACUS BALI</v>
          </cell>
          <cell r="F346">
            <v>1</v>
          </cell>
          <cell r="G346" t="str">
            <v>04-Denpasar</v>
          </cell>
          <cell r="H346" t="str">
            <v>B</v>
          </cell>
          <cell r="I346" t="str">
            <v>CRM</v>
          </cell>
          <cell r="J346" t="str">
            <v>Denpasar</v>
          </cell>
          <cell r="K346" t="str">
            <v>Bali Nusra</v>
          </cell>
          <cell r="L346" t="str">
            <v xml:space="preserve">MON-SUN </v>
          </cell>
          <cell r="M346" t="str">
            <v>(00:00 - 23:59)</v>
          </cell>
          <cell r="N346">
            <v>0</v>
          </cell>
          <cell r="O346">
            <v>0</v>
          </cell>
          <cell r="P346">
            <v>0</v>
          </cell>
          <cell r="Q346">
            <v>1440</v>
          </cell>
        </row>
        <row r="347">
          <cell r="B347" t="str">
            <v>Z3BE</v>
          </cell>
          <cell r="C347" t="str">
            <v>I Putu Dendy Pratama</v>
          </cell>
          <cell r="D347" t="str">
            <v>EBC Beachwalk CRM 1</v>
          </cell>
          <cell r="E347" t="str">
            <v>ABACUS BALI</v>
          </cell>
          <cell r="F347">
            <v>1</v>
          </cell>
          <cell r="G347" t="str">
            <v>04-Denpasar</v>
          </cell>
          <cell r="H347" t="str">
            <v>B</v>
          </cell>
          <cell r="I347" t="str">
            <v>CRM</v>
          </cell>
          <cell r="J347" t="str">
            <v>Denpasar</v>
          </cell>
          <cell r="K347" t="str">
            <v>Bali Nusra</v>
          </cell>
          <cell r="L347" t="str">
            <v xml:space="preserve">MON-SUN </v>
          </cell>
          <cell r="M347" t="str">
            <v>(09:00 - 22:00)</v>
          </cell>
          <cell r="N347">
            <v>0</v>
          </cell>
          <cell r="O347">
            <v>0</v>
          </cell>
          <cell r="P347">
            <v>0</v>
          </cell>
          <cell r="Q347">
            <v>780</v>
          </cell>
        </row>
        <row r="348">
          <cell r="B348" t="str">
            <v>Z3NR</v>
          </cell>
          <cell r="C348" t="str">
            <v>I Putu Dendy Pratama</v>
          </cell>
          <cell r="D348" t="str">
            <v>Pasar Kuta</v>
          </cell>
          <cell r="E348" t="str">
            <v>ABACUS BALI</v>
          </cell>
          <cell r="F348">
            <v>1</v>
          </cell>
          <cell r="G348" t="str">
            <v>04-Denpasar</v>
          </cell>
          <cell r="H348" t="str">
            <v>B</v>
          </cell>
          <cell r="I348" t="str">
            <v>CRM</v>
          </cell>
          <cell r="J348" t="str">
            <v>Denpasar</v>
          </cell>
          <cell r="K348" t="str">
            <v>Bali Nusra</v>
          </cell>
          <cell r="L348" t="str">
            <v xml:space="preserve">MON-SUN </v>
          </cell>
          <cell r="M348" t="str">
            <v>(00:00 - 23:59)</v>
          </cell>
          <cell r="N348">
            <v>0</v>
          </cell>
          <cell r="O348">
            <v>0</v>
          </cell>
          <cell r="P348">
            <v>0</v>
          </cell>
          <cell r="Q348">
            <v>1440</v>
          </cell>
        </row>
        <row r="349">
          <cell r="B349" t="str">
            <v>Z3NU</v>
          </cell>
          <cell r="C349" t="str">
            <v>Yunarius Raynold Gege</v>
          </cell>
          <cell r="D349" t="str">
            <v>Siliwangi Kupang CRM 1</v>
          </cell>
          <cell r="E349" t="str">
            <v>ADVANTAGE KUPANG</v>
          </cell>
          <cell r="F349">
            <v>1</v>
          </cell>
          <cell r="G349" t="str">
            <v>04-Denpasar</v>
          </cell>
          <cell r="H349" t="str">
            <v>B</v>
          </cell>
          <cell r="I349" t="str">
            <v>CRM</v>
          </cell>
          <cell r="J349" t="str">
            <v>Kupang</v>
          </cell>
          <cell r="K349" t="str">
            <v>Bali Nusra</v>
          </cell>
          <cell r="L349" t="str">
            <v xml:space="preserve">MON-SUN </v>
          </cell>
          <cell r="M349" t="str">
            <v>(00:00 - 23:59)</v>
          </cell>
          <cell r="N349">
            <v>0</v>
          </cell>
          <cell r="O349">
            <v>0</v>
          </cell>
          <cell r="P349">
            <v>0</v>
          </cell>
          <cell r="Q349">
            <v>1440</v>
          </cell>
        </row>
        <row r="350">
          <cell r="B350" t="str">
            <v>Z3NV</v>
          </cell>
          <cell r="C350" t="str">
            <v>Leonardo A Ruly</v>
          </cell>
          <cell r="D350" t="str">
            <v>Siliwangi Kupang CRM 2</v>
          </cell>
          <cell r="E350" t="str">
            <v>ADVANTAGE KUPANG</v>
          </cell>
          <cell r="F350">
            <v>1</v>
          </cell>
          <cell r="G350" t="str">
            <v>04-Denpasar</v>
          </cell>
          <cell r="H350" t="str">
            <v>B</v>
          </cell>
          <cell r="I350" t="str">
            <v>CRM</v>
          </cell>
          <cell r="J350" t="str">
            <v>Kupang</v>
          </cell>
          <cell r="K350" t="str">
            <v>Bali Nusra</v>
          </cell>
          <cell r="L350" t="str">
            <v xml:space="preserve">MON-SUN </v>
          </cell>
          <cell r="M350" t="str">
            <v>(00:00 - 23:59)</v>
          </cell>
          <cell r="N350">
            <v>0</v>
          </cell>
          <cell r="O350">
            <v>0</v>
          </cell>
          <cell r="P350">
            <v>0</v>
          </cell>
          <cell r="Q350">
            <v>1440</v>
          </cell>
        </row>
        <row r="351">
          <cell r="B351" t="str">
            <v>Z3TZ</v>
          </cell>
          <cell r="C351" t="str">
            <v>Lalu Riswan Hadi</v>
          </cell>
          <cell r="D351" t="str">
            <v>Sriwijaya</v>
          </cell>
          <cell r="E351" t="str">
            <v>ADVANTAGE CAKRANEGARA</v>
          </cell>
          <cell r="F351">
            <v>1</v>
          </cell>
          <cell r="G351" t="str">
            <v>04-Denpasar</v>
          </cell>
          <cell r="H351" t="str">
            <v>B</v>
          </cell>
          <cell r="I351" t="str">
            <v>CRM</v>
          </cell>
          <cell r="J351" t="str">
            <v>Mataram</v>
          </cell>
          <cell r="K351" t="str">
            <v>Bali Nusra</v>
          </cell>
          <cell r="L351" t="str">
            <v xml:space="preserve">MON-SUN </v>
          </cell>
          <cell r="M351" t="str">
            <v>(00:00 - 23:59)</v>
          </cell>
          <cell r="N351">
            <v>2</v>
          </cell>
          <cell r="O351">
            <v>79</v>
          </cell>
          <cell r="P351">
            <v>5.49</v>
          </cell>
          <cell r="Q351">
            <v>1440</v>
          </cell>
        </row>
        <row r="352">
          <cell r="B352" t="str">
            <v>Z4CB</v>
          </cell>
          <cell r="C352" t="str">
            <v>Revaldi Resha Wardhana</v>
          </cell>
          <cell r="D352" t="str">
            <v>Arys Mikro Nangka Utara</v>
          </cell>
          <cell r="E352" t="str">
            <v>ABACUS BALI</v>
          </cell>
          <cell r="F352">
            <v>1</v>
          </cell>
          <cell r="G352" t="str">
            <v>04-Denpasar</v>
          </cell>
          <cell r="H352" t="str">
            <v>B</v>
          </cell>
          <cell r="I352" t="str">
            <v>CRM</v>
          </cell>
          <cell r="J352" t="str">
            <v>Denpasar</v>
          </cell>
          <cell r="K352" t="str">
            <v>Bali Nusra</v>
          </cell>
          <cell r="L352" t="str">
            <v xml:space="preserve">MON-SUN </v>
          </cell>
          <cell r="M352" t="str">
            <v>(00:00 - 23:59)</v>
          </cell>
          <cell r="N352">
            <v>0</v>
          </cell>
          <cell r="O352">
            <v>0</v>
          </cell>
          <cell r="P352">
            <v>0</v>
          </cell>
          <cell r="Q352">
            <v>1440</v>
          </cell>
        </row>
        <row r="353">
          <cell r="B353" t="str">
            <v>Z4UL</v>
          </cell>
          <cell r="C353" t="str">
            <v>I Putu Dendy Pratama</v>
          </cell>
          <cell r="D353" t="str">
            <v>Mall Bali Galeria CRM 1</v>
          </cell>
          <cell r="E353" t="str">
            <v>ABACUS BALI</v>
          </cell>
          <cell r="F353">
            <v>1</v>
          </cell>
          <cell r="G353" t="str">
            <v>04-Denpasar</v>
          </cell>
          <cell r="H353" t="str">
            <v>B</v>
          </cell>
          <cell r="I353" t="str">
            <v>CRM</v>
          </cell>
          <cell r="J353" t="str">
            <v>Denpasar</v>
          </cell>
          <cell r="K353" t="str">
            <v>Bali Nusra</v>
          </cell>
          <cell r="L353" t="str">
            <v xml:space="preserve">MON-SUN </v>
          </cell>
          <cell r="M353" t="str">
            <v>(09:00 - 21:00)</v>
          </cell>
          <cell r="N353">
            <v>0</v>
          </cell>
          <cell r="O353">
            <v>0</v>
          </cell>
          <cell r="P353">
            <v>0</v>
          </cell>
          <cell r="Q353">
            <v>720</v>
          </cell>
        </row>
        <row r="354">
          <cell r="B354" t="str">
            <v>Z4VY</v>
          </cell>
          <cell r="C354" t="str">
            <v>Eko Adi Sugiyantoro</v>
          </cell>
          <cell r="D354" t="str">
            <v>Canggu CRM 1</v>
          </cell>
          <cell r="E354" t="str">
            <v>ABACUS BALI</v>
          </cell>
          <cell r="F354">
            <v>1</v>
          </cell>
          <cell r="G354" t="str">
            <v>04-Denpasar</v>
          </cell>
          <cell r="H354" t="str">
            <v>B</v>
          </cell>
          <cell r="I354" t="str">
            <v>CRM</v>
          </cell>
          <cell r="J354" t="str">
            <v>Denpasar</v>
          </cell>
          <cell r="K354" t="str">
            <v>Bali Nusra</v>
          </cell>
          <cell r="L354" t="str">
            <v xml:space="preserve">MON-SUN </v>
          </cell>
          <cell r="M354" t="str">
            <v>(00:00 - 23:59)</v>
          </cell>
          <cell r="N354">
            <v>0</v>
          </cell>
          <cell r="O354">
            <v>0</v>
          </cell>
          <cell r="P354">
            <v>0</v>
          </cell>
          <cell r="Q354">
            <v>1440</v>
          </cell>
        </row>
        <row r="355">
          <cell r="B355" t="str">
            <v>Z4WB</v>
          </cell>
          <cell r="C355" t="str">
            <v>Alparizi</v>
          </cell>
          <cell r="D355" t="str">
            <v>Ampenan</v>
          </cell>
          <cell r="E355" t="str">
            <v>ADVANTAGE CAKRANEGARA</v>
          </cell>
          <cell r="F355">
            <v>1</v>
          </cell>
          <cell r="G355" t="str">
            <v>04-Denpasar</v>
          </cell>
          <cell r="H355" t="str">
            <v>B</v>
          </cell>
          <cell r="I355" t="str">
            <v>CRM</v>
          </cell>
          <cell r="J355" t="str">
            <v>Mataram</v>
          </cell>
          <cell r="K355" t="str">
            <v>Bali Nusra</v>
          </cell>
          <cell r="L355" t="str">
            <v xml:space="preserve">MON-SUN </v>
          </cell>
          <cell r="M355" t="str">
            <v>(00:00 - 23:59)</v>
          </cell>
          <cell r="N355">
            <v>0</v>
          </cell>
          <cell r="O355">
            <v>0</v>
          </cell>
          <cell r="P355">
            <v>0</v>
          </cell>
          <cell r="Q355">
            <v>1440</v>
          </cell>
        </row>
        <row r="356">
          <cell r="B356" t="str">
            <v>Z4WD</v>
          </cell>
          <cell r="C356" t="str">
            <v>Farozan Ali Fahmi</v>
          </cell>
          <cell r="D356" t="str">
            <v>Renon</v>
          </cell>
          <cell r="E356" t="str">
            <v>ANDALAN BALI</v>
          </cell>
          <cell r="F356">
            <v>1</v>
          </cell>
          <cell r="G356" t="str">
            <v>04-Denpasar</v>
          </cell>
          <cell r="H356" t="str">
            <v>B</v>
          </cell>
          <cell r="I356" t="str">
            <v>CRM</v>
          </cell>
          <cell r="J356" t="str">
            <v>Denpasar</v>
          </cell>
          <cell r="K356" t="str">
            <v>Bali Nusra</v>
          </cell>
          <cell r="L356" t="str">
            <v xml:space="preserve">MON-SUN </v>
          </cell>
          <cell r="M356" t="str">
            <v>(00:00 - 23:59)</v>
          </cell>
          <cell r="N356">
            <v>0</v>
          </cell>
          <cell r="O356">
            <v>0</v>
          </cell>
          <cell r="P356">
            <v>0</v>
          </cell>
          <cell r="Q356">
            <v>1440</v>
          </cell>
        </row>
        <row r="357">
          <cell r="B357" t="str">
            <v>Z4WF</v>
          </cell>
          <cell r="C357" t="str">
            <v>Adi Irawan</v>
          </cell>
          <cell r="D357" t="str">
            <v>Sweta</v>
          </cell>
          <cell r="E357" t="str">
            <v>ADVANTAGE CAKRANEGARA</v>
          </cell>
          <cell r="F357">
            <v>1</v>
          </cell>
          <cell r="G357" t="str">
            <v>04-Denpasar</v>
          </cell>
          <cell r="H357" t="str">
            <v>B</v>
          </cell>
          <cell r="I357" t="str">
            <v>CRM</v>
          </cell>
          <cell r="J357" t="str">
            <v>Mataram</v>
          </cell>
          <cell r="K357" t="str">
            <v>Bali Nusra</v>
          </cell>
          <cell r="L357" t="str">
            <v xml:space="preserve">MON-SUN </v>
          </cell>
          <cell r="M357" t="str">
            <v>(00:00 - 23:59)</v>
          </cell>
          <cell r="N357">
            <v>2</v>
          </cell>
          <cell r="O357">
            <v>54</v>
          </cell>
          <cell r="P357">
            <v>3.75</v>
          </cell>
          <cell r="Q357">
            <v>1440</v>
          </cell>
        </row>
        <row r="358">
          <cell r="B358" t="str">
            <v>Z4WJ</v>
          </cell>
          <cell r="C358" t="str">
            <v>I Putu Dendy Pratama</v>
          </cell>
          <cell r="D358" t="str">
            <v>Mahendradata</v>
          </cell>
          <cell r="E358" t="str">
            <v>ABACUS BALI</v>
          </cell>
          <cell r="F358">
            <v>1</v>
          </cell>
          <cell r="G358" t="str">
            <v>04-Denpasar</v>
          </cell>
          <cell r="H358" t="str">
            <v>B</v>
          </cell>
          <cell r="I358" t="str">
            <v>CRM</v>
          </cell>
          <cell r="J358" t="str">
            <v>Denpasar</v>
          </cell>
          <cell r="K358" t="str">
            <v>Bali Nusra</v>
          </cell>
          <cell r="L358" t="str">
            <v xml:space="preserve">MON-SUN </v>
          </cell>
          <cell r="M358" t="str">
            <v>(00:00 - 23:59)</v>
          </cell>
          <cell r="N358">
            <v>0</v>
          </cell>
          <cell r="O358">
            <v>0</v>
          </cell>
          <cell r="P358">
            <v>0</v>
          </cell>
          <cell r="Q358">
            <v>1440</v>
          </cell>
        </row>
        <row r="359">
          <cell r="B359" t="str">
            <v>Z4XL</v>
          </cell>
          <cell r="C359" t="str">
            <v>Farozan Ali Fahmi</v>
          </cell>
          <cell r="D359" t="str">
            <v>Gianyar</v>
          </cell>
          <cell r="E359" t="str">
            <v>ABACUS BALI</v>
          </cell>
          <cell r="F359">
            <v>2</v>
          </cell>
          <cell r="G359" t="str">
            <v>04-Denpasar</v>
          </cell>
          <cell r="H359" t="str">
            <v>B</v>
          </cell>
          <cell r="I359" t="str">
            <v>CRM</v>
          </cell>
          <cell r="J359" t="str">
            <v>Denpasar</v>
          </cell>
          <cell r="K359" t="str">
            <v>Bali Nusra</v>
          </cell>
          <cell r="L359" t="str">
            <v xml:space="preserve">MON-SUN </v>
          </cell>
          <cell r="M359" t="str">
            <v>(00:00 - 23:59)</v>
          </cell>
          <cell r="N359">
            <v>0</v>
          </cell>
          <cell r="O359">
            <v>0</v>
          </cell>
          <cell r="P359">
            <v>0</v>
          </cell>
          <cell r="Q359">
            <v>1440</v>
          </cell>
        </row>
        <row r="360">
          <cell r="B360" t="str">
            <v>Z4XT</v>
          </cell>
          <cell r="C360" t="str">
            <v>Muhammad Hidayatullah</v>
          </cell>
          <cell r="D360" t="str">
            <v>Lombok Timur</v>
          </cell>
          <cell r="E360" t="str">
            <v>ADVANTAGE CAKRANEGARA</v>
          </cell>
          <cell r="F360">
            <v>1</v>
          </cell>
          <cell r="G360" t="str">
            <v>04-Denpasar</v>
          </cell>
          <cell r="H360" t="str">
            <v>B</v>
          </cell>
          <cell r="I360" t="str">
            <v>CRM</v>
          </cell>
          <cell r="J360" t="str">
            <v>Lombok Timur</v>
          </cell>
          <cell r="K360" t="str">
            <v>Bali Nusra</v>
          </cell>
          <cell r="L360" t="str">
            <v xml:space="preserve">MON-SUN </v>
          </cell>
          <cell r="M360" t="str">
            <v>(00:00 - 23:59)</v>
          </cell>
          <cell r="N360">
            <v>1</v>
          </cell>
          <cell r="O360">
            <v>5</v>
          </cell>
          <cell r="P360">
            <v>0.35</v>
          </cell>
          <cell r="Q360">
            <v>1440</v>
          </cell>
        </row>
        <row r="361">
          <cell r="B361" t="str">
            <v>Z5R5</v>
          </cell>
          <cell r="C361" t="str">
            <v>Arif Rahman Hakim</v>
          </cell>
          <cell r="D361" t="str">
            <v>Pecatu</v>
          </cell>
          <cell r="E361" t="str">
            <v>ABACUS BALI</v>
          </cell>
          <cell r="F361">
            <v>1</v>
          </cell>
          <cell r="G361" t="str">
            <v>04-Denpasar</v>
          </cell>
          <cell r="H361" t="str">
            <v>B</v>
          </cell>
          <cell r="I361" t="str">
            <v>CRM</v>
          </cell>
          <cell r="J361" t="str">
            <v>Denpasar</v>
          </cell>
          <cell r="K361" t="str">
            <v>Bali Nusra</v>
          </cell>
          <cell r="L361" t="str">
            <v xml:space="preserve">MON-SUN </v>
          </cell>
          <cell r="M361" t="str">
            <v>(00:00 - 23:59)</v>
          </cell>
          <cell r="N361">
            <v>0</v>
          </cell>
          <cell r="O361">
            <v>0</v>
          </cell>
          <cell r="P361">
            <v>0</v>
          </cell>
          <cell r="Q361">
            <v>1440</v>
          </cell>
        </row>
        <row r="362">
          <cell r="B362" t="str">
            <v>Z5R6</v>
          </cell>
          <cell r="C362" t="str">
            <v>Arif Rahman Hakim</v>
          </cell>
          <cell r="D362" t="str">
            <v>Pecatu</v>
          </cell>
          <cell r="E362" t="str">
            <v>ABACUS BALI</v>
          </cell>
          <cell r="F362">
            <v>1</v>
          </cell>
          <cell r="G362" t="str">
            <v>04-Denpasar</v>
          </cell>
          <cell r="H362" t="str">
            <v>B</v>
          </cell>
          <cell r="I362" t="str">
            <v>CRM</v>
          </cell>
          <cell r="J362" t="str">
            <v>Denpasar</v>
          </cell>
          <cell r="K362" t="str">
            <v>Bali Nusra</v>
          </cell>
          <cell r="L362" t="str">
            <v xml:space="preserve">MON-SUN </v>
          </cell>
          <cell r="M362" t="str">
            <v>(00:00 - 23:59)</v>
          </cell>
          <cell r="N362">
            <v>0</v>
          </cell>
          <cell r="O362">
            <v>0</v>
          </cell>
          <cell r="P362">
            <v>0</v>
          </cell>
          <cell r="Q362">
            <v>1440</v>
          </cell>
        </row>
        <row r="363">
          <cell r="B363" t="str">
            <v>Z5R7</v>
          </cell>
          <cell r="C363" t="str">
            <v>Arif Rahman Hakim</v>
          </cell>
          <cell r="D363" t="str">
            <v>Pecatu</v>
          </cell>
          <cell r="E363" t="str">
            <v>ABACUS BALI</v>
          </cell>
          <cell r="F363">
            <v>1</v>
          </cell>
          <cell r="G363" t="str">
            <v>04-Denpasar</v>
          </cell>
          <cell r="H363" t="str">
            <v>B</v>
          </cell>
          <cell r="I363" t="str">
            <v>CRM</v>
          </cell>
          <cell r="J363" t="str">
            <v>Denpasar</v>
          </cell>
          <cell r="K363" t="str">
            <v>Bali Nusra</v>
          </cell>
          <cell r="L363" t="str">
            <v xml:space="preserve">MON-SUN </v>
          </cell>
          <cell r="M363" t="str">
            <v>(00:00 - 23:59)</v>
          </cell>
          <cell r="N363">
            <v>0</v>
          </cell>
          <cell r="O363">
            <v>0</v>
          </cell>
          <cell r="P363">
            <v>0</v>
          </cell>
          <cell r="Q363">
            <v>1440</v>
          </cell>
        </row>
        <row r="364">
          <cell r="B364" t="str">
            <v>Z7RH</v>
          </cell>
          <cell r="C364" t="str">
            <v>Adi Irawan</v>
          </cell>
          <cell r="D364" t="str">
            <v>Cakranegara</v>
          </cell>
          <cell r="E364" t="str">
            <v>ADVANTAGE CAKRANEGARA</v>
          </cell>
          <cell r="F364">
            <v>1</v>
          </cell>
          <cell r="G364" t="str">
            <v>04-Denpasar</v>
          </cell>
          <cell r="H364" t="str">
            <v>B</v>
          </cell>
          <cell r="I364" t="str">
            <v>CRM</v>
          </cell>
          <cell r="J364" t="str">
            <v>Mataram</v>
          </cell>
          <cell r="K364" t="str">
            <v>Bali Nusra</v>
          </cell>
          <cell r="L364" t="str">
            <v xml:space="preserve">MON-SUN </v>
          </cell>
          <cell r="M364" t="str">
            <v>(00:00 - 23:59)</v>
          </cell>
          <cell r="N364">
            <v>0</v>
          </cell>
          <cell r="O364">
            <v>0</v>
          </cell>
          <cell r="P364">
            <v>0</v>
          </cell>
          <cell r="Q364">
            <v>1440</v>
          </cell>
        </row>
        <row r="365">
          <cell r="B365" t="str">
            <v>Z7RJ</v>
          </cell>
          <cell r="C365" t="str">
            <v>Adi Irawan</v>
          </cell>
          <cell r="D365" t="str">
            <v>Cakranegara</v>
          </cell>
          <cell r="E365" t="str">
            <v>ADVANTAGE CAKRANEGARA</v>
          </cell>
          <cell r="F365">
            <v>1</v>
          </cell>
          <cell r="G365" t="str">
            <v>04-Denpasar</v>
          </cell>
          <cell r="H365" t="str">
            <v>B</v>
          </cell>
          <cell r="I365" t="str">
            <v>CRM</v>
          </cell>
          <cell r="J365" t="str">
            <v>Mataram</v>
          </cell>
          <cell r="K365" t="str">
            <v>Bali Nusra</v>
          </cell>
          <cell r="L365" t="str">
            <v xml:space="preserve">MON-SUN </v>
          </cell>
          <cell r="M365" t="str">
            <v>(00:00 - 23:59)</v>
          </cell>
          <cell r="N365">
            <v>0</v>
          </cell>
          <cell r="O365">
            <v>0</v>
          </cell>
          <cell r="P365">
            <v>0</v>
          </cell>
          <cell r="Q365">
            <v>1440</v>
          </cell>
        </row>
        <row r="366">
          <cell r="B366" t="str">
            <v>Z7TR</v>
          </cell>
          <cell r="C366" t="str">
            <v>Muhammad Gufron Sofyan</v>
          </cell>
          <cell r="D366" t="str">
            <v>Negara</v>
          </cell>
          <cell r="E366" t="str">
            <v>ABACUS BALI</v>
          </cell>
          <cell r="F366">
            <v>1</v>
          </cell>
          <cell r="G366" t="str">
            <v>04-Denpasar</v>
          </cell>
          <cell r="H366" t="str">
            <v>B</v>
          </cell>
          <cell r="I366" t="str">
            <v>CRM</v>
          </cell>
          <cell r="J366" t="str">
            <v>Negara</v>
          </cell>
          <cell r="K366" t="str">
            <v>Bali Nusra</v>
          </cell>
          <cell r="L366" t="str">
            <v xml:space="preserve">MON-SUN </v>
          </cell>
          <cell r="M366" t="str">
            <v>(00:00 - 23:59)</v>
          </cell>
          <cell r="N366">
            <v>0</v>
          </cell>
          <cell r="O366">
            <v>0</v>
          </cell>
          <cell r="P366">
            <v>0</v>
          </cell>
          <cell r="Q366">
            <v>1440</v>
          </cell>
        </row>
        <row r="367">
          <cell r="B367" t="str">
            <v>Z7Z6</v>
          </cell>
          <cell r="C367" t="str">
            <v>Muhammad Gufron Sofyan</v>
          </cell>
          <cell r="D367" t="str">
            <v>ATM Center Penyaringan</v>
          </cell>
          <cell r="E367" t="str">
            <v>ABACUS BALI</v>
          </cell>
          <cell r="F367">
            <v>1</v>
          </cell>
          <cell r="G367" t="str">
            <v>04-Denpasar</v>
          </cell>
          <cell r="H367" t="str">
            <v>B</v>
          </cell>
          <cell r="I367" t="str">
            <v>CRM</v>
          </cell>
          <cell r="J367" t="str">
            <v>Negara</v>
          </cell>
          <cell r="K367" t="str">
            <v>Bali Nusra</v>
          </cell>
          <cell r="L367" t="str">
            <v xml:space="preserve">MON-SUN </v>
          </cell>
          <cell r="M367" t="str">
            <v>(00:00 - 23:59)</v>
          </cell>
          <cell r="N367">
            <v>0</v>
          </cell>
          <cell r="O367">
            <v>0</v>
          </cell>
          <cell r="P367">
            <v>0</v>
          </cell>
          <cell r="Q367">
            <v>1440</v>
          </cell>
        </row>
        <row r="368">
          <cell r="B368" t="str">
            <v>Z832</v>
          </cell>
          <cell r="C368" t="str">
            <v>Revaldi Resha Wardhana</v>
          </cell>
          <cell r="D368" t="str">
            <v>Gatot Subroto Dps</v>
          </cell>
          <cell r="E368" t="str">
            <v>ABACUS BALI</v>
          </cell>
          <cell r="F368">
            <v>1</v>
          </cell>
          <cell r="G368" t="str">
            <v>04-Denpasar</v>
          </cell>
          <cell r="H368" t="str">
            <v>B</v>
          </cell>
          <cell r="I368" t="str">
            <v>CRM</v>
          </cell>
          <cell r="J368" t="str">
            <v>Denpasar</v>
          </cell>
          <cell r="K368" t="str">
            <v>Bali Nusra</v>
          </cell>
          <cell r="L368" t="str">
            <v xml:space="preserve">MON-SUN </v>
          </cell>
          <cell r="M368" t="str">
            <v>(00:00 - 23:59)</v>
          </cell>
          <cell r="N368">
            <v>0</v>
          </cell>
          <cell r="O368">
            <v>0</v>
          </cell>
          <cell r="P368">
            <v>0</v>
          </cell>
          <cell r="Q368">
            <v>1440</v>
          </cell>
        </row>
        <row r="369">
          <cell r="B369" t="str">
            <v>Z833</v>
          </cell>
          <cell r="C369" t="str">
            <v>Revaldi Resha Wardhana</v>
          </cell>
          <cell r="D369" t="str">
            <v>Gatot Subroto Dps</v>
          </cell>
          <cell r="E369" t="str">
            <v>ABACUS BALI</v>
          </cell>
          <cell r="F369">
            <v>1</v>
          </cell>
          <cell r="G369" t="str">
            <v>04-Denpasar</v>
          </cell>
          <cell r="H369" t="str">
            <v>B</v>
          </cell>
          <cell r="I369" t="str">
            <v>CRM</v>
          </cell>
          <cell r="J369" t="str">
            <v>Denpasar</v>
          </cell>
          <cell r="K369" t="str">
            <v>Bali Nusra</v>
          </cell>
          <cell r="L369" t="str">
            <v xml:space="preserve">MON-SUN </v>
          </cell>
          <cell r="M369" t="str">
            <v>(00:00 - 23:59)</v>
          </cell>
          <cell r="N369">
            <v>0</v>
          </cell>
          <cell r="O369">
            <v>0</v>
          </cell>
          <cell r="P369">
            <v>0</v>
          </cell>
          <cell r="Q369">
            <v>1440</v>
          </cell>
        </row>
        <row r="370">
          <cell r="B370" t="str">
            <v>Z836</v>
          </cell>
          <cell r="C370" t="str">
            <v>Farozan Ali Fahmi</v>
          </cell>
          <cell r="D370" t="str">
            <v>Klungkung</v>
          </cell>
          <cell r="E370" t="str">
            <v>ABACUS BALI</v>
          </cell>
          <cell r="F370">
            <v>2</v>
          </cell>
          <cell r="G370" t="str">
            <v>04-Denpasar</v>
          </cell>
          <cell r="H370" t="str">
            <v>B</v>
          </cell>
          <cell r="I370" t="str">
            <v>CRM</v>
          </cell>
          <cell r="J370" t="str">
            <v>Denpasar</v>
          </cell>
          <cell r="K370" t="str">
            <v>Bali Nusra</v>
          </cell>
          <cell r="L370" t="str">
            <v xml:space="preserve">MON-SUN </v>
          </cell>
          <cell r="M370" t="str">
            <v>(00:00 - 23:59)</v>
          </cell>
          <cell r="N370">
            <v>0</v>
          </cell>
          <cell r="O370">
            <v>0</v>
          </cell>
          <cell r="P370">
            <v>0</v>
          </cell>
          <cell r="Q370">
            <v>1440</v>
          </cell>
        </row>
        <row r="371">
          <cell r="B371" t="str">
            <v>Z837</v>
          </cell>
          <cell r="C371" t="str">
            <v>Farozan Ali Fahmi</v>
          </cell>
          <cell r="D371" t="str">
            <v>Klungkung</v>
          </cell>
          <cell r="E371" t="str">
            <v>ABACUS BALI</v>
          </cell>
          <cell r="F371">
            <v>2</v>
          </cell>
          <cell r="G371" t="str">
            <v>04-Denpasar</v>
          </cell>
          <cell r="H371" t="str">
            <v>B</v>
          </cell>
          <cell r="I371" t="str">
            <v>CRM</v>
          </cell>
          <cell r="J371" t="str">
            <v>Denpasar</v>
          </cell>
          <cell r="K371" t="str">
            <v>Bali Nusra</v>
          </cell>
          <cell r="L371" t="str">
            <v xml:space="preserve">MON-SUN </v>
          </cell>
          <cell r="M371" t="str">
            <v>(00:00 - 23:59)</v>
          </cell>
          <cell r="N371">
            <v>0</v>
          </cell>
          <cell r="O371">
            <v>0</v>
          </cell>
          <cell r="P371">
            <v>0</v>
          </cell>
          <cell r="Q371">
            <v>1440</v>
          </cell>
        </row>
        <row r="372">
          <cell r="B372" t="str">
            <v>Z840</v>
          </cell>
          <cell r="C372" t="str">
            <v>Suhel Risdianto</v>
          </cell>
          <cell r="D372" t="str">
            <v>Maluku</v>
          </cell>
          <cell r="E372" t="str">
            <v>ANDALAN BALI</v>
          </cell>
          <cell r="F372">
            <v>1</v>
          </cell>
          <cell r="G372" t="str">
            <v>04-Denpasar</v>
          </cell>
          <cell r="H372" t="str">
            <v>B</v>
          </cell>
          <cell r="I372" t="str">
            <v>CRM</v>
          </cell>
          <cell r="J372" t="str">
            <v>Denpasar</v>
          </cell>
          <cell r="K372" t="str">
            <v>Bali Nusra</v>
          </cell>
          <cell r="L372" t="str">
            <v xml:space="preserve">MON-SUN </v>
          </cell>
          <cell r="M372" t="str">
            <v>(00:00 - 23:59)</v>
          </cell>
          <cell r="N372">
            <v>0</v>
          </cell>
          <cell r="O372">
            <v>0</v>
          </cell>
          <cell r="P372">
            <v>0</v>
          </cell>
          <cell r="Q372">
            <v>1440</v>
          </cell>
        </row>
        <row r="373">
          <cell r="B373" t="str">
            <v>Z841</v>
          </cell>
          <cell r="C373" t="str">
            <v>Suhel Risdianto</v>
          </cell>
          <cell r="D373" t="str">
            <v>Maluku</v>
          </cell>
          <cell r="E373" t="str">
            <v>ANDALAN BALI</v>
          </cell>
          <cell r="F373">
            <v>1</v>
          </cell>
          <cell r="G373" t="str">
            <v>04-Denpasar</v>
          </cell>
          <cell r="H373" t="str">
            <v>B</v>
          </cell>
          <cell r="I373" t="str">
            <v>CRM</v>
          </cell>
          <cell r="J373" t="str">
            <v>Denpasar</v>
          </cell>
          <cell r="K373" t="str">
            <v>Bali Nusra</v>
          </cell>
          <cell r="L373" t="str">
            <v xml:space="preserve">MON-SUN </v>
          </cell>
          <cell r="M373" t="str">
            <v>(00:00 - 23:59)</v>
          </cell>
          <cell r="N373">
            <v>0</v>
          </cell>
          <cell r="O373">
            <v>0</v>
          </cell>
          <cell r="P373">
            <v>0</v>
          </cell>
          <cell r="Q373">
            <v>1440</v>
          </cell>
        </row>
        <row r="374">
          <cell r="B374" t="str">
            <v>Z843</v>
          </cell>
          <cell r="C374" t="str">
            <v>Farozan Ali Fahmi</v>
          </cell>
          <cell r="D374" t="str">
            <v>Gianyar</v>
          </cell>
          <cell r="E374" t="str">
            <v>ABACUS BALI</v>
          </cell>
          <cell r="F374">
            <v>2</v>
          </cell>
          <cell r="G374" t="str">
            <v>04-Denpasar</v>
          </cell>
          <cell r="H374" t="str">
            <v>B</v>
          </cell>
          <cell r="I374" t="str">
            <v>CRM</v>
          </cell>
          <cell r="J374" t="str">
            <v>Denpasar</v>
          </cell>
          <cell r="K374" t="str">
            <v>Bali Nusra</v>
          </cell>
          <cell r="L374" t="str">
            <v xml:space="preserve">MON-SUN </v>
          </cell>
          <cell r="M374" t="str">
            <v>(00:00 - 23:59)</v>
          </cell>
          <cell r="N374">
            <v>0</v>
          </cell>
          <cell r="O374">
            <v>0</v>
          </cell>
          <cell r="P374">
            <v>0</v>
          </cell>
          <cell r="Q374">
            <v>1440</v>
          </cell>
        </row>
        <row r="375">
          <cell r="B375" t="str">
            <v>Z844</v>
          </cell>
          <cell r="C375" t="str">
            <v>Farozan Ali Fahmi</v>
          </cell>
          <cell r="D375" t="str">
            <v>Gianyar</v>
          </cell>
          <cell r="E375" t="str">
            <v>ABACUS BALI</v>
          </cell>
          <cell r="F375">
            <v>2</v>
          </cell>
          <cell r="G375" t="str">
            <v>04-Denpasar</v>
          </cell>
          <cell r="H375" t="str">
            <v>B</v>
          </cell>
          <cell r="I375" t="str">
            <v>CRM</v>
          </cell>
          <cell r="J375" t="str">
            <v>Denpasar</v>
          </cell>
          <cell r="K375" t="str">
            <v>Bali Nusra</v>
          </cell>
          <cell r="L375" t="str">
            <v xml:space="preserve">MON-SUN </v>
          </cell>
          <cell r="M375" t="str">
            <v>(00:00 - 23:59)</v>
          </cell>
          <cell r="N375">
            <v>1</v>
          </cell>
          <cell r="O375">
            <v>25</v>
          </cell>
          <cell r="P375">
            <v>1.74</v>
          </cell>
          <cell r="Q375">
            <v>1440</v>
          </cell>
        </row>
        <row r="376">
          <cell r="B376" t="str">
            <v>Z847</v>
          </cell>
          <cell r="C376" t="str">
            <v>Suhel Risdianto</v>
          </cell>
          <cell r="D376" t="str">
            <v>Benoa</v>
          </cell>
          <cell r="E376" t="str">
            <v>ABACUS BALI</v>
          </cell>
          <cell r="F376">
            <v>1</v>
          </cell>
          <cell r="G376" t="str">
            <v>04-Denpasar</v>
          </cell>
          <cell r="H376" t="str">
            <v>B</v>
          </cell>
          <cell r="I376" t="str">
            <v>CRM</v>
          </cell>
          <cell r="J376" t="str">
            <v>Denpasar</v>
          </cell>
          <cell r="K376" t="str">
            <v>Bali Nusra</v>
          </cell>
          <cell r="L376" t="str">
            <v xml:space="preserve">MON-SUN </v>
          </cell>
          <cell r="M376" t="str">
            <v>(00:00 - 23:59)</v>
          </cell>
          <cell r="N376">
            <v>0</v>
          </cell>
          <cell r="O376">
            <v>0</v>
          </cell>
          <cell r="P376">
            <v>0</v>
          </cell>
          <cell r="Q376">
            <v>1440</v>
          </cell>
        </row>
        <row r="377">
          <cell r="B377" t="str">
            <v>Z848</v>
          </cell>
          <cell r="C377" t="str">
            <v>Suhel Risdianto</v>
          </cell>
          <cell r="D377" t="str">
            <v>Benoa</v>
          </cell>
          <cell r="E377" t="str">
            <v>ABACUS BALI</v>
          </cell>
          <cell r="F377">
            <v>1</v>
          </cell>
          <cell r="G377" t="str">
            <v>04-Denpasar</v>
          </cell>
          <cell r="H377" t="str">
            <v>B</v>
          </cell>
          <cell r="I377" t="str">
            <v>CRM</v>
          </cell>
          <cell r="J377" t="str">
            <v>Denpasar</v>
          </cell>
          <cell r="K377" t="str">
            <v>Bali Nusra</v>
          </cell>
          <cell r="L377" t="str">
            <v xml:space="preserve">MON-SUN </v>
          </cell>
          <cell r="M377" t="str">
            <v>(00:00 - 23:59)</v>
          </cell>
          <cell r="N377">
            <v>1</v>
          </cell>
          <cell r="O377">
            <v>10</v>
          </cell>
          <cell r="P377">
            <v>0.69</v>
          </cell>
          <cell r="Q377">
            <v>1440</v>
          </cell>
        </row>
        <row r="378">
          <cell r="B378" t="str">
            <v>Z849</v>
          </cell>
          <cell r="C378" t="str">
            <v>Suhel Risdianto</v>
          </cell>
          <cell r="D378" t="str">
            <v>Benoa</v>
          </cell>
          <cell r="E378" t="str">
            <v>ABACUS BALI</v>
          </cell>
          <cell r="F378">
            <v>1</v>
          </cell>
          <cell r="G378" t="str">
            <v>04-Denpasar</v>
          </cell>
          <cell r="H378" t="str">
            <v>B</v>
          </cell>
          <cell r="I378" t="str">
            <v>CRM</v>
          </cell>
          <cell r="J378" t="str">
            <v>Denpasar</v>
          </cell>
          <cell r="K378" t="str">
            <v>Bali Nusra</v>
          </cell>
          <cell r="L378" t="str">
            <v xml:space="preserve">MON-SUN </v>
          </cell>
          <cell r="M378" t="str">
            <v>(00:00 - 23:59)</v>
          </cell>
          <cell r="N378">
            <v>0</v>
          </cell>
          <cell r="O378">
            <v>0</v>
          </cell>
          <cell r="P378">
            <v>0</v>
          </cell>
          <cell r="Q378">
            <v>1440</v>
          </cell>
        </row>
        <row r="379">
          <cell r="B379" t="str">
            <v>Z858</v>
          </cell>
          <cell r="C379" t="str">
            <v>I Putu Dendy Pratama</v>
          </cell>
          <cell r="D379" t="str">
            <v>Raya Kuta - Ccr</v>
          </cell>
          <cell r="E379" t="str">
            <v>ABACUS BALI</v>
          </cell>
          <cell r="F379">
            <v>1</v>
          </cell>
          <cell r="G379" t="str">
            <v>04-Denpasar</v>
          </cell>
          <cell r="H379" t="str">
            <v>B</v>
          </cell>
          <cell r="I379" t="str">
            <v>CRM</v>
          </cell>
          <cell r="J379" t="str">
            <v>Denpasar</v>
          </cell>
          <cell r="K379" t="str">
            <v>Bali Nusra</v>
          </cell>
          <cell r="L379" t="str">
            <v xml:space="preserve">MON-SUN </v>
          </cell>
          <cell r="M379" t="str">
            <v>(00:00 - 23:59)</v>
          </cell>
          <cell r="N379">
            <v>0</v>
          </cell>
          <cell r="O379">
            <v>0</v>
          </cell>
          <cell r="P379">
            <v>0</v>
          </cell>
          <cell r="Q379">
            <v>1440</v>
          </cell>
        </row>
        <row r="380">
          <cell r="B380" t="str">
            <v>Z861</v>
          </cell>
          <cell r="C380" t="str">
            <v>I Putu Dendy Pratama</v>
          </cell>
          <cell r="D380" t="str">
            <v>Sunset Boulevard</v>
          </cell>
          <cell r="E380" t="str">
            <v>ABACUS BALI</v>
          </cell>
          <cell r="F380">
            <v>1</v>
          </cell>
          <cell r="G380" t="str">
            <v>04-Denpasar</v>
          </cell>
          <cell r="H380" t="str">
            <v>B</v>
          </cell>
          <cell r="I380" t="str">
            <v>CRM</v>
          </cell>
          <cell r="J380" t="str">
            <v>Denpasar</v>
          </cell>
          <cell r="K380" t="str">
            <v>Bali Nusra</v>
          </cell>
          <cell r="L380" t="str">
            <v xml:space="preserve">MON-SUN </v>
          </cell>
          <cell r="M380" t="str">
            <v>(00:00 - 23:59)</v>
          </cell>
          <cell r="N380">
            <v>0</v>
          </cell>
          <cell r="O380">
            <v>0</v>
          </cell>
          <cell r="P380">
            <v>0</v>
          </cell>
          <cell r="Q380">
            <v>1440</v>
          </cell>
        </row>
        <row r="381">
          <cell r="B381" t="str">
            <v>Z866</v>
          </cell>
          <cell r="C381" t="str">
            <v>Eko Adi Sugiyantoro</v>
          </cell>
          <cell r="D381" t="str">
            <v>KCP Kas Gajah Mada</v>
          </cell>
          <cell r="E381" t="str">
            <v>ABACUS BALI</v>
          </cell>
          <cell r="F381">
            <v>1</v>
          </cell>
          <cell r="G381" t="str">
            <v>04-Denpasar</v>
          </cell>
          <cell r="H381" t="str">
            <v>B</v>
          </cell>
          <cell r="I381" t="str">
            <v>CRM</v>
          </cell>
          <cell r="J381" t="str">
            <v>Denpasar</v>
          </cell>
          <cell r="K381" t="str">
            <v>Bali Nusra</v>
          </cell>
          <cell r="L381" t="str">
            <v xml:space="preserve">MON-SUN </v>
          </cell>
          <cell r="M381" t="str">
            <v>(00:00 - 23:59)</v>
          </cell>
          <cell r="N381">
            <v>0</v>
          </cell>
          <cell r="O381">
            <v>0</v>
          </cell>
          <cell r="P381">
            <v>0</v>
          </cell>
          <cell r="Q381">
            <v>1440</v>
          </cell>
        </row>
        <row r="382">
          <cell r="B382" t="str">
            <v>Z867</v>
          </cell>
          <cell r="C382" t="str">
            <v>Eko Adi Sugiyantoro</v>
          </cell>
          <cell r="D382" t="str">
            <v>KCP Kas Gajah Mada</v>
          </cell>
          <cell r="E382" t="str">
            <v>ABACUS BALI</v>
          </cell>
          <cell r="F382">
            <v>1</v>
          </cell>
          <cell r="G382" t="str">
            <v>04-Denpasar</v>
          </cell>
          <cell r="H382" t="str">
            <v>B</v>
          </cell>
          <cell r="I382" t="str">
            <v>CRM</v>
          </cell>
          <cell r="J382" t="str">
            <v>Denpasar</v>
          </cell>
          <cell r="K382" t="str">
            <v>Bali Nusra</v>
          </cell>
          <cell r="L382" t="str">
            <v xml:space="preserve">MON-SUN </v>
          </cell>
          <cell r="M382" t="str">
            <v>(00:00 - 23:59)</v>
          </cell>
          <cell r="N382">
            <v>0</v>
          </cell>
          <cell r="O382">
            <v>0</v>
          </cell>
          <cell r="P382">
            <v>0</v>
          </cell>
          <cell r="Q382">
            <v>1440</v>
          </cell>
        </row>
        <row r="383">
          <cell r="B383" t="str">
            <v>ZC06</v>
          </cell>
          <cell r="C383" t="str">
            <v>Rio Erdiansyah</v>
          </cell>
          <cell r="D383" t="str">
            <v>Baturiti</v>
          </cell>
          <cell r="E383" t="str">
            <v>ABACUS BALI</v>
          </cell>
          <cell r="F383">
            <v>2</v>
          </cell>
          <cell r="G383" t="str">
            <v>04-Denpasar</v>
          </cell>
          <cell r="H383" t="str">
            <v>B</v>
          </cell>
          <cell r="I383" t="str">
            <v>CRM</v>
          </cell>
          <cell r="J383" t="str">
            <v>Singaraja</v>
          </cell>
          <cell r="K383" t="str">
            <v>Bali Nusra</v>
          </cell>
          <cell r="L383" t="str">
            <v xml:space="preserve">MON-SUN </v>
          </cell>
          <cell r="M383" t="str">
            <v>(00:00 - 23:59)</v>
          </cell>
          <cell r="N383">
            <v>0</v>
          </cell>
          <cell r="O383">
            <v>0</v>
          </cell>
          <cell r="P383">
            <v>0</v>
          </cell>
          <cell r="Q383">
            <v>1440</v>
          </cell>
        </row>
        <row r="384">
          <cell r="B384" t="str">
            <v>ZC07</v>
          </cell>
          <cell r="C384" t="str">
            <v>Rio Erdiansyah</v>
          </cell>
          <cell r="D384" t="str">
            <v>Baturiti</v>
          </cell>
          <cell r="E384" t="str">
            <v>ABACUS BALI</v>
          </cell>
          <cell r="F384">
            <v>2</v>
          </cell>
          <cell r="G384" t="str">
            <v>04-Denpasar</v>
          </cell>
          <cell r="H384" t="str">
            <v>B</v>
          </cell>
          <cell r="I384" t="str">
            <v>CRM</v>
          </cell>
          <cell r="J384" t="str">
            <v>Singaraja</v>
          </cell>
          <cell r="K384" t="str">
            <v>Bali Nusra</v>
          </cell>
          <cell r="L384" t="str">
            <v xml:space="preserve">MON-SUN </v>
          </cell>
          <cell r="M384" t="str">
            <v>(00:00 - 23:59)</v>
          </cell>
          <cell r="N384">
            <v>0</v>
          </cell>
          <cell r="O384">
            <v>0</v>
          </cell>
          <cell r="P384">
            <v>0</v>
          </cell>
          <cell r="Q384">
            <v>1440</v>
          </cell>
        </row>
        <row r="385">
          <cell r="B385" t="str">
            <v>ZCD2</v>
          </cell>
          <cell r="C385" t="str">
            <v>Rio Erdiansyah</v>
          </cell>
          <cell r="D385" t="str">
            <v>IDM Banyuasri</v>
          </cell>
          <cell r="E385" t="str">
            <v>ABACUS BALI</v>
          </cell>
          <cell r="F385">
            <v>1</v>
          </cell>
          <cell r="G385" t="str">
            <v>04-Denpasar</v>
          </cell>
          <cell r="H385" t="str">
            <v>B</v>
          </cell>
          <cell r="I385" t="str">
            <v>CRM</v>
          </cell>
          <cell r="J385" t="str">
            <v>Singaraja</v>
          </cell>
          <cell r="K385" t="str">
            <v>Bali Nusra</v>
          </cell>
          <cell r="L385" t="str">
            <v xml:space="preserve">MON-SUN </v>
          </cell>
          <cell r="M385" t="str">
            <v>(00:00 - 23:59)</v>
          </cell>
          <cell r="N385">
            <v>0</v>
          </cell>
          <cell r="O385">
            <v>0</v>
          </cell>
          <cell r="P385">
            <v>0</v>
          </cell>
          <cell r="Q385">
            <v>1440</v>
          </cell>
        </row>
        <row r="386">
          <cell r="B386" t="str">
            <v>ZDX5</v>
          </cell>
          <cell r="C386" t="str">
            <v>Eko Adi Sugiyantoro</v>
          </cell>
          <cell r="D386" t="str">
            <v>Alfa Imam Bonjol Tabanan</v>
          </cell>
          <cell r="E386" t="str">
            <v>ABACUS BALI</v>
          </cell>
          <cell r="F386">
            <v>1</v>
          </cell>
          <cell r="G386" t="str">
            <v>04-Denpasar</v>
          </cell>
          <cell r="H386" t="str">
            <v>B</v>
          </cell>
          <cell r="I386" t="str">
            <v>CRM</v>
          </cell>
          <cell r="J386" t="str">
            <v>Denpasar</v>
          </cell>
          <cell r="K386" t="str">
            <v>Bali Nusra</v>
          </cell>
          <cell r="L386" t="str">
            <v xml:space="preserve">MON-SUN </v>
          </cell>
          <cell r="M386" t="str">
            <v>(00:00 - 23:59)</v>
          </cell>
          <cell r="N386">
            <v>2</v>
          </cell>
          <cell r="O386">
            <v>84</v>
          </cell>
          <cell r="P386">
            <v>5.83</v>
          </cell>
          <cell r="Q386">
            <v>1440</v>
          </cell>
        </row>
        <row r="387">
          <cell r="B387" t="str">
            <v>ZDZ5</v>
          </cell>
          <cell r="C387" t="str">
            <v>Farozan Ali Fahmi</v>
          </cell>
          <cell r="D387" t="str">
            <v>Alfa Toko Nesh</v>
          </cell>
          <cell r="E387" t="str">
            <v>ABACUS BALI</v>
          </cell>
          <cell r="F387">
            <v>2</v>
          </cell>
          <cell r="G387" t="str">
            <v>04-Denpasar</v>
          </cell>
          <cell r="H387" t="str">
            <v>B</v>
          </cell>
          <cell r="I387" t="str">
            <v>CRM</v>
          </cell>
          <cell r="J387" t="str">
            <v>Denpasar</v>
          </cell>
          <cell r="K387" t="str">
            <v>Bali Nusra</v>
          </cell>
          <cell r="L387" t="str">
            <v xml:space="preserve">MON-SUN </v>
          </cell>
          <cell r="M387" t="str">
            <v>(06:00 - 22:00)</v>
          </cell>
          <cell r="N387">
            <v>0</v>
          </cell>
          <cell r="O387">
            <v>0</v>
          </cell>
          <cell r="P387">
            <v>0</v>
          </cell>
          <cell r="Q387">
            <v>960</v>
          </cell>
        </row>
        <row r="388">
          <cell r="B388" t="str">
            <v>ZKL9</v>
          </cell>
          <cell r="C388" t="str">
            <v>Eko Adi Sugiyantoro</v>
          </cell>
          <cell r="D388" t="str">
            <v>KCP Kas Dalung</v>
          </cell>
          <cell r="E388" t="str">
            <v>ABACUS BALI</v>
          </cell>
          <cell r="F388">
            <v>1</v>
          </cell>
          <cell r="G388" t="str">
            <v>04-Denpasar</v>
          </cell>
          <cell r="H388" t="str">
            <v>B</v>
          </cell>
          <cell r="I388" t="str">
            <v>CRM</v>
          </cell>
          <cell r="J388" t="str">
            <v>Denpasar</v>
          </cell>
          <cell r="K388" t="str">
            <v>Bali Nusra</v>
          </cell>
          <cell r="L388" t="str">
            <v xml:space="preserve">MON-SUN </v>
          </cell>
          <cell r="M388" t="str">
            <v>(00:00 - 23:59)</v>
          </cell>
          <cell r="N388">
            <v>0</v>
          </cell>
          <cell r="O388">
            <v>0</v>
          </cell>
          <cell r="P388">
            <v>0</v>
          </cell>
          <cell r="Q388">
            <v>1440</v>
          </cell>
        </row>
        <row r="389">
          <cell r="B389" t="str">
            <v>ZKP9</v>
          </cell>
          <cell r="C389" t="str">
            <v>Yunarius Raynold Gege</v>
          </cell>
          <cell r="D389" t="str">
            <v>IDM H.R.Koroh</v>
          </cell>
          <cell r="E389" t="str">
            <v>ADVANTAGE KUPANG</v>
          </cell>
          <cell r="F389">
            <v>1</v>
          </cell>
          <cell r="G389" t="str">
            <v>04-Denpasar</v>
          </cell>
          <cell r="H389" t="str">
            <v>B</v>
          </cell>
          <cell r="I389" t="str">
            <v>CRM</v>
          </cell>
          <cell r="J389" t="str">
            <v>Kupang</v>
          </cell>
          <cell r="K389" t="str">
            <v>Bali Nusra</v>
          </cell>
          <cell r="L389" t="str">
            <v xml:space="preserve">MON-SUN </v>
          </cell>
          <cell r="M389" t="str">
            <v>(00:00 - 23:59)</v>
          </cell>
          <cell r="N389">
            <v>0</v>
          </cell>
          <cell r="O389">
            <v>0</v>
          </cell>
          <cell r="P389">
            <v>0</v>
          </cell>
          <cell r="Q389">
            <v>1440</v>
          </cell>
        </row>
        <row r="390">
          <cell r="B390" t="str">
            <v>ZLN2</v>
          </cell>
          <cell r="C390" t="str">
            <v>Alparizi</v>
          </cell>
          <cell r="D390" t="str">
            <v>Alfa Mantang</v>
          </cell>
          <cell r="E390" t="str">
            <v>ADVANTAGE CAKRANEGARA</v>
          </cell>
          <cell r="F390">
            <v>1</v>
          </cell>
          <cell r="G390" t="str">
            <v>04-Denpasar</v>
          </cell>
          <cell r="H390" t="str">
            <v>B</v>
          </cell>
          <cell r="I390" t="str">
            <v>CRM</v>
          </cell>
          <cell r="J390" t="str">
            <v>Mataram</v>
          </cell>
          <cell r="K390" t="str">
            <v>Bali Nusra</v>
          </cell>
          <cell r="L390" t="str">
            <v xml:space="preserve">MON-SUN </v>
          </cell>
          <cell r="M390" t="str">
            <v>(00:00 - 23:59)</v>
          </cell>
          <cell r="N390">
            <v>0</v>
          </cell>
          <cell r="O390">
            <v>0</v>
          </cell>
          <cell r="P390">
            <v>0</v>
          </cell>
          <cell r="Q390">
            <v>1440</v>
          </cell>
        </row>
        <row r="391">
          <cell r="B391" t="str">
            <v>ZLQ2</v>
          </cell>
          <cell r="C391" t="str">
            <v>Yunarius Raynold Gege</v>
          </cell>
          <cell r="D391" t="str">
            <v>Alfa Raya Atambua Belu</v>
          </cell>
          <cell r="E391" t="str">
            <v>KUPANG</v>
          </cell>
          <cell r="F391">
            <v>4</v>
          </cell>
          <cell r="G391" t="str">
            <v>04-Denpasar</v>
          </cell>
          <cell r="H391" t="str">
            <v>B</v>
          </cell>
          <cell r="I391" t="str">
            <v>CRM</v>
          </cell>
          <cell r="J391" t="str">
            <v>Kupang</v>
          </cell>
          <cell r="K391" t="str">
            <v>Bali Nusra</v>
          </cell>
          <cell r="L391" t="str">
            <v xml:space="preserve">MON-SUN </v>
          </cell>
          <cell r="M391" t="str">
            <v>(00:00 - 23:59)</v>
          </cell>
          <cell r="N391">
            <v>0</v>
          </cell>
          <cell r="O391">
            <v>0</v>
          </cell>
          <cell r="P391">
            <v>0</v>
          </cell>
          <cell r="Q391">
            <v>1440</v>
          </cell>
        </row>
        <row r="392">
          <cell r="B392" t="str">
            <v>ZLR2</v>
          </cell>
          <cell r="C392" t="str">
            <v>Yohanes Yeximus Tritanto</v>
          </cell>
          <cell r="D392" t="str">
            <v>Alfa Thomas Aquinas</v>
          </cell>
          <cell r="E392" t="str">
            <v>KUPANG</v>
          </cell>
          <cell r="F392">
            <v>4</v>
          </cell>
          <cell r="G392" t="str">
            <v>04-Denpasar</v>
          </cell>
          <cell r="H392" t="str">
            <v>B</v>
          </cell>
          <cell r="I392" t="str">
            <v>CRM</v>
          </cell>
          <cell r="J392" t="str">
            <v>Ende</v>
          </cell>
          <cell r="K392" t="str">
            <v>Bali Nusra</v>
          </cell>
          <cell r="L392" t="str">
            <v xml:space="preserve">MON-SUN </v>
          </cell>
          <cell r="M392" t="str">
            <v>(00:00 - 23:59)</v>
          </cell>
          <cell r="N392">
            <v>0</v>
          </cell>
          <cell r="O392">
            <v>0</v>
          </cell>
          <cell r="P392">
            <v>0</v>
          </cell>
          <cell r="Q392">
            <v>1440</v>
          </cell>
        </row>
        <row r="393">
          <cell r="B393" t="str">
            <v>ZLX2</v>
          </cell>
          <cell r="C393" t="str">
            <v>Adi Irawan</v>
          </cell>
          <cell r="D393" t="str">
            <v>Alfa Mandalika Mataram</v>
          </cell>
          <cell r="E393" t="str">
            <v>ADVANTAGE CAKRANEGARA</v>
          </cell>
          <cell r="F393">
            <v>1</v>
          </cell>
          <cell r="G393" t="str">
            <v>04-Denpasar</v>
          </cell>
          <cell r="H393" t="str">
            <v>B</v>
          </cell>
          <cell r="I393" t="str">
            <v>CRM</v>
          </cell>
          <cell r="J393" t="str">
            <v>Mataram</v>
          </cell>
          <cell r="K393" t="str">
            <v>Bali Nusra</v>
          </cell>
          <cell r="L393" t="str">
            <v xml:space="preserve">MON-SUN </v>
          </cell>
          <cell r="M393" t="str">
            <v>(00:00 - 23:59)</v>
          </cell>
          <cell r="N393">
            <v>0</v>
          </cell>
          <cell r="O393">
            <v>0</v>
          </cell>
          <cell r="P393">
            <v>0</v>
          </cell>
          <cell r="Q393">
            <v>1440</v>
          </cell>
        </row>
        <row r="394">
          <cell r="B394" t="str">
            <v>ZLY2</v>
          </cell>
          <cell r="C394" t="str">
            <v>Adi Irawan</v>
          </cell>
          <cell r="D394" t="str">
            <v>Alfa Batu Ringgit</v>
          </cell>
          <cell r="E394" t="str">
            <v>ADVANTAGE CAKRANEGARA</v>
          </cell>
          <cell r="F394">
            <v>1</v>
          </cell>
          <cell r="G394" t="str">
            <v>04-Denpasar</v>
          </cell>
          <cell r="H394" t="str">
            <v>B</v>
          </cell>
          <cell r="I394" t="str">
            <v>CRM</v>
          </cell>
          <cell r="J394" t="str">
            <v>Mataram</v>
          </cell>
          <cell r="K394" t="str">
            <v>Bali Nusra</v>
          </cell>
          <cell r="L394" t="str">
            <v xml:space="preserve">MON-SUN </v>
          </cell>
          <cell r="M394" t="str">
            <v>(00:00 - 23:59)</v>
          </cell>
          <cell r="N394">
            <v>0</v>
          </cell>
          <cell r="O394">
            <v>0</v>
          </cell>
          <cell r="P394">
            <v>0</v>
          </cell>
          <cell r="Q394">
            <v>1440</v>
          </cell>
        </row>
        <row r="395">
          <cell r="B395" t="str">
            <v>ZQ1R</v>
          </cell>
          <cell r="C395" t="str">
            <v>Adi Irawan</v>
          </cell>
          <cell r="D395" t="str">
            <v>Sweta</v>
          </cell>
          <cell r="E395" t="str">
            <v>ADVANTAGE CAKRANEGARA</v>
          </cell>
          <cell r="F395">
            <v>1</v>
          </cell>
          <cell r="G395" t="str">
            <v>04-Denpasar</v>
          </cell>
          <cell r="H395" t="str">
            <v>B</v>
          </cell>
          <cell r="I395" t="str">
            <v>CRM</v>
          </cell>
          <cell r="J395" t="str">
            <v>Mataram</v>
          </cell>
          <cell r="K395" t="str">
            <v>Bali Nusra</v>
          </cell>
          <cell r="L395" t="str">
            <v xml:space="preserve">MON-SUN </v>
          </cell>
          <cell r="M395" t="str">
            <v>(00:00 - 23:59)</v>
          </cell>
          <cell r="N395">
            <v>1</v>
          </cell>
          <cell r="O395">
            <v>26</v>
          </cell>
          <cell r="P395">
            <v>1.81</v>
          </cell>
          <cell r="Q395">
            <v>1440</v>
          </cell>
        </row>
        <row r="396">
          <cell r="B396" t="str">
            <v>ZQA4</v>
          </cell>
          <cell r="C396" t="str">
            <v>I Putu Dendy Pratama</v>
          </cell>
          <cell r="D396" t="str">
            <v>Bali Padma Hotel</v>
          </cell>
          <cell r="E396" t="str">
            <v>ABACUS BALI</v>
          </cell>
          <cell r="F396">
            <v>1</v>
          </cell>
          <cell r="G396" t="str">
            <v>04-Denpasar</v>
          </cell>
          <cell r="H396" t="str">
            <v>B</v>
          </cell>
          <cell r="I396" t="str">
            <v>CRM</v>
          </cell>
          <cell r="J396" t="str">
            <v>Denpasar</v>
          </cell>
          <cell r="K396" t="str">
            <v>Bali Nusra</v>
          </cell>
          <cell r="L396" t="str">
            <v xml:space="preserve">MON-SUN </v>
          </cell>
          <cell r="M396" t="str">
            <v>(00:00 - 23:59)</v>
          </cell>
          <cell r="N396">
            <v>0</v>
          </cell>
          <cell r="O396">
            <v>0</v>
          </cell>
          <cell r="P396">
            <v>0</v>
          </cell>
          <cell r="Q396">
            <v>1440</v>
          </cell>
        </row>
        <row r="397">
          <cell r="B397" t="str">
            <v>ZQB4</v>
          </cell>
          <cell r="C397" t="str">
            <v>Suhel Risdianto</v>
          </cell>
          <cell r="D397" t="str">
            <v>Padma Resort Ubud</v>
          </cell>
          <cell r="E397" t="str">
            <v>ABACUS BALI</v>
          </cell>
          <cell r="F397">
            <v>2</v>
          </cell>
          <cell r="G397" t="str">
            <v>04-Denpasar</v>
          </cell>
          <cell r="H397" t="str">
            <v>B</v>
          </cell>
          <cell r="I397" t="str">
            <v>CRM</v>
          </cell>
          <cell r="J397" t="str">
            <v>Denpasar</v>
          </cell>
          <cell r="K397" t="str">
            <v>Bali Nusra</v>
          </cell>
          <cell r="L397" t="str">
            <v xml:space="preserve">MON-SUN </v>
          </cell>
          <cell r="M397" t="str">
            <v>(00:00 - 23:59)</v>
          </cell>
          <cell r="N397">
            <v>0</v>
          </cell>
          <cell r="O397">
            <v>0</v>
          </cell>
          <cell r="P397">
            <v>0</v>
          </cell>
          <cell r="Q397">
            <v>1440</v>
          </cell>
        </row>
        <row r="398">
          <cell r="B398" t="str">
            <v>ZQC4</v>
          </cell>
          <cell r="C398" t="str">
            <v>I Putu Dendy Pratama</v>
          </cell>
          <cell r="D398" t="str">
            <v>Toko Kawan</v>
          </cell>
          <cell r="E398" t="str">
            <v>ABACUS BALI</v>
          </cell>
          <cell r="F398">
            <v>1</v>
          </cell>
          <cell r="G398" t="str">
            <v>04-Denpasar</v>
          </cell>
          <cell r="H398" t="str">
            <v>B</v>
          </cell>
          <cell r="I398" t="str">
            <v>CRM</v>
          </cell>
          <cell r="J398" t="str">
            <v>Denpasar</v>
          </cell>
          <cell r="K398" t="str">
            <v>Bali Nusra</v>
          </cell>
          <cell r="L398" t="str">
            <v xml:space="preserve">MON-SUN </v>
          </cell>
          <cell r="M398" t="str">
            <v>(00:00 - 23:59)</v>
          </cell>
          <cell r="N398">
            <v>0</v>
          </cell>
          <cell r="O398">
            <v>0</v>
          </cell>
          <cell r="P398">
            <v>0</v>
          </cell>
          <cell r="Q398">
            <v>1440</v>
          </cell>
        </row>
        <row r="399">
          <cell r="B399" t="str">
            <v>ZQD4</v>
          </cell>
          <cell r="C399" t="str">
            <v>I Putu Dendy Pratama</v>
          </cell>
          <cell r="D399" t="str">
            <v>IDM Toko Shinta FACT</v>
          </cell>
          <cell r="E399" t="str">
            <v>ABACUS BALI</v>
          </cell>
          <cell r="F399">
            <v>1</v>
          </cell>
          <cell r="G399" t="str">
            <v>04-Denpasar</v>
          </cell>
          <cell r="H399" t="str">
            <v>B</v>
          </cell>
          <cell r="I399" t="str">
            <v>CRM</v>
          </cell>
          <cell r="J399" t="str">
            <v>Denpasar</v>
          </cell>
          <cell r="K399" t="str">
            <v>Bali Nusra</v>
          </cell>
          <cell r="L399" t="str">
            <v xml:space="preserve">MON-SUN </v>
          </cell>
          <cell r="M399" t="str">
            <v>(00:00 - 23:59)</v>
          </cell>
          <cell r="N399">
            <v>1</v>
          </cell>
          <cell r="O399">
            <v>147</v>
          </cell>
          <cell r="P399">
            <v>10.210000000000001</v>
          </cell>
          <cell r="Q399">
            <v>1440</v>
          </cell>
        </row>
        <row r="400">
          <cell r="B400" t="str">
            <v>ZQE4</v>
          </cell>
          <cell r="C400" t="str">
            <v>Suhel Risdianto</v>
          </cell>
          <cell r="D400" t="str">
            <v>Bintang Ubud</v>
          </cell>
          <cell r="E400" t="str">
            <v>ABACUS BALI</v>
          </cell>
          <cell r="F400">
            <v>1</v>
          </cell>
          <cell r="G400" t="str">
            <v>04-Denpasar</v>
          </cell>
          <cell r="H400" t="str">
            <v>B</v>
          </cell>
          <cell r="I400" t="str">
            <v>CRM</v>
          </cell>
          <cell r="J400" t="str">
            <v>Denpasar</v>
          </cell>
          <cell r="K400" t="str">
            <v>Bali Nusra</v>
          </cell>
          <cell r="L400" t="str">
            <v xml:space="preserve">MON-SUN </v>
          </cell>
          <cell r="M400" t="str">
            <v>(00:00 - 23:59)</v>
          </cell>
          <cell r="N400">
            <v>2</v>
          </cell>
          <cell r="O400">
            <v>176</v>
          </cell>
          <cell r="P400">
            <v>12.22</v>
          </cell>
          <cell r="Q400">
            <v>1440</v>
          </cell>
        </row>
        <row r="401">
          <cell r="B401" t="str">
            <v>ZQF4</v>
          </cell>
          <cell r="C401" t="str">
            <v>Eko Adi Sugiyantoro</v>
          </cell>
          <cell r="D401" t="str">
            <v>CK 114 Canggu</v>
          </cell>
          <cell r="E401" t="str">
            <v>ABACUS BALI</v>
          </cell>
          <cell r="F401">
            <v>1</v>
          </cell>
          <cell r="G401" t="str">
            <v>04-Denpasar</v>
          </cell>
          <cell r="H401" t="str">
            <v>B</v>
          </cell>
          <cell r="I401" t="str">
            <v>CRM</v>
          </cell>
          <cell r="J401" t="str">
            <v>Denpasar</v>
          </cell>
          <cell r="K401" t="str">
            <v>Bali Nusra</v>
          </cell>
          <cell r="L401" t="str">
            <v xml:space="preserve">MON-SUN </v>
          </cell>
          <cell r="M401" t="str">
            <v>(00:00 - 23:59)</v>
          </cell>
          <cell r="N401">
            <v>0</v>
          </cell>
          <cell r="O401">
            <v>0</v>
          </cell>
          <cell r="P401">
            <v>0</v>
          </cell>
          <cell r="Q401">
            <v>1440</v>
          </cell>
        </row>
        <row r="402">
          <cell r="B402" t="str">
            <v>ZQH4</v>
          </cell>
          <cell r="C402" t="str">
            <v>Leonardo A Ruly</v>
          </cell>
          <cell r="D402" t="str">
            <v>Moderent Elektronik</v>
          </cell>
          <cell r="E402" t="str">
            <v>ADVANTAGE KUPANG</v>
          </cell>
          <cell r="F402">
            <v>1</v>
          </cell>
          <cell r="G402" t="str">
            <v>04-Denpasar</v>
          </cell>
          <cell r="H402" t="str">
            <v>B</v>
          </cell>
          <cell r="I402" t="str">
            <v>CRM</v>
          </cell>
          <cell r="J402" t="str">
            <v>Kupang</v>
          </cell>
          <cell r="K402" t="str">
            <v>Bali Nusra</v>
          </cell>
          <cell r="L402" t="str">
            <v xml:space="preserve">MON-SUN </v>
          </cell>
          <cell r="M402" t="str">
            <v>(00:00 - 23:59)</v>
          </cell>
          <cell r="N402">
            <v>1</v>
          </cell>
          <cell r="O402">
            <v>26</v>
          </cell>
          <cell r="P402">
            <v>1.81</v>
          </cell>
          <cell r="Q402">
            <v>1440</v>
          </cell>
        </row>
        <row r="403">
          <cell r="B403" t="str">
            <v>ZQJ4</v>
          </cell>
          <cell r="C403" t="str">
            <v>Rio Erdiansyah</v>
          </cell>
          <cell r="D403" t="str">
            <v>Mini Market Cahaya Baru</v>
          </cell>
          <cell r="E403" t="str">
            <v>ABACUS BALI</v>
          </cell>
          <cell r="F403">
            <v>1</v>
          </cell>
          <cell r="G403" t="str">
            <v>04-Denpasar</v>
          </cell>
          <cell r="H403" t="str">
            <v>B</v>
          </cell>
          <cell r="I403" t="str">
            <v>CRM</v>
          </cell>
          <cell r="J403" t="str">
            <v>Singaraja</v>
          </cell>
          <cell r="K403" t="str">
            <v>Bali Nusra</v>
          </cell>
          <cell r="L403" t="str">
            <v xml:space="preserve">MON-SUN </v>
          </cell>
          <cell r="M403" t="str">
            <v>(08:00 - 21:00)</v>
          </cell>
          <cell r="N403">
            <v>0</v>
          </cell>
          <cell r="O403">
            <v>0</v>
          </cell>
          <cell r="P403">
            <v>0</v>
          </cell>
          <cell r="Q403">
            <v>780</v>
          </cell>
        </row>
        <row r="404">
          <cell r="B404" t="str">
            <v>ZQP3</v>
          </cell>
          <cell r="C404" t="str">
            <v>Arif Rahman Hakim</v>
          </cell>
          <cell r="D404" t="str">
            <v>Wana Mart Uluwatu</v>
          </cell>
          <cell r="E404" t="str">
            <v>ABACUS BALI</v>
          </cell>
          <cell r="F404">
            <v>1</v>
          </cell>
          <cell r="G404" t="str">
            <v>04-Denpasar</v>
          </cell>
          <cell r="H404" t="str">
            <v>B</v>
          </cell>
          <cell r="I404" t="str">
            <v>CRM</v>
          </cell>
          <cell r="J404" t="str">
            <v>Denpasar</v>
          </cell>
          <cell r="K404" t="str">
            <v>Bali Nusra</v>
          </cell>
          <cell r="L404" t="str">
            <v xml:space="preserve">MON-SUN </v>
          </cell>
          <cell r="M404" t="str">
            <v>(00:00 - 23:59)</v>
          </cell>
          <cell r="N404">
            <v>0</v>
          </cell>
          <cell r="O404">
            <v>0</v>
          </cell>
          <cell r="P404">
            <v>0</v>
          </cell>
          <cell r="Q404">
            <v>1440</v>
          </cell>
        </row>
        <row r="405">
          <cell r="B405" t="str">
            <v>ZQU2</v>
          </cell>
          <cell r="C405" t="str">
            <v>Lalu Riswan Hadi</v>
          </cell>
          <cell r="D405" t="str">
            <v>Alfa Gerung II</v>
          </cell>
          <cell r="E405" t="str">
            <v>ADVANTAGE CAKRANEGARA</v>
          </cell>
          <cell r="F405">
            <v>1</v>
          </cell>
          <cell r="G405" t="str">
            <v>04-Denpasar</v>
          </cell>
          <cell r="H405" t="str">
            <v>B</v>
          </cell>
          <cell r="I405" t="str">
            <v>CRM</v>
          </cell>
          <cell r="J405" t="str">
            <v>Mataram</v>
          </cell>
          <cell r="K405" t="str">
            <v>Bali Nusra</v>
          </cell>
          <cell r="L405" t="str">
            <v xml:space="preserve">MON-SUN </v>
          </cell>
          <cell r="M405" t="str">
            <v>(00:00 - 23:59)</v>
          </cell>
          <cell r="N405">
            <v>1</v>
          </cell>
          <cell r="O405">
            <v>63</v>
          </cell>
          <cell r="P405">
            <v>4.38</v>
          </cell>
          <cell r="Q405">
            <v>1440</v>
          </cell>
        </row>
        <row r="406">
          <cell r="B406" t="str">
            <v>ZQV2</v>
          </cell>
          <cell r="C406" t="str">
            <v>Alparizi</v>
          </cell>
          <cell r="D406" t="str">
            <v>Alfa Gunung Sari Lombok</v>
          </cell>
          <cell r="E406" t="str">
            <v>ADVANTAGE CAKRANEGARA</v>
          </cell>
          <cell r="F406">
            <v>1</v>
          </cell>
          <cell r="G406" t="str">
            <v>04-Denpasar</v>
          </cell>
          <cell r="H406" t="str">
            <v>B</v>
          </cell>
          <cell r="I406" t="str">
            <v>CRM</v>
          </cell>
          <cell r="J406" t="str">
            <v>Mataram</v>
          </cell>
          <cell r="K406" t="str">
            <v>Bali Nusra</v>
          </cell>
          <cell r="L406" t="str">
            <v xml:space="preserve">MON-SUN </v>
          </cell>
          <cell r="M406" t="str">
            <v>(00:00 - 23:59)</v>
          </cell>
          <cell r="N406">
            <v>0</v>
          </cell>
          <cell r="O406">
            <v>0</v>
          </cell>
          <cell r="P406">
            <v>0</v>
          </cell>
          <cell r="Q406">
            <v>1440</v>
          </cell>
        </row>
        <row r="407">
          <cell r="B407" t="str">
            <v>ZRA6</v>
          </cell>
          <cell r="C407" t="str">
            <v>Eko Adi Sugiyantoro</v>
          </cell>
          <cell r="D407" t="str">
            <v>IDM Gatot Subroto Bali</v>
          </cell>
          <cell r="E407" t="str">
            <v>ABACUS BALI</v>
          </cell>
          <cell r="F407">
            <v>1</v>
          </cell>
          <cell r="G407" t="str">
            <v>04-Denpasar</v>
          </cell>
          <cell r="H407" t="str">
            <v>B</v>
          </cell>
          <cell r="I407" t="str">
            <v>CRM</v>
          </cell>
          <cell r="J407" t="str">
            <v>Denpasar</v>
          </cell>
          <cell r="K407" t="str">
            <v>Bali Nusra</v>
          </cell>
          <cell r="L407" t="str">
            <v xml:space="preserve">MON-SUN </v>
          </cell>
          <cell r="M407" t="str">
            <v>(00:00 - 23:59)</v>
          </cell>
          <cell r="N407">
            <v>1</v>
          </cell>
          <cell r="O407">
            <v>39</v>
          </cell>
          <cell r="P407">
            <v>2.71</v>
          </cell>
          <cell r="Q407">
            <v>1440</v>
          </cell>
        </row>
        <row r="408">
          <cell r="B408" t="str">
            <v>ZRA7</v>
          </cell>
          <cell r="C408" t="str">
            <v>Suhel Risdianto</v>
          </cell>
          <cell r="D408" t="str">
            <v>Arys Mikro Batanta</v>
          </cell>
          <cell r="E408" t="str">
            <v>ABACUS BALI</v>
          </cell>
          <cell r="F408">
            <v>1</v>
          </cell>
          <cell r="G408" t="str">
            <v>04-Denpasar</v>
          </cell>
          <cell r="H408" t="str">
            <v>B</v>
          </cell>
          <cell r="I408" t="str">
            <v>CRM</v>
          </cell>
          <cell r="J408" t="str">
            <v>Denpasar</v>
          </cell>
          <cell r="K408" t="str">
            <v>Bali Nusra</v>
          </cell>
          <cell r="L408" t="str">
            <v xml:space="preserve">MON-SUN </v>
          </cell>
          <cell r="M408" t="str">
            <v>(00:00 - 23:59)</v>
          </cell>
          <cell r="N408">
            <v>1</v>
          </cell>
          <cell r="O408">
            <v>24</v>
          </cell>
          <cell r="P408">
            <v>1.67</v>
          </cell>
          <cell r="Q408">
            <v>1440</v>
          </cell>
        </row>
        <row r="409">
          <cell r="B409" t="str">
            <v>ZRB6</v>
          </cell>
          <cell r="C409" t="str">
            <v>Eko Adi Sugiyantoro</v>
          </cell>
          <cell r="D409" t="str">
            <v>IDM Tualakilang Tabanan</v>
          </cell>
          <cell r="E409" t="str">
            <v>ABACUS BALI</v>
          </cell>
          <cell r="F409">
            <v>1</v>
          </cell>
          <cell r="G409" t="str">
            <v>04-Denpasar</v>
          </cell>
          <cell r="H409" t="str">
            <v>B</v>
          </cell>
          <cell r="I409" t="str">
            <v>CRM</v>
          </cell>
          <cell r="J409" t="str">
            <v>Denpasar</v>
          </cell>
          <cell r="K409" t="str">
            <v>Bali Nusra</v>
          </cell>
          <cell r="L409" t="str">
            <v xml:space="preserve">MON-SUN </v>
          </cell>
          <cell r="M409" t="str">
            <v>(07:00 - 22:00)</v>
          </cell>
          <cell r="N409">
            <v>0</v>
          </cell>
          <cell r="O409">
            <v>0</v>
          </cell>
          <cell r="P409">
            <v>0</v>
          </cell>
          <cell r="Q409">
            <v>900</v>
          </cell>
        </row>
        <row r="410">
          <cell r="B410" t="str">
            <v>ZRB7</v>
          </cell>
          <cell r="C410" t="str">
            <v>Revaldi Resha Wardhana</v>
          </cell>
          <cell r="D410" t="str">
            <v>Arys Mikro Buana Raya</v>
          </cell>
          <cell r="E410" t="str">
            <v>ABACUS BALI</v>
          </cell>
          <cell r="F410">
            <v>1</v>
          </cell>
          <cell r="G410" t="str">
            <v>04-Denpasar</v>
          </cell>
          <cell r="H410" t="str">
            <v>B</v>
          </cell>
          <cell r="I410" t="str">
            <v>CRM</v>
          </cell>
          <cell r="J410" t="str">
            <v>Denpasar</v>
          </cell>
          <cell r="K410" t="str">
            <v>Bali Nusra</v>
          </cell>
          <cell r="L410" t="str">
            <v xml:space="preserve">MON-SUN </v>
          </cell>
          <cell r="M410" t="str">
            <v>(00:00 - 23:59)</v>
          </cell>
          <cell r="N410">
            <v>0</v>
          </cell>
          <cell r="O410">
            <v>0</v>
          </cell>
          <cell r="P410">
            <v>0</v>
          </cell>
          <cell r="Q410">
            <v>1440</v>
          </cell>
        </row>
        <row r="411">
          <cell r="B411" t="str">
            <v>ZRC7</v>
          </cell>
          <cell r="C411" t="str">
            <v>Suhel Risdianto</v>
          </cell>
          <cell r="D411" t="str">
            <v>Arys Mikro Pulau Galang</v>
          </cell>
          <cell r="E411" t="str">
            <v>ABACUS BALI</v>
          </cell>
          <cell r="F411">
            <v>1</v>
          </cell>
          <cell r="G411" t="str">
            <v>04-Denpasar</v>
          </cell>
          <cell r="H411" t="str">
            <v>B</v>
          </cell>
          <cell r="I411" t="str">
            <v>CRM</v>
          </cell>
          <cell r="J411" t="str">
            <v>Denpasar</v>
          </cell>
          <cell r="K411" t="str">
            <v>Bali Nusra</v>
          </cell>
          <cell r="L411" t="str">
            <v xml:space="preserve">MON-SUN </v>
          </cell>
          <cell r="M411" t="str">
            <v>(00:00 - 23:59)</v>
          </cell>
          <cell r="N411">
            <v>0</v>
          </cell>
          <cell r="O411">
            <v>0</v>
          </cell>
          <cell r="P411">
            <v>0</v>
          </cell>
          <cell r="Q411">
            <v>1440</v>
          </cell>
        </row>
        <row r="412">
          <cell r="B412" t="str">
            <v>ZRD6</v>
          </cell>
          <cell r="C412" t="str">
            <v>Arif Rahman Hakim</v>
          </cell>
          <cell r="D412" t="str">
            <v>Alfa Pratama Celuk</v>
          </cell>
          <cell r="E412" t="str">
            <v>ABACUS BALI</v>
          </cell>
          <cell r="F412">
            <v>1</v>
          </cell>
          <cell r="G412" t="str">
            <v>04-Denpasar</v>
          </cell>
          <cell r="H412" t="str">
            <v>B</v>
          </cell>
          <cell r="I412" t="str">
            <v>CRM</v>
          </cell>
          <cell r="J412" t="str">
            <v>Denpasar</v>
          </cell>
          <cell r="K412" t="str">
            <v>Bali Nusra</v>
          </cell>
          <cell r="L412" t="str">
            <v xml:space="preserve">MON-SUN </v>
          </cell>
          <cell r="M412" t="str">
            <v>(00:00 - 23:59)</v>
          </cell>
          <cell r="N412">
            <v>0</v>
          </cell>
          <cell r="O412">
            <v>0</v>
          </cell>
          <cell r="P412">
            <v>0</v>
          </cell>
          <cell r="Q412">
            <v>1440</v>
          </cell>
        </row>
        <row r="413">
          <cell r="B413" t="str">
            <v>ZRD7</v>
          </cell>
          <cell r="C413" t="str">
            <v>Bambang Yuniarko</v>
          </cell>
          <cell r="D413" t="str">
            <v>Arys Mikro Tukd Pakerisan</v>
          </cell>
          <cell r="E413" t="str">
            <v>ANDALAN BALI</v>
          </cell>
          <cell r="F413">
            <v>1</v>
          </cell>
          <cell r="G413" t="str">
            <v>04-Denpasar</v>
          </cell>
          <cell r="H413" t="str">
            <v>B</v>
          </cell>
          <cell r="I413" t="str">
            <v>CRM</v>
          </cell>
          <cell r="J413" t="str">
            <v>Denpasar</v>
          </cell>
          <cell r="K413" t="str">
            <v>Bali Nusra</v>
          </cell>
          <cell r="L413" t="str">
            <v xml:space="preserve">MON-SUN </v>
          </cell>
          <cell r="M413" t="str">
            <v>(00:00 - 23:59)</v>
          </cell>
          <cell r="N413">
            <v>0</v>
          </cell>
          <cell r="O413">
            <v>0</v>
          </cell>
          <cell r="P413">
            <v>0</v>
          </cell>
          <cell r="Q413">
            <v>1440</v>
          </cell>
        </row>
        <row r="414">
          <cell r="B414" t="str">
            <v>ZRE5</v>
          </cell>
          <cell r="C414" t="str">
            <v>Lalu Riswan Hadi</v>
          </cell>
          <cell r="D414" t="str">
            <v>IDM S Parman Lombok Tgh</v>
          </cell>
          <cell r="E414" t="str">
            <v>ADVANTAGE CAKRANEGARA</v>
          </cell>
          <cell r="F414">
            <v>2</v>
          </cell>
          <cell r="G414" t="str">
            <v>04-Denpasar</v>
          </cell>
          <cell r="H414" t="str">
            <v>B</v>
          </cell>
          <cell r="I414" t="str">
            <v>CRM</v>
          </cell>
          <cell r="J414" t="str">
            <v>Mataram</v>
          </cell>
          <cell r="K414" t="str">
            <v>Bali Nusra</v>
          </cell>
          <cell r="L414" t="str">
            <v xml:space="preserve">MON-SUN </v>
          </cell>
          <cell r="M414" t="str">
            <v>(00:00 - 23:59)</v>
          </cell>
          <cell r="N414">
            <v>0</v>
          </cell>
          <cell r="O414">
            <v>0</v>
          </cell>
          <cell r="P414">
            <v>0</v>
          </cell>
          <cell r="Q414">
            <v>1440</v>
          </cell>
        </row>
        <row r="415">
          <cell r="B415" t="str">
            <v>ZRE6</v>
          </cell>
          <cell r="C415" t="str">
            <v>Suhel Risdianto</v>
          </cell>
          <cell r="D415" t="str">
            <v>CK 0193 Tangkuban Perahu</v>
          </cell>
          <cell r="E415" t="str">
            <v>ABACUS BALI</v>
          </cell>
          <cell r="F415">
            <v>1</v>
          </cell>
          <cell r="G415" t="str">
            <v>04-Denpasar</v>
          </cell>
          <cell r="H415" t="str">
            <v>B</v>
          </cell>
          <cell r="I415" t="str">
            <v>CRM</v>
          </cell>
          <cell r="J415" t="str">
            <v>Denpasar</v>
          </cell>
          <cell r="K415" t="str">
            <v>Bali Nusra</v>
          </cell>
          <cell r="L415" t="str">
            <v xml:space="preserve">MON-SUN </v>
          </cell>
          <cell r="M415" t="str">
            <v>(00:00 - 23:59)</v>
          </cell>
          <cell r="N415">
            <v>0</v>
          </cell>
          <cell r="O415">
            <v>0</v>
          </cell>
          <cell r="P415">
            <v>0</v>
          </cell>
          <cell r="Q415">
            <v>1440</v>
          </cell>
        </row>
        <row r="416">
          <cell r="B416" t="str">
            <v>ZRE7</v>
          </cell>
          <cell r="C416" t="str">
            <v>Farozan Ali Fahmi</v>
          </cell>
          <cell r="D416" t="str">
            <v>Celuk Trade Center</v>
          </cell>
          <cell r="E416" t="str">
            <v>ABACUS BALI</v>
          </cell>
          <cell r="F416">
            <v>1</v>
          </cell>
          <cell r="G416" t="str">
            <v>04-Denpasar</v>
          </cell>
          <cell r="H416" t="str">
            <v>B</v>
          </cell>
          <cell r="I416" t="str">
            <v>CRM</v>
          </cell>
          <cell r="J416" t="str">
            <v>Denpasar</v>
          </cell>
          <cell r="K416" t="str">
            <v>Bali Nusra</v>
          </cell>
          <cell r="L416" t="str">
            <v xml:space="preserve">MON-SUN </v>
          </cell>
          <cell r="M416" t="str">
            <v>(00:00 - 23:59)</v>
          </cell>
          <cell r="N416">
            <v>0</v>
          </cell>
          <cell r="O416">
            <v>0</v>
          </cell>
          <cell r="P416">
            <v>0</v>
          </cell>
          <cell r="Q416">
            <v>1440</v>
          </cell>
        </row>
        <row r="417">
          <cell r="B417" t="str">
            <v>ZRF5</v>
          </cell>
          <cell r="C417" t="str">
            <v>Adi Irawan</v>
          </cell>
          <cell r="D417" t="str">
            <v>Alfa Pantai Kuta Loteng</v>
          </cell>
          <cell r="E417" t="str">
            <v>ADVANTAGE CAKRANEGARA</v>
          </cell>
          <cell r="F417">
            <v>2</v>
          </cell>
          <cell r="G417" t="str">
            <v>04-Denpasar</v>
          </cell>
          <cell r="H417" t="str">
            <v>B</v>
          </cell>
          <cell r="I417" t="str">
            <v>CRM</v>
          </cell>
          <cell r="J417" t="str">
            <v>Mataram</v>
          </cell>
          <cell r="K417" t="str">
            <v>Bali Nusra</v>
          </cell>
          <cell r="L417" t="str">
            <v xml:space="preserve">MON-SUN </v>
          </cell>
          <cell r="M417" t="str">
            <v>(00:00 - 23:59)</v>
          </cell>
          <cell r="N417">
            <v>2</v>
          </cell>
          <cell r="O417">
            <v>24</v>
          </cell>
          <cell r="P417">
            <v>1.67</v>
          </cell>
          <cell r="Q417">
            <v>1440</v>
          </cell>
        </row>
        <row r="418">
          <cell r="B418" t="str">
            <v>ZRF6</v>
          </cell>
          <cell r="C418" t="str">
            <v>Eko Adi Sugiyantoro</v>
          </cell>
          <cell r="D418" t="str">
            <v>CK Raya Buduk</v>
          </cell>
          <cell r="E418" t="str">
            <v>ABACUS BALI</v>
          </cell>
          <cell r="F418">
            <v>1</v>
          </cell>
          <cell r="G418" t="str">
            <v>04-Denpasar</v>
          </cell>
          <cell r="H418" t="str">
            <v>B</v>
          </cell>
          <cell r="I418" t="str">
            <v>CRM</v>
          </cell>
          <cell r="J418" t="str">
            <v>Denpasar</v>
          </cell>
          <cell r="K418" t="str">
            <v>Bali Nusra</v>
          </cell>
          <cell r="L418" t="str">
            <v xml:space="preserve">MON-SUN </v>
          </cell>
          <cell r="M418" t="str">
            <v>(00:00 - 23:59)</v>
          </cell>
          <cell r="N418">
            <v>1</v>
          </cell>
          <cell r="O418">
            <v>43</v>
          </cell>
          <cell r="P418">
            <v>2.99</v>
          </cell>
          <cell r="Q418">
            <v>1440</v>
          </cell>
        </row>
        <row r="419">
          <cell r="B419" t="str">
            <v>ZRF7</v>
          </cell>
          <cell r="C419" t="str">
            <v>Revaldi Resha Wardhana</v>
          </cell>
          <cell r="D419" t="str">
            <v>CK 0233 Gunung Agung I</v>
          </cell>
          <cell r="E419" t="str">
            <v>ABACUS BALI</v>
          </cell>
          <cell r="F419">
            <v>1</v>
          </cell>
          <cell r="G419" t="str">
            <v>04-Denpasar</v>
          </cell>
          <cell r="H419" t="str">
            <v>B</v>
          </cell>
          <cell r="I419" t="str">
            <v>CRM</v>
          </cell>
          <cell r="J419" t="str">
            <v>Denpasar</v>
          </cell>
          <cell r="K419" t="str">
            <v>Bali Nusra</v>
          </cell>
          <cell r="L419" t="str">
            <v xml:space="preserve">MON-SUN </v>
          </cell>
          <cell r="M419" t="str">
            <v>(00:00 - 23:59)</v>
          </cell>
          <cell r="N419">
            <v>2</v>
          </cell>
          <cell r="O419">
            <v>118</v>
          </cell>
          <cell r="P419">
            <v>8.19</v>
          </cell>
          <cell r="Q419">
            <v>1440</v>
          </cell>
        </row>
        <row r="420">
          <cell r="B420" t="str">
            <v>ZRH5</v>
          </cell>
          <cell r="C420" t="str">
            <v>Muhammad Hidayatullah</v>
          </cell>
          <cell r="D420" t="str">
            <v>Alfa Raya Masbagik</v>
          </cell>
          <cell r="E420" t="str">
            <v>ADVANTAGE CAKRANEGARA</v>
          </cell>
          <cell r="F420">
            <v>1</v>
          </cell>
          <cell r="G420" t="str">
            <v>04-Denpasar</v>
          </cell>
          <cell r="H420" t="str">
            <v>B</v>
          </cell>
          <cell r="I420" t="str">
            <v>CRM</v>
          </cell>
          <cell r="J420" t="str">
            <v>Lombok Timur</v>
          </cell>
          <cell r="K420" t="str">
            <v>Bali Nusra</v>
          </cell>
          <cell r="L420" t="str">
            <v xml:space="preserve">MON-SUN </v>
          </cell>
          <cell r="M420" t="str">
            <v>(00:00 - 23:59)</v>
          </cell>
          <cell r="N420">
            <v>0</v>
          </cell>
          <cell r="O420">
            <v>0</v>
          </cell>
          <cell r="P420">
            <v>0</v>
          </cell>
          <cell r="Q420">
            <v>1440</v>
          </cell>
        </row>
        <row r="421">
          <cell r="B421" t="str">
            <v>ZRH6</v>
          </cell>
          <cell r="C421" t="str">
            <v>Eko Adi Sugiyantoro</v>
          </cell>
          <cell r="D421" t="str">
            <v>IDM Buduk Badung Denpasar</v>
          </cell>
          <cell r="E421" t="str">
            <v>ABACUS BALI</v>
          </cell>
          <cell r="F421">
            <v>1</v>
          </cell>
          <cell r="G421" t="str">
            <v>04-Denpasar</v>
          </cell>
          <cell r="H421" t="str">
            <v>B</v>
          </cell>
          <cell r="I421" t="str">
            <v>CRM</v>
          </cell>
          <cell r="J421" t="str">
            <v>Denpasar</v>
          </cell>
          <cell r="K421" t="str">
            <v>Bali Nusra</v>
          </cell>
          <cell r="L421" t="str">
            <v xml:space="preserve">MON-SUN </v>
          </cell>
          <cell r="M421" t="str">
            <v>(00:00 - 23:59)</v>
          </cell>
          <cell r="N421">
            <v>0</v>
          </cell>
          <cell r="O421">
            <v>0</v>
          </cell>
          <cell r="P421">
            <v>0</v>
          </cell>
          <cell r="Q421">
            <v>1440</v>
          </cell>
        </row>
        <row r="422">
          <cell r="B422" t="str">
            <v>ZRJ5</v>
          </cell>
          <cell r="C422" t="str">
            <v>Adi Irawan</v>
          </cell>
          <cell r="D422" t="str">
            <v>IDM Bung Hatta Mataram</v>
          </cell>
          <cell r="E422" t="str">
            <v>ADVANTAGE CAKRANEGARA</v>
          </cell>
          <cell r="F422">
            <v>1</v>
          </cell>
          <cell r="G422" t="str">
            <v>04-Denpasar</v>
          </cell>
          <cell r="H422" t="str">
            <v>B</v>
          </cell>
          <cell r="I422" t="str">
            <v>CRM</v>
          </cell>
          <cell r="J422" t="str">
            <v>Mataram</v>
          </cell>
          <cell r="K422" t="str">
            <v>Bali Nusra</v>
          </cell>
          <cell r="L422" t="str">
            <v xml:space="preserve">MON-SUN </v>
          </cell>
          <cell r="M422" t="str">
            <v>(00:00 - 23:59)</v>
          </cell>
          <cell r="N422">
            <v>0</v>
          </cell>
          <cell r="O422">
            <v>0</v>
          </cell>
          <cell r="P422">
            <v>0</v>
          </cell>
          <cell r="Q422">
            <v>1440</v>
          </cell>
        </row>
        <row r="423">
          <cell r="B423" t="str">
            <v>ZRJ7</v>
          </cell>
          <cell r="C423" t="str">
            <v>Revaldi Resha Wardhana</v>
          </cell>
          <cell r="D423" t="str">
            <v>IDM Buana Raya Denpasar</v>
          </cell>
          <cell r="E423" t="str">
            <v>ABACUS BALI</v>
          </cell>
          <cell r="F423">
            <v>1</v>
          </cell>
          <cell r="G423" t="str">
            <v>04-Denpasar</v>
          </cell>
          <cell r="H423" t="str">
            <v>B</v>
          </cell>
          <cell r="I423" t="str">
            <v>CRM</v>
          </cell>
          <cell r="J423" t="str">
            <v>Denpasar</v>
          </cell>
          <cell r="K423" t="str">
            <v>Bali Nusra</v>
          </cell>
          <cell r="L423" t="str">
            <v xml:space="preserve">MON-SUN </v>
          </cell>
          <cell r="M423" t="str">
            <v>(00:00 - 23:59)</v>
          </cell>
          <cell r="N423">
            <v>1</v>
          </cell>
          <cell r="O423">
            <v>37</v>
          </cell>
          <cell r="P423">
            <v>2.57</v>
          </cell>
          <cell r="Q423">
            <v>1440</v>
          </cell>
        </row>
        <row r="424">
          <cell r="B424" t="str">
            <v>ZRK5</v>
          </cell>
          <cell r="C424" t="str">
            <v>Alparizi</v>
          </cell>
          <cell r="D424" t="str">
            <v>IDM Dr Wahidin Mataram</v>
          </cell>
          <cell r="E424" t="str">
            <v>ADVANTAGE CAKRANEGARA</v>
          </cell>
          <cell r="F424">
            <v>1</v>
          </cell>
          <cell r="G424" t="str">
            <v>04-Denpasar</v>
          </cell>
          <cell r="H424" t="str">
            <v>B</v>
          </cell>
          <cell r="I424" t="str">
            <v>CRM</v>
          </cell>
          <cell r="J424" t="str">
            <v>Mataram</v>
          </cell>
          <cell r="K424" t="str">
            <v>Bali Nusra</v>
          </cell>
          <cell r="L424" t="str">
            <v xml:space="preserve">MON-SUN </v>
          </cell>
          <cell r="M424" t="str">
            <v>(00:00 - 23:59)</v>
          </cell>
          <cell r="N424">
            <v>1</v>
          </cell>
          <cell r="O424">
            <v>54</v>
          </cell>
          <cell r="P424">
            <v>3.75</v>
          </cell>
          <cell r="Q424">
            <v>1440</v>
          </cell>
        </row>
        <row r="425">
          <cell r="B425" t="str">
            <v>ZRK6</v>
          </cell>
          <cell r="C425" t="str">
            <v>Arif Rahman Hakim</v>
          </cell>
          <cell r="D425" t="str">
            <v>IDM Taman Griya Badung</v>
          </cell>
          <cell r="E425" t="str">
            <v>ABACUS BALI</v>
          </cell>
          <cell r="F425">
            <v>1</v>
          </cell>
          <cell r="G425" t="str">
            <v>04-Denpasar</v>
          </cell>
          <cell r="H425" t="str">
            <v>B</v>
          </cell>
          <cell r="I425" t="str">
            <v>CRM</v>
          </cell>
          <cell r="J425" t="str">
            <v>Denpasar</v>
          </cell>
          <cell r="K425" t="str">
            <v>Bali Nusra</v>
          </cell>
          <cell r="L425" t="str">
            <v xml:space="preserve">MON-SUN </v>
          </cell>
          <cell r="M425" t="str">
            <v>(07:00 - 22:00)</v>
          </cell>
          <cell r="N425">
            <v>0</v>
          </cell>
          <cell r="O425">
            <v>0</v>
          </cell>
          <cell r="P425">
            <v>0</v>
          </cell>
          <cell r="Q425">
            <v>900</v>
          </cell>
        </row>
        <row r="426">
          <cell r="B426" t="str">
            <v>ZRL5</v>
          </cell>
          <cell r="C426" t="str">
            <v>Alparizi</v>
          </cell>
          <cell r="D426" t="str">
            <v>IDM Industri Ampenan</v>
          </cell>
          <cell r="E426" t="str">
            <v>ADVANTAGE CAKRANEGARA</v>
          </cell>
          <cell r="F426">
            <v>1</v>
          </cell>
          <cell r="G426" t="str">
            <v>04-Denpasar</v>
          </cell>
          <cell r="H426" t="str">
            <v>B</v>
          </cell>
          <cell r="I426" t="str">
            <v>CRM</v>
          </cell>
          <cell r="J426" t="str">
            <v>Mataram</v>
          </cell>
          <cell r="K426" t="str">
            <v>Bali Nusra</v>
          </cell>
          <cell r="L426" t="str">
            <v xml:space="preserve">MON-SUN </v>
          </cell>
          <cell r="M426" t="str">
            <v>(07:00 - 22:00)</v>
          </cell>
          <cell r="N426">
            <v>1</v>
          </cell>
          <cell r="O426">
            <v>55</v>
          </cell>
          <cell r="P426">
            <v>6.11</v>
          </cell>
          <cell r="Q426">
            <v>900</v>
          </cell>
        </row>
        <row r="427">
          <cell r="B427" t="str">
            <v>ZRL6</v>
          </cell>
          <cell r="C427" t="str">
            <v>Eko Adi Sugiyantoro</v>
          </cell>
          <cell r="D427" t="str">
            <v>IDM TQ45 Munggu Badung</v>
          </cell>
          <cell r="E427" t="str">
            <v>ABACUS BALI</v>
          </cell>
          <cell r="F427">
            <v>1</v>
          </cell>
          <cell r="G427" t="str">
            <v>04-Denpasar</v>
          </cell>
          <cell r="H427" t="str">
            <v>B</v>
          </cell>
          <cell r="I427" t="str">
            <v>CRM</v>
          </cell>
          <cell r="J427" t="str">
            <v>Denpasar</v>
          </cell>
          <cell r="K427" t="str">
            <v>Bali Nusra</v>
          </cell>
          <cell r="L427" t="str">
            <v xml:space="preserve">MON-SUN </v>
          </cell>
          <cell r="M427" t="str">
            <v>(08:00 - 23:00)</v>
          </cell>
          <cell r="N427">
            <v>0</v>
          </cell>
          <cell r="O427">
            <v>0</v>
          </cell>
          <cell r="P427">
            <v>0</v>
          </cell>
          <cell r="Q427">
            <v>900</v>
          </cell>
        </row>
        <row r="428">
          <cell r="B428" t="str">
            <v>ZRM5</v>
          </cell>
          <cell r="C428" t="str">
            <v>Lalu Riswan Hadi</v>
          </cell>
          <cell r="D428" t="str">
            <v>IDM Lembar Lombok Barat</v>
          </cell>
          <cell r="E428" t="str">
            <v>ADVANTAGE CAKRANEGARA</v>
          </cell>
          <cell r="F428">
            <v>1</v>
          </cell>
          <cell r="G428" t="str">
            <v>04-Denpasar</v>
          </cell>
          <cell r="H428" t="str">
            <v>B</v>
          </cell>
          <cell r="I428" t="str">
            <v>CRM</v>
          </cell>
          <cell r="J428" t="str">
            <v>Mataram</v>
          </cell>
          <cell r="K428" t="str">
            <v>Bali Nusra</v>
          </cell>
          <cell r="L428" t="str">
            <v xml:space="preserve">MON-SUN </v>
          </cell>
          <cell r="M428" t="str">
            <v>(00:00 - 23:59)</v>
          </cell>
          <cell r="N428">
            <v>0</v>
          </cell>
          <cell r="O428">
            <v>0</v>
          </cell>
          <cell r="P428">
            <v>0</v>
          </cell>
          <cell r="Q428">
            <v>1440</v>
          </cell>
        </row>
        <row r="429">
          <cell r="B429" t="str">
            <v>ZRM6</v>
          </cell>
          <cell r="C429" t="str">
            <v>Muhammad Ngainun Najib</v>
          </cell>
          <cell r="D429" t="str">
            <v>Kalimas Arcade</v>
          </cell>
          <cell r="E429" t="str">
            <v>ABACUS BALI</v>
          </cell>
          <cell r="F429">
            <v>1</v>
          </cell>
          <cell r="G429" t="str">
            <v>04-Denpasar</v>
          </cell>
          <cell r="H429" t="str">
            <v>B</v>
          </cell>
          <cell r="I429" t="str">
            <v>CRM</v>
          </cell>
          <cell r="J429" t="str">
            <v>Denpasar</v>
          </cell>
          <cell r="K429" t="str">
            <v>Bali Nusra</v>
          </cell>
          <cell r="L429" t="str">
            <v xml:space="preserve">MON-SUN </v>
          </cell>
          <cell r="M429" t="str">
            <v>(00:00 - 23:59)</v>
          </cell>
          <cell r="N429">
            <v>0</v>
          </cell>
          <cell r="O429">
            <v>0</v>
          </cell>
          <cell r="P429">
            <v>0</v>
          </cell>
          <cell r="Q429">
            <v>1440</v>
          </cell>
        </row>
        <row r="430">
          <cell r="B430" t="str">
            <v>ZRN5</v>
          </cell>
          <cell r="C430" t="str">
            <v>Lalu Riswan Hadi</v>
          </cell>
          <cell r="D430" t="str">
            <v>IDM Kuta Lombok Tengah</v>
          </cell>
          <cell r="E430" t="str">
            <v>ADVANTAGE CAKRANEGARA</v>
          </cell>
          <cell r="F430">
            <v>2</v>
          </cell>
          <cell r="G430" t="str">
            <v>04-Denpasar</v>
          </cell>
          <cell r="H430" t="str">
            <v>B</v>
          </cell>
          <cell r="I430" t="str">
            <v>CRM</v>
          </cell>
          <cell r="J430" t="str">
            <v>Mataram</v>
          </cell>
          <cell r="K430" t="str">
            <v>Bali Nusra</v>
          </cell>
          <cell r="L430" t="str">
            <v xml:space="preserve">MON-SUN </v>
          </cell>
          <cell r="M430" t="str">
            <v>(00:00 - 23:59)</v>
          </cell>
          <cell r="N430">
            <v>0</v>
          </cell>
          <cell r="O430">
            <v>0</v>
          </cell>
          <cell r="P430">
            <v>0</v>
          </cell>
          <cell r="Q430">
            <v>1440</v>
          </cell>
        </row>
        <row r="431">
          <cell r="B431" t="str">
            <v>ZRN6</v>
          </cell>
          <cell r="C431" t="str">
            <v>I Putu Dendy Pratama</v>
          </cell>
          <cell r="D431" t="str">
            <v>Alfa Q400 Nakula Seminyak</v>
          </cell>
          <cell r="E431" t="str">
            <v>ABACUS BALI</v>
          </cell>
          <cell r="F431">
            <v>1</v>
          </cell>
          <cell r="G431" t="str">
            <v>04-Denpasar</v>
          </cell>
          <cell r="H431" t="str">
            <v>B</v>
          </cell>
          <cell r="I431" t="str">
            <v>CRM</v>
          </cell>
          <cell r="J431" t="str">
            <v>Denpasar</v>
          </cell>
          <cell r="K431" t="str">
            <v>Bali Nusra</v>
          </cell>
          <cell r="L431" t="str">
            <v xml:space="preserve">MON-SUN </v>
          </cell>
          <cell r="M431" t="str">
            <v>(00:00 - 23:59)</v>
          </cell>
          <cell r="N431">
            <v>0</v>
          </cell>
          <cell r="O431">
            <v>0</v>
          </cell>
          <cell r="P431">
            <v>0</v>
          </cell>
          <cell r="Q431">
            <v>1440</v>
          </cell>
        </row>
        <row r="432">
          <cell r="B432" t="str">
            <v>ZRP5</v>
          </cell>
          <cell r="C432" t="str">
            <v>Adi Irawan</v>
          </cell>
          <cell r="D432" t="str">
            <v>Coco Mart Gili Trawangan</v>
          </cell>
          <cell r="E432" t="str">
            <v>ADVANTAGE CAKRANEGARA</v>
          </cell>
          <cell r="F432">
            <v>4</v>
          </cell>
          <cell r="G432" t="str">
            <v>04-Denpasar</v>
          </cell>
          <cell r="H432" t="str">
            <v>B</v>
          </cell>
          <cell r="I432" t="str">
            <v>CRM</v>
          </cell>
          <cell r="J432" t="str">
            <v>Mataram</v>
          </cell>
          <cell r="K432" t="str">
            <v>Bali Nusra</v>
          </cell>
          <cell r="L432" t="str">
            <v xml:space="preserve">MON-SUN </v>
          </cell>
          <cell r="M432" t="str">
            <v>(00:00 - 23:59)</v>
          </cell>
          <cell r="N432">
            <v>0</v>
          </cell>
          <cell r="O432">
            <v>0</v>
          </cell>
          <cell r="P432">
            <v>0</v>
          </cell>
          <cell r="Q432">
            <v>1440</v>
          </cell>
        </row>
        <row r="433">
          <cell r="B433" t="str">
            <v>ZRQ5</v>
          </cell>
          <cell r="C433" t="str">
            <v>Rio Erdiansyah</v>
          </cell>
          <cell r="D433" t="str">
            <v>Alfa Banjar Jawa</v>
          </cell>
          <cell r="E433" t="str">
            <v>ABACUS BALI</v>
          </cell>
          <cell r="F433">
            <v>1</v>
          </cell>
          <cell r="G433" t="str">
            <v>04-Denpasar</v>
          </cell>
          <cell r="H433" t="str">
            <v>B</v>
          </cell>
          <cell r="I433" t="str">
            <v>CRM</v>
          </cell>
          <cell r="J433" t="str">
            <v>Singaraja</v>
          </cell>
          <cell r="K433" t="str">
            <v>Bali Nusra</v>
          </cell>
          <cell r="L433" t="str">
            <v xml:space="preserve">MON-SUN </v>
          </cell>
          <cell r="M433" t="str">
            <v>(00:00 - 23:59)</v>
          </cell>
          <cell r="N433">
            <v>0</v>
          </cell>
          <cell r="O433">
            <v>0</v>
          </cell>
          <cell r="P433">
            <v>0</v>
          </cell>
          <cell r="Q433">
            <v>1440</v>
          </cell>
        </row>
        <row r="434">
          <cell r="B434" t="str">
            <v>ZRQ6</v>
          </cell>
          <cell r="C434" t="str">
            <v>Farozan Ali Fahmi</v>
          </cell>
          <cell r="D434" t="str">
            <v>Bagoes Bangunan</v>
          </cell>
          <cell r="E434" t="str">
            <v>ABACUS BALI</v>
          </cell>
          <cell r="F434">
            <v>1</v>
          </cell>
          <cell r="G434" t="str">
            <v>04-Denpasar</v>
          </cell>
          <cell r="H434" t="str">
            <v>B</v>
          </cell>
          <cell r="I434" t="str">
            <v>CRM</v>
          </cell>
          <cell r="J434" t="str">
            <v>Denpasar</v>
          </cell>
          <cell r="K434" t="str">
            <v>Bali Nusra</v>
          </cell>
          <cell r="L434" t="str">
            <v xml:space="preserve">MON-SUN </v>
          </cell>
          <cell r="M434" t="str">
            <v>(00:00 - 23:59)</v>
          </cell>
          <cell r="N434">
            <v>0</v>
          </cell>
          <cell r="O434">
            <v>0</v>
          </cell>
          <cell r="P434">
            <v>0</v>
          </cell>
          <cell r="Q434">
            <v>1440</v>
          </cell>
        </row>
        <row r="435">
          <cell r="B435" t="str">
            <v>ZRR5</v>
          </cell>
          <cell r="C435" t="str">
            <v>Muhammad Gufron Sofyan</v>
          </cell>
          <cell r="D435" t="str">
            <v>IDM Arafah Lelateng</v>
          </cell>
          <cell r="E435" t="str">
            <v>ABACUS BALI</v>
          </cell>
          <cell r="F435">
            <v>1</v>
          </cell>
          <cell r="G435" t="str">
            <v>04-Denpasar</v>
          </cell>
          <cell r="H435" t="str">
            <v>B</v>
          </cell>
          <cell r="I435" t="str">
            <v>CRM</v>
          </cell>
          <cell r="J435" t="str">
            <v>Negara</v>
          </cell>
          <cell r="K435" t="str">
            <v>Bali Nusra</v>
          </cell>
          <cell r="L435" t="str">
            <v xml:space="preserve">MON-SUN </v>
          </cell>
          <cell r="M435" t="str">
            <v>(00:00 - 23:59)</v>
          </cell>
          <cell r="N435">
            <v>0</v>
          </cell>
          <cell r="O435">
            <v>0</v>
          </cell>
          <cell r="P435">
            <v>0</v>
          </cell>
          <cell r="Q435">
            <v>1440</v>
          </cell>
        </row>
        <row r="436">
          <cell r="B436" t="str">
            <v>ZRR6</v>
          </cell>
          <cell r="C436" t="str">
            <v>Farozan Ali Fahmi</v>
          </cell>
          <cell r="D436" t="str">
            <v>IDM Celuk 3 Gianyar</v>
          </cell>
          <cell r="E436" t="str">
            <v>ABACUS BALI</v>
          </cell>
          <cell r="F436">
            <v>1</v>
          </cell>
          <cell r="G436" t="str">
            <v>04-Denpasar</v>
          </cell>
          <cell r="H436" t="str">
            <v>B</v>
          </cell>
          <cell r="I436" t="str">
            <v>CRM</v>
          </cell>
          <cell r="J436" t="str">
            <v>Denpasar</v>
          </cell>
          <cell r="K436" t="str">
            <v>Bali Nusra</v>
          </cell>
          <cell r="L436" t="str">
            <v xml:space="preserve">MON-SUN </v>
          </cell>
          <cell r="M436" t="str">
            <v>(00:00 - 23:59)</v>
          </cell>
          <cell r="N436">
            <v>0</v>
          </cell>
          <cell r="O436">
            <v>0</v>
          </cell>
          <cell r="P436">
            <v>0</v>
          </cell>
          <cell r="Q436">
            <v>1440</v>
          </cell>
        </row>
        <row r="437">
          <cell r="B437" t="str">
            <v>ZRT5</v>
          </cell>
          <cell r="C437" t="str">
            <v>Muhammad Gufron Sofyan</v>
          </cell>
          <cell r="D437" t="str">
            <v>IDM F511 Udayana</v>
          </cell>
          <cell r="E437" t="str">
            <v>ABACUS BALI</v>
          </cell>
          <cell r="F437">
            <v>1</v>
          </cell>
          <cell r="G437" t="str">
            <v>04-Denpasar</v>
          </cell>
          <cell r="H437" t="str">
            <v>B</v>
          </cell>
          <cell r="I437" t="str">
            <v>CRM</v>
          </cell>
          <cell r="J437" t="str">
            <v>Negara</v>
          </cell>
          <cell r="K437" t="str">
            <v>Bali Nusra</v>
          </cell>
          <cell r="L437" t="str">
            <v xml:space="preserve">MON-SUN </v>
          </cell>
          <cell r="M437" t="str">
            <v>(00:00 - 23:59)</v>
          </cell>
          <cell r="N437">
            <v>1</v>
          </cell>
          <cell r="O437">
            <v>23</v>
          </cell>
          <cell r="P437">
            <v>1.6</v>
          </cell>
          <cell r="Q437">
            <v>1440</v>
          </cell>
        </row>
        <row r="438">
          <cell r="B438" t="str">
            <v>ZRT6</v>
          </cell>
          <cell r="C438" t="str">
            <v>Farozan Ali Fahmi</v>
          </cell>
          <cell r="D438" t="str">
            <v>IDM Candibaru Gianyar</v>
          </cell>
          <cell r="E438" t="str">
            <v>ABACUS BALI</v>
          </cell>
          <cell r="F438">
            <v>1</v>
          </cell>
          <cell r="G438" t="str">
            <v>04-Denpasar</v>
          </cell>
          <cell r="H438" t="str">
            <v>B</v>
          </cell>
          <cell r="I438" t="str">
            <v>CRM</v>
          </cell>
          <cell r="J438" t="str">
            <v>Denpasar</v>
          </cell>
          <cell r="K438" t="str">
            <v>Bali Nusra</v>
          </cell>
          <cell r="L438" t="str">
            <v xml:space="preserve">MON-SUN </v>
          </cell>
          <cell r="M438" t="str">
            <v>(07:00 - 22:00)</v>
          </cell>
          <cell r="N438">
            <v>0</v>
          </cell>
          <cell r="O438">
            <v>0</v>
          </cell>
          <cell r="P438">
            <v>0</v>
          </cell>
          <cell r="Q438">
            <v>900</v>
          </cell>
        </row>
        <row r="439">
          <cell r="B439" t="str">
            <v>ZRU6</v>
          </cell>
          <cell r="C439" t="str">
            <v>Revaldi Resha Wardhana</v>
          </cell>
          <cell r="D439" t="str">
            <v>Alfa Gatsu Barat I Dps</v>
          </cell>
          <cell r="E439" t="str">
            <v>ABACUS BALI</v>
          </cell>
          <cell r="F439">
            <v>1</v>
          </cell>
          <cell r="G439" t="str">
            <v>04-Denpasar</v>
          </cell>
          <cell r="H439" t="str">
            <v>B</v>
          </cell>
          <cell r="I439" t="str">
            <v>CRM</v>
          </cell>
          <cell r="J439" t="str">
            <v>Denpasar</v>
          </cell>
          <cell r="K439" t="str">
            <v>Bali Nusra</v>
          </cell>
          <cell r="L439" t="str">
            <v xml:space="preserve">MON-SUN </v>
          </cell>
          <cell r="M439" t="str">
            <v>(06:00 - 23:00)</v>
          </cell>
          <cell r="N439">
            <v>0</v>
          </cell>
          <cell r="O439">
            <v>0</v>
          </cell>
          <cell r="P439">
            <v>0</v>
          </cell>
          <cell r="Q439">
            <v>1020</v>
          </cell>
        </row>
        <row r="440">
          <cell r="B440" t="str">
            <v>ZRW6</v>
          </cell>
          <cell r="C440" t="str">
            <v>Bambang Yuniarko</v>
          </cell>
          <cell r="D440" t="str">
            <v>Alfa Q207 Akasia Denpasar</v>
          </cell>
          <cell r="E440" t="str">
            <v>ANDALAN BALI</v>
          </cell>
          <cell r="F440">
            <v>1</v>
          </cell>
          <cell r="G440" t="str">
            <v>04-Denpasar</v>
          </cell>
          <cell r="H440" t="str">
            <v>B</v>
          </cell>
          <cell r="I440" t="str">
            <v>CRM</v>
          </cell>
          <cell r="J440" t="str">
            <v>Denpasar</v>
          </cell>
          <cell r="K440" t="str">
            <v>Bali Nusra</v>
          </cell>
          <cell r="L440" t="str">
            <v xml:space="preserve">MON-SUN </v>
          </cell>
          <cell r="M440" t="str">
            <v>(06:00 - 23:00)</v>
          </cell>
          <cell r="N440">
            <v>0</v>
          </cell>
          <cell r="O440">
            <v>0</v>
          </cell>
          <cell r="P440">
            <v>0</v>
          </cell>
          <cell r="Q440">
            <v>1020</v>
          </cell>
        </row>
        <row r="441">
          <cell r="B441" t="str">
            <v>ZRX6</v>
          </cell>
          <cell r="C441" t="str">
            <v>Bambang Yuniarko</v>
          </cell>
          <cell r="D441" t="str">
            <v>Alfa Sesetan II</v>
          </cell>
          <cell r="E441" t="str">
            <v>ANDALAN BALI</v>
          </cell>
          <cell r="F441">
            <v>1</v>
          </cell>
          <cell r="G441" t="str">
            <v>04-Denpasar</v>
          </cell>
          <cell r="H441" t="str">
            <v>B</v>
          </cell>
          <cell r="I441" t="str">
            <v>CRM</v>
          </cell>
          <cell r="J441" t="str">
            <v>Denpasar</v>
          </cell>
          <cell r="K441" t="str">
            <v>Bali Nusra</v>
          </cell>
          <cell r="L441" t="str">
            <v xml:space="preserve">MON-SUN </v>
          </cell>
          <cell r="M441" t="str">
            <v>(00:00 - 23:59)</v>
          </cell>
          <cell r="N441">
            <v>0</v>
          </cell>
          <cell r="O441">
            <v>0</v>
          </cell>
          <cell r="P441">
            <v>0</v>
          </cell>
          <cell r="Q441">
            <v>1440</v>
          </cell>
        </row>
        <row r="442">
          <cell r="B442" t="str">
            <v>ZRY6</v>
          </cell>
          <cell r="C442" t="str">
            <v>Bambang Yuniarko</v>
          </cell>
          <cell r="D442" t="str">
            <v>Alfa Suropati</v>
          </cell>
          <cell r="E442" t="str">
            <v>ANDALAN BALI</v>
          </cell>
          <cell r="F442">
            <v>1</v>
          </cell>
          <cell r="G442" t="str">
            <v>04-Denpasar</v>
          </cell>
          <cell r="H442" t="str">
            <v>B</v>
          </cell>
          <cell r="I442" t="str">
            <v>CRM</v>
          </cell>
          <cell r="J442" t="str">
            <v>Denpasar</v>
          </cell>
          <cell r="K442" t="str">
            <v>Bali Nusra</v>
          </cell>
          <cell r="L442" t="str">
            <v xml:space="preserve">MON-SUN </v>
          </cell>
          <cell r="M442" t="str">
            <v>(00:00 - 23:59)</v>
          </cell>
          <cell r="N442">
            <v>2</v>
          </cell>
          <cell r="O442">
            <v>114</v>
          </cell>
          <cell r="P442">
            <v>7.92</v>
          </cell>
          <cell r="Q442">
            <v>1440</v>
          </cell>
        </row>
        <row r="443">
          <cell r="B443" t="str">
            <v>ZRZ6</v>
          </cell>
          <cell r="C443" t="str">
            <v>Bambang Yuniarko</v>
          </cell>
          <cell r="D443" t="str">
            <v>Alfa Tukad Buaji</v>
          </cell>
          <cell r="E443" t="str">
            <v>ANDALAN BALI</v>
          </cell>
          <cell r="F443">
            <v>1</v>
          </cell>
          <cell r="G443" t="str">
            <v>04-Denpasar</v>
          </cell>
          <cell r="H443" t="str">
            <v>B</v>
          </cell>
          <cell r="I443" t="str">
            <v>CRM</v>
          </cell>
          <cell r="J443" t="str">
            <v>Denpasar</v>
          </cell>
          <cell r="K443" t="str">
            <v>Bali Nusra</v>
          </cell>
          <cell r="L443" t="str">
            <v xml:space="preserve">MON-SUN </v>
          </cell>
          <cell r="M443" t="str">
            <v>(00:00 - 23:59)</v>
          </cell>
          <cell r="N443">
            <v>1</v>
          </cell>
          <cell r="O443">
            <v>32</v>
          </cell>
          <cell r="P443">
            <v>2.2200000000000002</v>
          </cell>
          <cell r="Q443">
            <v>1440</v>
          </cell>
        </row>
        <row r="444">
          <cell r="B444" t="str">
            <v>ZTQ4</v>
          </cell>
          <cell r="C444" t="str">
            <v>Leonardo A Ruly</v>
          </cell>
          <cell r="D444" t="str">
            <v>Waingapu</v>
          </cell>
          <cell r="E444" t="str">
            <v>KUPANG</v>
          </cell>
          <cell r="F444">
            <v>4</v>
          </cell>
          <cell r="G444" t="str">
            <v>04-Denpasar</v>
          </cell>
          <cell r="H444" t="str">
            <v>B</v>
          </cell>
          <cell r="I444" t="str">
            <v>CRM</v>
          </cell>
          <cell r="J444" t="str">
            <v>Kupang</v>
          </cell>
          <cell r="K444" t="str">
            <v>Bali Nusra</v>
          </cell>
          <cell r="L444" t="str">
            <v xml:space="preserve">MON-SUN </v>
          </cell>
          <cell r="M444" t="str">
            <v>(00:00 - 23:59)</v>
          </cell>
          <cell r="N444">
            <v>0</v>
          </cell>
          <cell r="O444">
            <v>414</v>
          </cell>
          <cell r="P444">
            <v>28.75</v>
          </cell>
          <cell r="Q444">
            <v>1440</v>
          </cell>
        </row>
        <row r="445">
          <cell r="B445" t="str">
            <v>ZTR4</v>
          </cell>
          <cell r="C445" t="str">
            <v>Leonardo A Ruly</v>
          </cell>
          <cell r="D445" t="str">
            <v>Waingapu</v>
          </cell>
          <cell r="E445" t="str">
            <v>KUPANG</v>
          </cell>
          <cell r="F445">
            <v>4</v>
          </cell>
          <cell r="G445" t="str">
            <v>04-Denpasar</v>
          </cell>
          <cell r="H445" t="str">
            <v>B</v>
          </cell>
          <cell r="I445" t="str">
            <v>CRM</v>
          </cell>
          <cell r="J445" t="str">
            <v>Kupang</v>
          </cell>
          <cell r="K445" t="str">
            <v>Bali Nusra</v>
          </cell>
          <cell r="L445" t="str">
            <v xml:space="preserve">MON-SUN </v>
          </cell>
          <cell r="M445" t="str">
            <v>(00:00 - 23:59)</v>
          </cell>
          <cell r="N445">
            <v>1</v>
          </cell>
          <cell r="O445">
            <v>92</v>
          </cell>
          <cell r="P445">
            <v>6.39</v>
          </cell>
          <cell r="Q445">
            <v>1440</v>
          </cell>
        </row>
        <row r="446">
          <cell r="B446" t="str">
            <v>ZTZ9</v>
          </cell>
          <cell r="C446" t="str">
            <v>Yunarius Raynold Gege</v>
          </cell>
          <cell r="D446" t="str">
            <v>IDM Veteran Kupang</v>
          </cell>
          <cell r="E446" t="str">
            <v>ADVANTAGE KUPANG</v>
          </cell>
          <cell r="F446">
            <v>1</v>
          </cell>
          <cell r="G446" t="str">
            <v>04-Denpasar</v>
          </cell>
          <cell r="H446" t="str">
            <v>B</v>
          </cell>
          <cell r="I446" t="str">
            <v>CRM</v>
          </cell>
          <cell r="J446" t="str">
            <v>Kupang</v>
          </cell>
          <cell r="K446" t="str">
            <v>Bali Nusra</v>
          </cell>
          <cell r="L446" t="str">
            <v xml:space="preserve">MON-SUN </v>
          </cell>
          <cell r="M446" t="str">
            <v>(07:00 - 23:00)</v>
          </cell>
          <cell r="N446">
            <v>0</v>
          </cell>
          <cell r="O446">
            <v>0</v>
          </cell>
          <cell r="P446">
            <v>0</v>
          </cell>
          <cell r="Q446">
            <v>960</v>
          </cell>
        </row>
        <row r="447">
          <cell r="B447" t="str">
            <v>ZUB7</v>
          </cell>
          <cell r="C447" t="str">
            <v>Revaldi Resha Wardhana</v>
          </cell>
          <cell r="D447" t="str">
            <v>Alfa Q661Liligundi</v>
          </cell>
          <cell r="E447" t="str">
            <v>ABACUS BALI</v>
          </cell>
          <cell r="F447">
            <v>1</v>
          </cell>
          <cell r="G447" t="str">
            <v>04-Denpasar</v>
          </cell>
          <cell r="H447" t="str">
            <v>B</v>
          </cell>
          <cell r="I447" t="str">
            <v>CRM</v>
          </cell>
          <cell r="J447" t="str">
            <v>Denpasar</v>
          </cell>
          <cell r="K447" t="str">
            <v>Bali Nusra</v>
          </cell>
          <cell r="L447" t="str">
            <v xml:space="preserve">MON-SUN </v>
          </cell>
          <cell r="M447" t="str">
            <v>(07:00 - 22:00)</v>
          </cell>
          <cell r="N447">
            <v>0</v>
          </cell>
          <cell r="O447">
            <v>0</v>
          </cell>
          <cell r="P447">
            <v>0</v>
          </cell>
          <cell r="Q447">
            <v>900</v>
          </cell>
        </row>
        <row r="448">
          <cell r="B448" t="str">
            <v>ZUP8</v>
          </cell>
          <cell r="C448" t="str">
            <v>Muhammad Ngainun Najib</v>
          </cell>
          <cell r="D448" t="str">
            <v>IDM Uluwatu II</v>
          </cell>
          <cell r="E448" t="str">
            <v>ABACUS BALI</v>
          </cell>
          <cell r="F448">
            <v>1</v>
          </cell>
          <cell r="G448" t="str">
            <v>04-Denpasar</v>
          </cell>
          <cell r="H448" t="str">
            <v>B</v>
          </cell>
          <cell r="I448" t="str">
            <v>CRM</v>
          </cell>
          <cell r="J448" t="str">
            <v>Denpasar</v>
          </cell>
          <cell r="K448" t="str">
            <v>Bali Nusra</v>
          </cell>
          <cell r="L448" t="str">
            <v xml:space="preserve">MON-SUN </v>
          </cell>
          <cell r="M448" t="str">
            <v>(00:00 - 23:59)</v>
          </cell>
          <cell r="N448">
            <v>0</v>
          </cell>
          <cell r="O448">
            <v>0</v>
          </cell>
          <cell r="P448">
            <v>0</v>
          </cell>
          <cell r="Q448">
            <v>1440</v>
          </cell>
        </row>
        <row r="449">
          <cell r="B449" t="str">
            <v>ZY9N</v>
          </cell>
          <cell r="C449" t="str">
            <v>Rio Erdiansyah</v>
          </cell>
          <cell r="D449" t="str">
            <v>Alfa Sangsit</v>
          </cell>
          <cell r="E449" t="str">
            <v>ABACUS BALI</v>
          </cell>
          <cell r="F449">
            <v>1</v>
          </cell>
          <cell r="G449" t="str">
            <v>04-Denpasar</v>
          </cell>
          <cell r="H449" t="str">
            <v>B</v>
          </cell>
          <cell r="I449" t="str">
            <v>CRM</v>
          </cell>
          <cell r="J449" t="str">
            <v>Singaraja</v>
          </cell>
          <cell r="K449" t="str">
            <v>Bali Nusra</v>
          </cell>
          <cell r="L449" t="str">
            <v xml:space="preserve">MON-SUN </v>
          </cell>
          <cell r="M449" t="str">
            <v>(00:00 - 23:59)</v>
          </cell>
          <cell r="N449">
            <v>0</v>
          </cell>
          <cell r="O449">
            <v>0</v>
          </cell>
          <cell r="P449">
            <v>0</v>
          </cell>
          <cell r="Q449">
            <v>1440</v>
          </cell>
        </row>
        <row r="450">
          <cell r="B450" t="str">
            <v>ZY9P</v>
          </cell>
          <cell r="C450" t="str">
            <v>Rio Erdiansyah</v>
          </cell>
          <cell r="D450" t="str">
            <v>IDM Untung Surapati</v>
          </cell>
          <cell r="E450" t="str">
            <v>ABACUS BALI</v>
          </cell>
          <cell r="F450">
            <v>1</v>
          </cell>
          <cell r="G450" t="str">
            <v>04-Denpasar</v>
          </cell>
          <cell r="H450" t="str">
            <v>B</v>
          </cell>
          <cell r="I450" t="str">
            <v>CRM</v>
          </cell>
          <cell r="J450" t="str">
            <v>Singaraja</v>
          </cell>
          <cell r="K450" t="str">
            <v>Bali Nusra</v>
          </cell>
          <cell r="L450" t="str">
            <v xml:space="preserve">MON-SUN </v>
          </cell>
          <cell r="M450" t="str">
            <v>(00:00 - 23:59)</v>
          </cell>
          <cell r="N450">
            <v>0</v>
          </cell>
          <cell r="O450">
            <v>0</v>
          </cell>
          <cell r="P450">
            <v>0</v>
          </cell>
          <cell r="Q450">
            <v>1440</v>
          </cell>
        </row>
        <row r="451">
          <cell r="B451" t="str">
            <v>ZZ4A</v>
          </cell>
          <cell r="C451" t="str">
            <v>Eko Adi Sugiyantoro</v>
          </cell>
          <cell r="D451" t="str">
            <v>IDM Tegal Permai</v>
          </cell>
          <cell r="E451" t="str">
            <v>ABACUS BALI</v>
          </cell>
          <cell r="F451">
            <v>1</v>
          </cell>
          <cell r="G451" t="str">
            <v>04-Denpasar</v>
          </cell>
          <cell r="H451" t="str">
            <v>B</v>
          </cell>
          <cell r="I451" t="str">
            <v>CRM</v>
          </cell>
          <cell r="J451" t="str">
            <v>Denpasar</v>
          </cell>
          <cell r="K451" t="str">
            <v>Bali Nusra</v>
          </cell>
          <cell r="L451" t="str">
            <v xml:space="preserve">MON-SUN </v>
          </cell>
          <cell r="M451" t="str">
            <v>(07:00 - 22:00)</v>
          </cell>
          <cell r="N451">
            <v>1</v>
          </cell>
          <cell r="O451">
            <v>34</v>
          </cell>
          <cell r="P451">
            <v>3.78</v>
          </cell>
          <cell r="Q451">
            <v>900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CEBC5-DE62-487B-A88F-0AA44DF246B6}">
  <dimension ref="A1:BR447"/>
  <sheetViews>
    <sheetView tabSelected="1" workbookViewId="0">
      <selection activeCell="B1" sqref="B1"/>
    </sheetView>
  </sheetViews>
  <sheetFormatPr defaultRowHeight="14.5" x14ac:dyDescent="0.35"/>
  <sheetData>
    <row r="1" spans="1:70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t="s">
        <v>34</v>
      </c>
      <c r="AJ1" s="2" t="s">
        <v>35</v>
      </c>
      <c r="AK1" s="2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ht="15" customHeight="1" x14ac:dyDescent="0.35">
      <c r="A2" s="1" t="str">
        <f>LEFT(B2,LEN(B2)-3)</f>
        <v>164R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b">
        <v>0</v>
      </c>
      <c r="K2" t="s">
        <v>78</v>
      </c>
      <c r="L2" t="s">
        <v>79</v>
      </c>
      <c r="M2" t="s">
        <v>80</v>
      </c>
      <c r="N2" t="s">
        <v>81</v>
      </c>
      <c r="O2" t="s">
        <v>82</v>
      </c>
      <c r="P2" t="s">
        <v>83</v>
      </c>
      <c r="Q2" t="s">
        <v>84</v>
      </c>
      <c r="R2">
        <v>24</v>
      </c>
      <c r="S2" t="s">
        <v>85</v>
      </c>
      <c r="T2" t="s">
        <v>85</v>
      </c>
      <c r="U2">
        <v>1111111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91</v>
      </c>
      <c r="AB2">
        <v>1</v>
      </c>
      <c r="AC2">
        <v>6</v>
      </c>
      <c r="AD2" t="b">
        <v>1</v>
      </c>
      <c r="AE2">
        <v>2020</v>
      </c>
      <c r="AF2" s="3">
        <v>367</v>
      </c>
      <c r="AG2" s="3">
        <v>44237</v>
      </c>
      <c r="AH2" s="3">
        <v>45351</v>
      </c>
      <c r="AJ2" s="4"/>
      <c r="AK2" s="4"/>
      <c r="AL2" s="3">
        <v>44256</v>
      </c>
      <c r="AM2" s="3">
        <v>45443</v>
      </c>
      <c r="AN2">
        <v>-10.166402700000001</v>
      </c>
      <c r="AO2">
        <v>123.6088743</v>
      </c>
      <c r="AP2" t="s">
        <v>92</v>
      </c>
      <c r="AQ2" s="5" t="s">
        <v>93</v>
      </c>
      <c r="AR2" s="5" t="s">
        <v>94</v>
      </c>
      <c r="AS2" t="s">
        <v>80</v>
      </c>
      <c r="AT2">
        <v>99.75</v>
      </c>
      <c r="AU2" t="s">
        <v>95</v>
      </c>
      <c r="AV2" t="s">
        <v>96</v>
      </c>
      <c r="AW2">
        <v>-8.6991940000000003</v>
      </c>
      <c r="AX2">
        <v>115.216222</v>
      </c>
      <c r="AY2" t="s">
        <v>91</v>
      </c>
      <c r="AZ2" t="s">
        <v>97</v>
      </c>
      <c r="BA2">
        <v>-10.158110499999999</v>
      </c>
      <c r="BB2">
        <v>123.63743409999999</v>
      </c>
      <c r="BC2" t="s">
        <v>98</v>
      </c>
      <c r="BD2" s="5" t="s">
        <v>99</v>
      </c>
      <c r="BE2">
        <v>-10.158587000000001</v>
      </c>
      <c r="BF2">
        <v>123.599051</v>
      </c>
      <c r="BG2" t="s">
        <v>100</v>
      </c>
      <c r="BH2" t="s">
        <v>101</v>
      </c>
      <c r="BI2" t="s">
        <v>102</v>
      </c>
      <c r="BJ2">
        <v>3</v>
      </c>
      <c r="BL2">
        <v>1</v>
      </c>
      <c r="BM2" t="s">
        <v>103</v>
      </c>
      <c r="BN2">
        <v>4.3</v>
      </c>
      <c r="BO2" s="6">
        <v>6.9444444444444441E-3</v>
      </c>
      <c r="BP2">
        <v>934.66</v>
      </c>
      <c r="BQ2">
        <v>3.43</v>
      </c>
      <c r="BR2">
        <v>1.1200000000000001</v>
      </c>
    </row>
    <row r="3" spans="1:70" ht="15" customHeight="1" x14ac:dyDescent="0.35">
      <c r="A3" s="1" t="str">
        <f t="shared" ref="A3:A66" si="0">LEFT(B3,LEN(B3)-3)</f>
        <v>037W</v>
      </c>
      <c r="B3" t="s">
        <v>104</v>
      </c>
      <c r="C3" t="s">
        <v>105</v>
      </c>
      <c r="D3" t="s">
        <v>106</v>
      </c>
      <c r="E3" t="s">
        <v>107</v>
      </c>
      <c r="F3" t="s">
        <v>74</v>
      </c>
      <c r="G3" t="s">
        <v>75</v>
      </c>
      <c r="H3" t="s">
        <v>76</v>
      </c>
      <c r="I3" t="s">
        <v>108</v>
      </c>
      <c r="J3" t="b">
        <v>0</v>
      </c>
      <c r="K3" t="s">
        <v>78</v>
      </c>
      <c r="L3" t="s">
        <v>79</v>
      </c>
      <c r="M3" t="s">
        <v>80</v>
      </c>
      <c r="N3" t="s">
        <v>81</v>
      </c>
      <c r="O3" t="s">
        <v>82</v>
      </c>
      <c r="P3" t="s">
        <v>83</v>
      </c>
      <c r="Q3" t="s">
        <v>84</v>
      </c>
      <c r="R3">
        <v>24</v>
      </c>
      <c r="S3" t="s">
        <v>85</v>
      </c>
      <c r="T3" t="s">
        <v>85</v>
      </c>
      <c r="U3">
        <v>1111111</v>
      </c>
      <c r="V3" t="s">
        <v>86</v>
      </c>
      <c r="W3" t="s">
        <v>87</v>
      </c>
      <c r="X3" t="s">
        <v>88</v>
      </c>
      <c r="Y3" t="s">
        <v>89</v>
      </c>
      <c r="Z3" t="s">
        <v>90</v>
      </c>
      <c r="AA3" t="s">
        <v>91</v>
      </c>
      <c r="AB3">
        <v>1</v>
      </c>
      <c r="AC3">
        <v>6</v>
      </c>
      <c r="AD3" t="b">
        <v>1</v>
      </c>
      <c r="AE3">
        <v>2020</v>
      </c>
      <c r="AF3" s="3">
        <v>367</v>
      </c>
      <c r="AG3" s="3">
        <v>44237</v>
      </c>
      <c r="AH3" s="3">
        <v>45351</v>
      </c>
      <c r="AJ3" s="4"/>
      <c r="AK3" s="4"/>
      <c r="AL3" s="3">
        <v>44256</v>
      </c>
      <c r="AM3" s="3">
        <v>45443</v>
      </c>
      <c r="AN3">
        <v>-10.167460999999999</v>
      </c>
      <c r="AO3">
        <v>123.6290992</v>
      </c>
      <c r="AP3" t="s">
        <v>107</v>
      </c>
      <c r="AQ3" s="5" t="s">
        <v>93</v>
      </c>
      <c r="AR3" s="5" t="s">
        <v>94</v>
      </c>
      <c r="AS3" t="s">
        <v>80</v>
      </c>
      <c r="AT3">
        <v>99.75</v>
      </c>
      <c r="AU3" t="s">
        <v>95</v>
      </c>
      <c r="AV3" t="s">
        <v>96</v>
      </c>
      <c r="AW3">
        <v>-8.6991940000000003</v>
      </c>
      <c r="AX3">
        <v>115.216222</v>
      </c>
      <c r="AY3" t="s">
        <v>91</v>
      </c>
      <c r="AZ3" t="s">
        <v>97</v>
      </c>
      <c r="BA3">
        <v>-10.158110499999999</v>
      </c>
      <c r="BB3">
        <v>123.63743409999999</v>
      </c>
      <c r="BC3" t="s">
        <v>98</v>
      </c>
      <c r="BD3" s="5" t="s">
        <v>99</v>
      </c>
      <c r="BE3">
        <v>-10.158587000000001</v>
      </c>
      <c r="BF3">
        <v>123.599051</v>
      </c>
      <c r="BG3" t="s">
        <v>100</v>
      </c>
      <c r="BH3" t="s">
        <v>101</v>
      </c>
      <c r="BI3" t="s">
        <v>102</v>
      </c>
      <c r="BJ3">
        <v>3</v>
      </c>
      <c r="BL3">
        <v>1</v>
      </c>
      <c r="BM3" t="s">
        <v>103</v>
      </c>
      <c r="BN3">
        <v>2.1</v>
      </c>
      <c r="BO3" s="6">
        <v>6.2500000000000003E-3</v>
      </c>
      <c r="BP3">
        <v>937.1</v>
      </c>
      <c r="BQ3">
        <v>1.38</v>
      </c>
      <c r="BR3">
        <v>3.43</v>
      </c>
    </row>
    <row r="4" spans="1:70" ht="15" customHeight="1" x14ac:dyDescent="0.35">
      <c r="A4" s="1" t="str">
        <f t="shared" si="0"/>
        <v>238X</v>
      </c>
      <c r="B4" t="s">
        <v>109</v>
      </c>
      <c r="C4" t="s">
        <v>110</v>
      </c>
      <c r="D4" t="s">
        <v>111</v>
      </c>
      <c r="E4" t="s">
        <v>112</v>
      </c>
      <c r="F4" t="s">
        <v>74</v>
      </c>
      <c r="G4" t="s">
        <v>75</v>
      </c>
      <c r="H4" t="s">
        <v>76</v>
      </c>
      <c r="I4" t="s">
        <v>113</v>
      </c>
      <c r="J4" t="b">
        <v>0</v>
      </c>
      <c r="K4" t="s">
        <v>78</v>
      </c>
      <c r="L4" t="s">
        <v>79</v>
      </c>
      <c r="N4" t="s">
        <v>81</v>
      </c>
      <c r="O4" t="s">
        <v>82</v>
      </c>
      <c r="P4" t="s">
        <v>83</v>
      </c>
      <c r="Q4" t="s">
        <v>84</v>
      </c>
      <c r="R4">
        <v>15</v>
      </c>
      <c r="S4" t="s">
        <v>85</v>
      </c>
      <c r="T4" t="s">
        <v>85</v>
      </c>
      <c r="U4">
        <v>1111111</v>
      </c>
      <c r="V4" t="s">
        <v>86</v>
      </c>
      <c r="W4" t="s">
        <v>114</v>
      </c>
      <c r="X4" t="s">
        <v>115</v>
      </c>
      <c r="Y4" t="s">
        <v>89</v>
      </c>
      <c r="Z4" t="s">
        <v>90</v>
      </c>
      <c r="AA4" t="s">
        <v>91</v>
      </c>
      <c r="AB4">
        <v>1</v>
      </c>
      <c r="AC4">
        <v>6</v>
      </c>
      <c r="AD4" t="b">
        <v>1</v>
      </c>
      <c r="AE4">
        <v>2021</v>
      </c>
      <c r="AF4" s="3">
        <v>367</v>
      </c>
      <c r="AG4" s="3">
        <v>44494</v>
      </c>
      <c r="AH4" s="3">
        <v>45587</v>
      </c>
      <c r="AJ4" s="4"/>
      <c r="AK4" s="4"/>
      <c r="AL4" s="3">
        <v>367</v>
      </c>
      <c r="AM4" s="3">
        <v>367</v>
      </c>
      <c r="AN4">
        <v>-10.1725555</v>
      </c>
      <c r="AO4">
        <v>123.60422130000001</v>
      </c>
      <c r="AP4" t="s">
        <v>112</v>
      </c>
      <c r="AQ4">
        <v>0</v>
      </c>
      <c r="AR4">
        <v>0</v>
      </c>
      <c r="AS4">
        <v>0</v>
      </c>
      <c r="AT4">
        <v>99.75</v>
      </c>
      <c r="AW4">
        <v>0</v>
      </c>
      <c r="AX4">
        <v>0</v>
      </c>
      <c r="BA4">
        <v>0</v>
      </c>
      <c r="BB4">
        <v>0</v>
      </c>
      <c r="BE4">
        <v>0</v>
      </c>
      <c r="BF4">
        <v>0</v>
      </c>
      <c r="BJ4">
        <v>0</v>
      </c>
      <c r="BL4">
        <v>0</v>
      </c>
      <c r="BN4">
        <v>0</v>
      </c>
      <c r="BO4" s="6">
        <v>0</v>
      </c>
      <c r="BP4">
        <v>0</v>
      </c>
      <c r="BQ4">
        <v>0</v>
      </c>
      <c r="BR4">
        <v>0</v>
      </c>
    </row>
    <row r="5" spans="1:70" ht="15" customHeight="1" x14ac:dyDescent="0.35">
      <c r="A5" s="1" t="str">
        <f t="shared" si="0"/>
        <v>492W</v>
      </c>
      <c r="B5" t="s">
        <v>116</v>
      </c>
      <c r="C5" t="s">
        <v>117</v>
      </c>
      <c r="D5" t="s">
        <v>118</v>
      </c>
      <c r="E5" t="s">
        <v>119</v>
      </c>
      <c r="F5" t="s">
        <v>120</v>
      </c>
      <c r="G5" t="s">
        <v>75</v>
      </c>
      <c r="H5" t="s">
        <v>76</v>
      </c>
      <c r="I5" t="s">
        <v>113</v>
      </c>
      <c r="J5" t="b">
        <v>0</v>
      </c>
      <c r="K5" t="s">
        <v>78</v>
      </c>
      <c r="L5" t="s">
        <v>79</v>
      </c>
      <c r="N5" t="s">
        <v>81</v>
      </c>
      <c r="O5" t="s">
        <v>82</v>
      </c>
      <c r="P5" t="s">
        <v>83</v>
      </c>
      <c r="Q5" t="s">
        <v>84</v>
      </c>
      <c r="R5">
        <v>15</v>
      </c>
      <c r="S5" t="s">
        <v>85</v>
      </c>
      <c r="T5" t="s">
        <v>121</v>
      </c>
      <c r="U5">
        <v>1111111</v>
      </c>
      <c r="V5" t="s">
        <v>122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>
        <v>1</v>
      </c>
      <c r="AC5">
        <v>6</v>
      </c>
      <c r="AD5" t="b">
        <v>1</v>
      </c>
      <c r="AE5">
        <v>2022</v>
      </c>
      <c r="AF5" s="3">
        <v>367</v>
      </c>
      <c r="AG5" s="3">
        <v>44730</v>
      </c>
      <c r="AH5" s="3">
        <v>45818</v>
      </c>
      <c r="AJ5" s="4"/>
      <c r="AK5" s="4"/>
      <c r="AL5" s="3">
        <v>367</v>
      </c>
      <c r="AM5" s="3">
        <v>367</v>
      </c>
      <c r="AN5">
        <v>-10.1579788</v>
      </c>
      <c r="AO5">
        <v>123.6325002</v>
      </c>
      <c r="AP5" t="s">
        <v>119</v>
      </c>
      <c r="AT5">
        <v>99.75</v>
      </c>
      <c r="AW5">
        <v>0</v>
      </c>
      <c r="AX5">
        <v>0</v>
      </c>
      <c r="BA5">
        <v>0</v>
      </c>
      <c r="BB5">
        <v>0</v>
      </c>
      <c r="BE5">
        <v>0</v>
      </c>
      <c r="BF5">
        <v>0</v>
      </c>
      <c r="BJ5">
        <v>0</v>
      </c>
      <c r="BL5">
        <v>0</v>
      </c>
      <c r="BN5">
        <v>0</v>
      </c>
      <c r="BO5" s="6">
        <v>0</v>
      </c>
      <c r="BP5">
        <v>0</v>
      </c>
      <c r="BQ5">
        <v>0</v>
      </c>
      <c r="BR5">
        <v>0</v>
      </c>
    </row>
    <row r="6" spans="1:70" ht="15" customHeight="1" x14ac:dyDescent="0.35">
      <c r="A6" s="1" t="str">
        <f t="shared" si="0"/>
        <v>624T</v>
      </c>
      <c r="B6" t="s">
        <v>123</v>
      </c>
      <c r="C6" t="s">
        <v>124</v>
      </c>
      <c r="D6" t="s">
        <v>125</v>
      </c>
      <c r="E6" t="s">
        <v>126</v>
      </c>
      <c r="F6" t="s">
        <v>74</v>
      </c>
      <c r="G6" t="s">
        <v>75</v>
      </c>
      <c r="H6" t="s">
        <v>76</v>
      </c>
      <c r="I6" t="s">
        <v>77</v>
      </c>
      <c r="J6" t="b">
        <v>0</v>
      </c>
      <c r="K6" t="s">
        <v>78</v>
      </c>
      <c r="L6" t="s">
        <v>79</v>
      </c>
      <c r="N6" t="s">
        <v>81</v>
      </c>
      <c r="O6" t="s">
        <v>82</v>
      </c>
      <c r="P6" t="s">
        <v>83</v>
      </c>
      <c r="Q6" t="s">
        <v>84</v>
      </c>
      <c r="R6">
        <v>15</v>
      </c>
      <c r="S6" t="s">
        <v>85</v>
      </c>
      <c r="T6" t="s">
        <v>121</v>
      </c>
      <c r="U6">
        <v>1111111</v>
      </c>
      <c r="V6" t="s">
        <v>122</v>
      </c>
      <c r="W6" t="s">
        <v>87</v>
      </c>
      <c r="X6" t="s">
        <v>88</v>
      </c>
      <c r="Y6" t="s">
        <v>89</v>
      </c>
      <c r="Z6" t="s">
        <v>90</v>
      </c>
      <c r="AA6" t="s">
        <v>91</v>
      </c>
      <c r="AB6">
        <v>1</v>
      </c>
      <c r="AC6">
        <v>6</v>
      </c>
      <c r="AD6" t="b">
        <v>1</v>
      </c>
      <c r="AE6">
        <v>2022</v>
      </c>
      <c r="AF6" s="3">
        <v>367</v>
      </c>
      <c r="AG6" s="3">
        <v>44727</v>
      </c>
      <c r="AH6" s="3">
        <v>45818</v>
      </c>
      <c r="AJ6" s="4"/>
      <c r="AK6" s="4"/>
      <c r="AL6" s="3">
        <v>367</v>
      </c>
      <c r="AM6" s="3">
        <v>367</v>
      </c>
      <c r="AN6">
        <v>-10.168417099999999</v>
      </c>
      <c r="AO6">
        <v>123.6284582</v>
      </c>
      <c r="AP6" t="s">
        <v>127</v>
      </c>
      <c r="AT6">
        <v>99.75</v>
      </c>
      <c r="AW6">
        <v>0</v>
      </c>
      <c r="AX6">
        <v>0</v>
      </c>
      <c r="BA6">
        <v>0</v>
      </c>
      <c r="BB6">
        <v>0</v>
      </c>
      <c r="BE6">
        <v>0</v>
      </c>
      <c r="BF6">
        <v>0</v>
      </c>
      <c r="BJ6">
        <v>0</v>
      </c>
      <c r="BL6">
        <v>0</v>
      </c>
      <c r="BN6">
        <v>0</v>
      </c>
      <c r="BO6" s="6">
        <v>0</v>
      </c>
      <c r="BP6">
        <v>0</v>
      </c>
      <c r="BQ6">
        <v>0</v>
      </c>
      <c r="BR6">
        <v>0</v>
      </c>
    </row>
    <row r="7" spans="1:70" ht="15" customHeight="1" x14ac:dyDescent="0.35">
      <c r="A7" s="1" t="str">
        <f t="shared" si="0"/>
        <v>285L</v>
      </c>
      <c r="B7" t="s">
        <v>128</v>
      </c>
      <c r="C7" t="s">
        <v>129</v>
      </c>
      <c r="D7" t="s">
        <v>130</v>
      </c>
      <c r="E7" t="s">
        <v>131</v>
      </c>
      <c r="F7" t="s">
        <v>74</v>
      </c>
      <c r="G7" t="s">
        <v>75</v>
      </c>
      <c r="H7" t="s">
        <v>76</v>
      </c>
      <c r="I7" t="s">
        <v>132</v>
      </c>
      <c r="J7" t="b">
        <v>1</v>
      </c>
      <c r="K7" t="s">
        <v>78</v>
      </c>
      <c r="L7" t="s">
        <v>79</v>
      </c>
      <c r="N7" t="s">
        <v>81</v>
      </c>
      <c r="O7" t="s">
        <v>82</v>
      </c>
      <c r="P7" t="s">
        <v>83</v>
      </c>
      <c r="Q7" t="s">
        <v>84</v>
      </c>
      <c r="R7">
        <v>15</v>
      </c>
      <c r="S7" t="s">
        <v>85</v>
      </c>
      <c r="T7" t="s">
        <v>121</v>
      </c>
      <c r="U7">
        <v>1111111</v>
      </c>
      <c r="V7" t="s">
        <v>122</v>
      </c>
      <c r="W7" t="s">
        <v>114</v>
      </c>
      <c r="X7" t="s">
        <v>115</v>
      </c>
      <c r="Y7" t="s">
        <v>89</v>
      </c>
      <c r="Z7" t="s">
        <v>90</v>
      </c>
      <c r="AA7" t="s">
        <v>91</v>
      </c>
      <c r="AB7">
        <v>1</v>
      </c>
      <c r="AC7">
        <v>6</v>
      </c>
      <c r="AD7" t="b">
        <v>1</v>
      </c>
      <c r="AE7">
        <v>2022</v>
      </c>
      <c r="AF7" s="3">
        <v>367</v>
      </c>
      <c r="AG7" s="3">
        <v>44723</v>
      </c>
      <c r="AH7" s="3">
        <v>45818</v>
      </c>
      <c r="AJ7" s="4"/>
      <c r="AK7" s="4"/>
      <c r="AL7" s="3">
        <v>367</v>
      </c>
      <c r="AM7" s="3">
        <v>367</v>
      </c>
      <c r="AN7">
        <v>-10.1688233</v>
      </c>
      <c r="AO7">
        <v>123.66735629999999</v>
      </c>
      <c r="AP7" t="s">
        <v>131</v>
      </c>
      <c r="AT7">
        <v>99.75</v>
      </c>
      <c r="AW7">
        <v>0</v>
      </c>
      <c r="AX7">
        <v>0</v>
      </c>
      <c r="BA7">
        <v>0</v>
      </c>
      <c r="BB7">
        <v>0</v>
      </c>
      <c r="BE7">
        <v>0</v>
      </c>
      <c r="BF7">
        <v>0</v>
      </c>
      <c r="BJ7">
        <v>0</v>
      </c>
      <c r="BL7">
        <v>0</v>
      </c>
      <c r="BN7">
        <v>0</v>
      </c>
      <c r="BO7" s="6">
        <v>0</v>
      </c>
      <c r="BP7">
        <v>0</v>
      </c>
      <c r="BQ7">
        <v>0</v>
      </c>
      <c r="BR7">
        <v>0</v>
      </c>
    </row>
    <row r="8" spans="1:70" ht="15" customHeight="1" x14ac:dyDescent="0.35">
      <c r="A8" s="1" t="str">
        <f t="shared" si="0"/>
        <v>683F</v>
      </c>
      <c r="B8" t="s">
        <v>133</v>
      </c>
      <c r="C8" t="s">
        <v>134</v>
      </c>
      <c r="D8" t="s">
        <v>135</v>
      </c>
      <c r="E8" t="s">
        <v>136</v>
      </c>
      <c r="F8" t="s">
        <v>74</v>
      </c>
      <c r="G8" t="s">
        <v>75</v>
      </c>
      <c r="H8" t="s">
        <v>76</v>
      </c>
      <c r="I8" t="s">
        <v>137</v>
      </c>
      <c r="J8" t="b">
        <v>0</v>
      </c>
      <c r="K8" t="s">
        <v>78</v>
      </c>
      <c r="L8" t="s">
        <v>79</v>
      </c>
      <c r="N8" t="s">
        <v>81</v>
      </c>
      <c r="O8" t="s">
        <v>82</v>
      </c>
      <c r="P8" t="s">
        <v>83</v>
      </c>
      <c r="Q8" t="s">
        <v>84</v>
      </c>
      <c r="R8">
        <v>15</v>
      </c>
      <c r="S8" t="s">
        <v>85</v>
      </c>
      <c r="T8" t="s">
        <v>121</v>
      </c>
      <c r="U8">
        <v>1111111</v>
      </c>
      <c r="V8" t="s">
        <v>122</v>
      </c>
      <c r="W8" t="s">
        <v>87</v>
      </c>
      <c r="X8" t="s">
        <v>88</v>
      </c>
      <c r="Y8" t="s">
        <v>89</v>
      </c>
      <c r="Z8" t="s">
        <v>90</v>
      </c>
      <c r="AA8" t="s">
        <v>91</v>
      </c>
      <c r="AB8">
        <v>1</v>
      </c>
      <c r="AC8">
        <v>6</v>
      </c>
      <c r="AD8" t="b">
        <v>1</v>
      </c>
      <c r="AE8">
        <v>2022</v>
      </c>
      <c r="AF8" s="3">
        <v>367</v>
      </c>
      <c r="AG8" s="3">
        <v>44764</v>
      </c>
      <c r="AH8" s="3">
        <v>46223</v>
      </c>
      <c r="AJ8" s="4"/>
      <c r="AK8" s="4"/>
      <c r="AL8" s="3">
        <v>367</v>
      </c>
      <c r="AM8" s="3">
        <v>367</v>
      </c>
      <c r="AN8">
        <v>-10.197158999999999</v>
      </c>
      <c r="AO8">
        <v>123.6258627</v>
      </c>
      <c r="AP8" t="s">
        <v>138</v>
      </c>
      <c r="AT8">
        <v>99.75</v>
      </c>
      <c r="AW8">
        <v>0</v>
      </c>
      <c r="AX8">
        <v>0</v>
      </c>
      <c r="BA8">
        <v>0</v>
      </c>
      <c r="BB8">
        <v>0</v>
      </c>
      <c r="BE8">
        <v>0</v>
      </c>
      <c r="BF8">
        <v>0</v>
      </c>
      <c r="BJ8">
        <v>0</v>
      </c>
      <c r="BL8">
        <v>0</v>
      </c>
      <c r="BN8">
        <v>0</v>
      </c>
      <c r="BO8" s="6">
        <v>0</v>
      </c>
      <c r="BP8">
        <v>0</v>
      </c>
      <c r="BQ8">
        <v>0</v>
      </c>
      <c r="BR8">
        <v>0</v>
      </c>
    </row>
    <row r="9" spans="1:70" ht="15" customHeight="1" x14ac:dyDescent="0.35">
      <c r="A9" s="1" t="str">
        <f t="shared" si="0"/>
        <v>00HC</v>
      </c>
      <c r="B9" t="s">
        <v>139</v>
      </c>
      <c r="C9" t="s">
        <v>140</v>
      </c>
      <c r="D9" t="s">
        <v>141</v>
      </c>
      <c r="E9" t="s">
        <v>142</v>
      </c>
      <c r="F9" t="s">
        <v>74</v>
      </c>
      <c r="G9" t="s">
        <v>75</v>
      </c>
      <c r="H9" t="s">
        <v>76</v>
      </c>
      <c r="I9" t="s">
        <v>137</v>
      </c>
      <c r="J9" t="b">
        <v>0</v>
      </c>
      <c r="K9" t="s">
        <v>78</v>
      </c>
      <c r="L9" t="s">
        <v>79</v>
      </c>
      <c r="N9" t="s">
        <v>81</v>
      </c>
      <c r="O9" t="s">
        <v>82</v>
      </c>
      <c r="P9" t="s">
        <v>83</v>
      </c>
      <c r="Q9" t="s">
        <v>84</v>
      </c>
      <c r="R9">
        <v>16</v>
      </c>
      <c r="S9" t="s">
        <v>85</v>
      </c>
      <c r="T9" t="s">
        <v>121</v>
      </c>
      <c r="U9">
        <v>1111111</v>
      </c>
      <c r="V9" t="s">
        <v>122</v>
      </c>
      <c r="W9" t="s">
        <v>87</v>
      </c>
      <c r="X9" t="s">
        <v>88</v>
      </c>
      <c r="Y9" t="s">
        <v>89</v>
      </c>
      <c r="Z9" t="s">
        <v>90</v>
      </c>
      <c r="AA9" t="s">
        <v>91</v>
      </c>
      <c r="AB9">
        <v>1</v>
      </c>
      <c r="AC9">
        <v>6</v>
      </c>
      <c r="AD9" t="b">
        <v>1</v>
      </c>
      <c r="AE9">
        <v>2022</v>
      </c>
      <c r="AF9" s="3">
        <v>367</v>
      </c>
      <c r="AG9" s="3">
        <v>44764</v>
      </c>
      <c r="AH9" s="3">
        <v>46223</v>
      </c>
      <c r="AJ9" s="4"/>
      <c r="AK9" s="4"/>
      <c r="AL9" s="3">
        <v>367</v>
      </c>
      <c r="AM9" s="3">
        <v>367</v>
      </c>
      <c r="AN9">
        <v>-10.1528525</v>
      </c>
      <c r="AO9">
        <v>123.6008514</v>
      </c>
      <c r="AP9" t="s">
        <v>143</v>
      </c>
      <c r="AT9">
        <v>99.75</v>
      </c>
      <c r="AW9">
        <v>0</v>
      </c>
      <c r="AX9">
        <v>0</v>
      </c>
      <c r="BA9">
        <v>0</v>
      </c>
      <c r="BB9">
        <v>0</v>
      </c>
      <c r="BE9">
        <v>0</v>
      </c>
      <c r="BF9">
        <v>0</v>
      </c>
      <c r="BJ9">
        <v>0</v>
      </c>
      <c r="BL9">
        <v>0</v>
      </c>
      <c r="BN9">
        <v>0</v>
      </c>
      <c r="BO9" s="6">
        <v>0</v>
      </c>
      <c r="BP9">
        <v>0</v>
      </c>
      <c r="BQ9">
        <v>0</v>
      </c>
      <c r="BR9">
        <v>0</v>
      </c>
    </row>
    <row r="10" spans="1:70" ht="15" customHeight="1" x14ac:dyDescent="0.35">
      <c r="A10" s="1" t="str">
        <f t="shared" si="0"/>
        <v>6878</v>
      </c>
      <c r="B10" t="s">
        <v>144</v>
      </c>
      <c r="C10" t="s">
        <v>145</v>
      </c>
      <c r="D10" t="s">
        <v>146</v>
      </c>
      <c r="E10" t="s">
        <v>147</v>
      </c>
      <c r="F10" t="s">
        <v>74</v>
      </c>
      <c r="G10" t="s">
        <v>75</v>
      </c>
      <c r="H10" t="s">
        <v>76</v>
      </c>
      <c r="I10" t="s">
        <v>148</v>
      </c>
      <c r="J10" t="b">
        <v>0</v>
      </c>
      <c r="K10" t="s">
        <v>78</v>
      </c>
      <c r="L10" t="s">
        <v>79</v>
      </c>
      <c r="N10" t="s">
        <v>81</v>
      </c>
      <c r="O10" t="s">
        <v>82</v>
      </c>
      <c r="P10" t="s">
        <v>83</v>
      </c>
      <c r="Q10" t="s">
        <v>84</v>
      </c>
      <c r="R10">
        <v>24</v>
      </c>
      <c r="S10" t="s">
        <v>85</v>
      </c>
      <c r="T10" t="s">
        <v>85</v>
      </c>
      <c r="U10">
        <v>1111111</v>
      </c>
      <c r="V10" t="s">
        <v>122</v>
      </c>
      <c r="W10" t="s">
        <v>114</v>
      </c>
      <c r="X10" t="s">
        <v>115</v>
      </c>
      <c r="Y10" t="s">
        <v>89</v>
      </c>
      <c r="Z10" t="s">
        <v>90</v>
      </c>
      <c r="AA10" t="s">
        <v>91</v>
      </c>
      <c r="AB10">
        <v>1</v>
      </c>
      <c r="AC10">
        <v>6</v>
      </c>
      <c r="AD10" t="b">
        <v>1</v>
      </c>
      <c r="AE10">
        <v>2023</v>
      </c>
      <c r="AF10" s="3">
        <v>367</v>
      </c>
      <c r="AG10" s="3">
        <v>45065</v>
      </c>
      <c r="AH10" s="3">
        <v>46161</v>
      </c>
      <c r="AJ10" s="4"/>
      <c r="AK10" s="4"/>
      <c r="AL10" s="3">
        <v>367</v>
      </c>
      <c r="AM10" s="3">
        <v>367</v>
      </c>
      <c r="AN10">
        <v>-10.144285699999999</v>
      </c>
      <c r="AO10">
        <v>123.6251106</v>
      </c>
      <c r="AP10" t="s">
        <v>147</v>
      </c>
      <c r="AT10">
        <v>99.75</v>
      </c>
      <c r="AW10">
        <v>0</v>
      </c>
      <c r="AX10">
        <v>0</v>
      </c>
      <c r="BA10">
        <v>0</v>
      </c>
      <c r="BB10">
        <v>0</v>
      </c>
      <c r="BE10">
        <v>0</v>
      </c>
      <c r="BF10">
        <v>0</v>
      </c>
      <c r="BJ10">
        <v>0</v>
      </c>
      <c r="BL10">
        <v>0</v>
      </c>
      <c r="BN10">
        <v>0</v>
      </c>
      <c r="BO10" s="6">
        <v>0</v>
      </c>
      <c r="BP10">
        <v>0</v>
      </c>
      <c r="BQ10">
        <v>0</v>
      </c>
      <c r="BR10">
        <v>0</v>
      </c>
    </row>
    <row r="11" spans="1:70" ht="15" customHeight="1" x14ac:dyDescent="0.35">
      <c r="A11" s="1" t="str">
        <f t="shared" si="0"/>
        <v>ZD3N</v>
      </c>
      <c r="B11" t="s">
        <v>149</v>
      </c>
      <c r="C11" t="s">
        <v>150</v>
      </c>
      <c r="D11" t="s">
        <v>151</v>
      </c>
      <c r="E11" s="5" t="s">
        <v>152</v>
      </c>
      <c r="F11" t="s">
        <v>153</v>
      </c>
      <c r="G11" t="s">
        <v>75</v>
      </c>
      <c r="H11" t="s">
        <v>76</v>
      </c>
      <c r="I11" t="s">
        <v>137</v>
      </c>
      <c r="J11" t="b">
        <v>0</v>
      </c>
      <c r="K11" t="s">
        <v>154</v>
      </c>
      <c r="L11" t="s">
        <v>155</v>
      </c>
      <c r="N11" t="s">
        <v>81</v>
      </c>
      <c r="O11" t="s">
        <v>82</v>
      </c>
      <c r="P11" t="s">
        <v>83</v>
      </c>
      <c r="Q11" t="s">
        <v>156</v>
      </c>
      <c r="R11">
        <v>24</v>
      </c>
      <c r="S11" t="s">
        <v>85</v>
      </c>
      <c r="T11" t="s">
        <v>121</v>
      </c>
      <c r="U11">
        <v>1111111</v>
      </c>
      <c r="V11" t="s">
        <v>122</v>
      </c>
      <c r="W11" t="s">
        <v>87</v>
      </c>
      <c r="X11" t="s">
        <v>88</v>
      </c>
      <c r="Y11" t="s">
        <v>89</v>
      </c>
      <c r="Z11" t="s">
        <v>90</v>
      </c>
      <c r="AA11" t="s">
        <v>91</v>
      </c>
      <c r="AB11">
        <v>4</v>
      </c>
      <c r="AC11">
        <v>6</v>
      </c>
      <c r="AD11" t="b">
        <v>1</v>
      </c>
      <c r="AE11">
        <v>2023</v>
      </c>
      <c r="AF11" s="3">
        <v>367</v>
      </c>
      <c r="AG11" s="3">
        <v>45077</v>
      </c>
      <c r="AH11" s="3">
        <v>46143</v>
      </c>
      <c r="AJ11" s="4"/>
      <c r="AK11" s="4"/>
      <c r="AL11" s="3">
        <v>367</v>
      </c>
      <c r="AM11" s="3">
        <v>367</v>
      </c>
      <c r="AN11">
        <v>-9.1028757999999996</v>
      </c>
      <c r="AO11">
        <v>124.8828063</v>
      </c>
      <c r="AP11" t="s">
        <v>157</v>
      </c>
      <c r="AT11">
        <v>99.2</v>
      </c>
      <c r="AW11">
        <v>0</v>
      </c>
      <c r="AX11">
        <v>0</v>
      </c>
      <c r="BA11">
        <v>0</v>
      </c>
      <c r="BB11">
        <v>0</v>
      </c>
      <c r="BE11">
        <v>0</v>
      </c>
      <c r="BF11">
        <v>0</v>
      </c>
      <c r="BJ11">
        <v>0</v>
      </c>
      <c r="BL11">
        <v>0</v>
      </c>
      <c r="BN11">
        <v>0</v>
      </c>
      <c r="BO11" s="6">
        <v>0</v>
      </c>
      <c r="BP11">
        <v>0</v>
      </c>
      <c r="BQ11">
        <v>0</v>
      </c>
      <c r="BR11">
        <v>0</v>
      </c>
    </row>
    <row r="12" spans="1:70" ht="15" customHeight="1" x14ac:dyDescent="0.35">
      <c r="A12" s="1" t="str">
        <f t="shared" si="0"/>
        <v>Z2FB</v>
      </c>
      <c r="B12" t="s">
        <v>158</v>
      </c>
      <c r="C12" t="s">
        <v>159</v>
      </c>
      <c r="D12" t="s">
        <v>160</v>
      </c>
      <c r="E12" t="s">
        <v>161</v>
      </c>
      <c r="F12" t="s">
        <v>120</v>
      </c>
      <c r="G12" t="s">
        <v>75</v>
      </c>
      <c r="H12" t="s">
        <v>76</v>
      </c>
      <c r="I12" t="s">
        <v>137</v>
      </c>
      <c r="J12" t="b">
        <v>0</v>
      </c>
      <c r="K12" t="s">
        <v>154</v>
      </c>
      <c r="L12" t="s">
        <v>155</v>
      </c>
      <c r="N12" t="s">
        <v>81</v>
      </c>
      <c r="O12" t="s">
        <v>82</v>
      </c>
      <c r="P12" t="s">
        <v>83</v>
      </c>
      <c r="Q12" t="s">
        <v>84</v>
      </c>
      <c r="R12">
        <v>18</v>
      </c>
      <c r="S12" t="s">
        <v>162</v>
      </c>
      <c r="T12" t="s">
        <v>121</v>
      </c>
      <c r="U12">
        <v>1111111</v>
      </c>
      <c r="V12" t="s">
        <v>122</v>
      </c>
      <c r="W12" t="s">
        <v>114</v>
      </c>
      <c r="X12" t="s">
        <v>115</v>
      </c>
      <c r="Y12" t="s">
        <v>89</v>
      </c>
      <c r="Z12" t="s">
        <v>90</v>
      </c>
      <c r="AA12" t="s">
        <v>91</v>
      </c>
      <c r="AB12">
        <v>1</v>
      </c>
      <c r="AC12">
        <v>6</v>
      </c>
      <c r="AD12" t="b">
        <v>1</v>
      </c>
      <c r="AE12">
        <v>2023</v>
      </c>
      <c r="AF12" s="3">
        <v>367</v>
      </c>
      <c r="AG12" s="3">
        <v>45082</v>
      </c>
      <c r="AH12" s="3">
        <v>46174</v>
      </c>
      <c r="AJ12" s="4"/>
      <c r="AK12" s="4"/>
      <c r="AL12" s="3">
        <v>367</v>
      </c>
      <c r="AM12" s="3">
        <v>367</v>
      </c>
      <c r="AN12">
        <v>-10.116495499999999</v>
      </c>
      <c r="AO12">
        <v>123.81155649999999</v>
      </c>
      <c r="AP12" t="s">
        <v>163</v>
      </c>
      <c r="AT12">
        <v>99.2</v>
      </c>
      <c r="AW12">
        <v>0</v>
      </c>
      <c r="AX12">
        <v>0</v>
      </c>
      <c r="BA12">
        <v>0</v>
      </c>
      <c r="BB12">
        <v>0</v>
      </c>
      <c r="BE12">
        <v>0</v>
      </c>
      <c r="BF12">
        <v>0</v>
      </c>
      <c r="BJ12">
        <v>0</v>
      </c>
      <c r="BL12">
        <v>0</v>
      </c>
      <c r="BN12">
        <v>0</v>
      </c>
      <c r="BO12" s="6">
        <v>0</v>
      </c>
      <c r="BP12">
        <v>0</v>
      </c>
      <c r="BQ12">
        <v>0</v>
      </c>
      <c r="BR12">
        <v>0</v>
      </c>
    </row>
    <row r="13" spans="1:70" ht="15" customHeight="1" x14ac:dyDescent="0.35">
      <c r="A13" s="1" t="str">
        <f t="shared" si="0"/>
        <v>Z0M6</v>
      </c>
      <c r="B13" t="s">
        <v>164</v>
      </c>
      <c r="C13" t="s">
        <v>165</v>
      </c>
      <c r="D13" t="s">
        <v>166</v>
      </c>
      <c r="E13" t="s">
        <v>167</v>
      </c>
      <c r="F13" t="s">
        <v>120</v>
      </c>
      <c r="G13" t="s">
        <v>75</v>
      </c>
      <c r="H13" t="s">
        <v>76</v>
      </c>
      <c r="I13" t="s">
        <v>77</v>
      </c>
      <c r="J13" t="b">
        <v>0</v>
      </c>
      <c r="K13" t="s">
        <v>154</v>
      </c>
      <c r="L13" t="s">
        <v>155</v>
      </c>
      <c r="N13" t="s">
        <v>81</v>
      </c>
      <c r="O13" t="s">
        <v>82</v>
      </c>
      <c r="P13" t="s">
        <v>83</v>
      </c>
      <c r="Q13" t="s">
        <v>84</v>
      </c>
      <c r="R13">
        <v>24</v>
      </c>
      <c r="S13" t="s">
        <v>85</v>
      </c>
      <c r="T13" t="s">
        <v>121</v>
      </c>
      <c r="U13">
        <v>1111111</v>
      </c>
      <c r="V13" t="s">
        <v>122</v>
      </c>
      <c r="W13" t="s">
        <v>114</v>
      </c>
      <c r="X13" t="s">
        <v>115</v>
      </c>
      <c r="Y13" t="s">
        <v>89</v>
      </c>
      <c r="Z13" t="s">
        <v>90</v>
      </c>
      <c r="AA13" t="s">
        <v>91</v>
      </c>
      <c r="AB13">
        <v>2</v>
      </c>
      <c r="AC13">
        <v>6</v>
      </c>
      <c r="AD13" t="b">
        <v>1</v>
      </c>
      <c r="AE13">
        <v>2023</v>
      </c>
      <c r="AF13" s="3">
        <v>367</v>
      </c>
      <c r="AG13" s="3">
        <v>45130</v>
      </c>
      <c r="AH13" s="3">
        <v>46226</v>
      </c>
      <c r="AJ13" s="4"/>
      <c r="AK13" s="4"/>
      <c r="AL13" s="3">
        <v>367</v>
      </c>
      <c r="AM13" s="3">
        <v>367</v>
      </c>
      <c r="AN13">
        <v>-10.0987277</v>
      </c>
      <c r="AO13">
        <v>123.8387638</v>
      </c>
      <c r="AP13" t="s">
        <v>168</v>
      </c>
      <c r="AT13">
        <v>99.2</v>
      </c>
      <c r="AW13">
        <v>0</v>
      </c>
      <c r="AX13">
        <v>0</v>
      </c>
      <c r="BA13">
        <v>0</v>
      </c>
      <c r="BB13">
        <v>0</v>
      </c>
      <c r="BE13">
        <v>0</v>
      </c>
      <c r="BF13">
        <v>0</v>
      </c>
      <c r="BJ13">
        <v>0</v>
      </c>
      <c r="BL13">
        <v>0</v>
      </c>
      <c r="BN13">
        <v>0</v>
      </c>
      <c r="BO13" s="6">
        <v>0</v>
      </c>
      <c r="BP13">
        <v>0</v>
      </c>
      <c r="BQ13">
        <v>0</v>
      </c>
      <c r="BR13">
        <v>0</v>
      </c>
    </row>
    <row r="14" spans="1:70" ht="15" customHeight="1" x14ac:dyDescent="0.35">
      <c r="A14" s="1" t="str">
        <f t="shared" si="0"/>
        <v>ZQH4</v>
      </c>
      <c r="B14" t="s">
        <v>169</v>
      </c>
      <c r="C14" t="s">
        <v>170</v>
      </c>
      <c r="D14" t="s">
        <v>171</v>
      </c>
      <c r="E14" t="s">
        <v>172</v>
      </c>
      <c r="F14" t="s">
        <v>120</v>
      </c>
      <c r="G14" t="s">
        <v>75</v>
      </c>
      <c r="H14" t="s">
        <v>76</v>
      </c>
      <c r="I14" t="s">
        <v>148</v>
      </c>
      <c r="J14" t="b">
        <v>0</v>
      </c>
      <c r="K14" t="s">
        <v>154</v>
      </c>
      <c r="L14" t="s">
        <v>155</v>
      </c>
      <c r="N14" t="s">
        <v>81</v>
      </c>
      <c r="O14" t="s">
        <v>82</v>
      </c>
      <c r="P14" t="s">
        <v>83</v>
      </c>
      <c r="Q14" t="s">
        <v>84</v>
      </c>
      <c r="R14">
        <v>24</v>
      </c>
      <c r="S14" t="s">
        <v>85</v>
      </c>
      <c r="T14" t="s">
        <v>121</v>
      </c>
      <c r="U14">
        <v>1111111</v>
      </c>
      <c r="V14" t="s">
        <v>122</v>
      </c>
      <c r="W14" t="s">
        <v>114</v>
      </c>
      <c r="X14" t="s">
        <v>115</v>
      </c>
      <c r="Y14" t="s">
        <v>89</v>
      </c>
      <c r="Z14" t="s">
        <v>90</v>
      </c>
      <c r="AA14" t="s">
        <v>91</v>
      </c>
      <c r="AB14">
        <v>1</v>
      </c>
      <c r="AC14">
        <v>6</v>
      </c>
      <c r="AD14" t="b">
        <v>1</v>
      </c>
      <c r="AE14">
        <v>2023</v>
      </c>
      <c r="AF14" s="3">
        <v>367</v>
      </c>
      <c r="AG14" s="3">
        <v>45130</v>
      </c>
      <c r="AH14" s="3">
        <v>46226</v>
      </c>
      <c r="AJ14" s="4"/>
      <c r="AK14" s="4"/>
      <c r="AL14" s="3">
        <v>367</v>
      </c>
      <c r="AM14" s="3">
        <v>367</v>
      </c>
      <c r="AN14">
        <v>-10.158167600000001</v>
      </c>
      <c r="AO14">
        <v>123.59182560000001</v>
      </c>
      <c r="AP14" t="s">
        <v>172</v>
      </c>
      <c r="AT14">
        <v>99.2</v>
      </c>
      <c r="AW14">
        <v>0</v>
      </c>
      <c r="AX14">
        <v>0</v>
      </c>
      <c r="BA14">
        <v>0</v>
      </c>
      <c r="BB14">
        <v>0</v>
      </c>
      <c r="BE14">
        <v>0</v>
      </c>
      <c r="BF14">
        <v>0</v>
      </c>
      <c r="BJ14">
        <v>0</v>
      </c>
      <c r="BL14">
        <v>0</v>
      </c>
      <c r="BN14">
        <v>0</v>
      </c>
      <c r="BO14" s="6">
        <v>0</v>
      </c>
      <c r="BP14">
        <v>0</v>
      </c>
      <c r="BQ14">
        <v>0</v>
      </c>
      <c r="BR14">
        <v>0</v>
      </c>
    </row>
    <row r="15" spans="1:70" ht="15" customHeight="1" x14ac:dyDescent="0.35">
      <c r="A15" s="1" t="str">
        <f t="shared" si="0"/>
        <v>Z0P8</v>
      </c>
      <c r="B15" t="s">
        <v>173</v>
      </c>
      <c r="C15" t="s">
        <v>174</v>
      </c>
      <c r="D15" t="s">
        <v>175</v>
      </c>
      <c r="E15" t="s">
        <v>176</v>
      </c>
      <c r="F15" t="s">
        <v>177</v>
      </c>
      <c r="G15" t="s">
        <v>75</v>
      </c>
      <c r="H15" t="s">
        <v>76</v>
      </c>
      <c r="I15" t="s">
        <v>178</v>
      </c>
      <c r="J15" t="b">
        <v>0</v>
      </c>
      <c r="K15" t="s">
        <v>154</v>
      </c>
      <c r="L15" t="s">
        <v>155</v>
      </c>
      <c r="N15" t="s">
        <v>81</v>
      </c>
      <c r="O15" t="s">
        <v>82</v>
      </c>
      <c r="P15" t="s">
        <v>83</v>
      </c>
      <c r="Q15" t="s">
        <v>156</v>
      </c>
      <c r="R15">
        <v>24</v>
      </c>
      <c r="S15" t="s">
        <v>85</v>
      </c>
      <c r="T15" t="s">
        <v>179</v>
      </c>
      <c r="U15">
        <v>1111111</v>
      </c>
      <c r="V15" t="s">
        <v>122</v>
      </c>
      <c r="W15" t="s">
        <v>87</v>
      </c>
      <c r="X15" t="s">
        <v>88</v>
      </c>
      <c r="Y15" t="s">
        <v>89</v>
      </c>
      <c r="Z15" t="s">
        <v>90</v>
      </c>
      <c r="AA15" t="s">
        <v>91</v>
      </c>
      <c r="AB15">
        <v>4</v>
      </c>
      <c r="AC15">
        <v>6</v>
      </c>
      <c r="AD15" t="b">
        <v>1</v>
      </c>
      <c r="AE15">
        <v>2023</v>
      </c>
      <c r="AF15" s="3">
        <v>367</v>
      </c>
      <c r="AG15" s="3">
        <v>45146</v>
      </c>
      <c r="AH15" s="3">
        <v>46264</v>
      </c>
      <c r="AJ15" s="4"/>
      <c r="AK15" s="4"/>
      <c r="AL15" s="3">
        <v>367</v>
      </c>
      <c r="AM15" s="3">
        <v>367</v>
      </c>
      <c r="AN15">
        <v>-9.7461049000000006</v>
      </c>
      <c r="AO15">
        <v>120.568316</v>
      </c>
      <c r="AP15" t="s">
        <v>180</v>
      </c>
      <c r="AT15">
        <v>99.2</v>
      </c>
      <c r="AW15">
        <v>0</v>
      </c>
      <c r="AX15">
        <v>0</v>
      </c>
      <c r="BA15">
        <v>0</v>
      </c>
      <c r="BB15">
        <v>0</v>
      </c>
      <c r="BE15">
        <v>0</v>
      </c>
      <c r="BF15">
        <v>0</v>
      </c>
      <c r="BJ15">
        <v>0</v>
      </c>
      <c r="BL15">
        <v>0</v>
      </c>
      <c r="BN15">
        <v>0</v>
      </c>
      <c r="BO15" s="6">
        <v>0</v>
      </c>
      <c r="BP15">
        <v>0</v>
      </c>
      <c r="BQ15">
        <v>0</v>
      </c>
      <c r="BR15">
        <v>0</v>
      </c>
    </row>
    <row r="16" spans="1:70" ht="15" customHeight="1" x14ac:dyDescent="0.35">
      <c r="A16" s="1" t="str">
        <f t="shared" si="0"/>
        <v>ZTR4</v>
      </c>
      <c r="B16" t="s">
        <v>181</v>
      </c>
      <c r="C16" t="s">
        <v>182</v>
      </c>
      <c r="D16" t="s">
        <v>183</v>
      </c>
      <c r="E16" t="s">
        <v>184</v>
      </c>
      <c r="F16" t="s">
        <v>177</v>
      </c>
      <c r="G16" t="s">
        <v>75</v>
      </c>
      <c r="H16" t="s">
        <v>76</v>
      </c>
      <c r="I16" t="s">
        <v>148</v>
      </c>
      <c r="J16" t="b">
        <v>0</v>
      </c>
      <c r="K16" t="s">
        <v>154</v>
      </c>
      <c r="L16" t="s">
        <v>155</v>
      </c>
      <c r="N16" t="s">
        <v>81</v>
      </c>
      <c r="O16" t="s">
        <v>82</v>
      </c>
      <c r="P16" t="s">
        <v>83</v>
      </c>
      <c r="Q16" t="s">
        <v>156</v>
      </c>
      <c r="R16">
        <v>24</v>
      </c>
      <c r="S16" t="s">
        <v>85</v>
      </c>
      <c r="T16" t="s">
        <v>179</v>
      </c>
      <c r="U16">
        <v>1111111</v>
      </c>
      <c r="V16" t="s">
        <v>122</v>
      </c>
      <c r="W16" t="s">
        <v>114</v>
      </c>
      <c r="X16" t="s">
        <v>115</v>
      </c>
      <c r="Y16" t="s">
        <v>89</v>
      </c>
      <c r="Z16" t="s">
        <v>90</v>
      </c>
      <c r="AA16" t="s">
        <v>91</v>
      </c>
      <c r="AB16">
        <v>4</v>
      </c>
      <c r="AC16">
        <v>6</v>
      </c>
      <c r="AD16" t="b">
        <v>1</v>
      </c>
      <c r="AE16">
        <v>2023</v>
      </c>
      <c r="AF16" s="3">
        <v>367</v>
      </c>
      <c r="AG16" s="3">
        <v>45139</v>
      </c>
      <c r="AH16" s="3">
        <v>46264</v>
      </c>
      <c r="AJ16" s="4"/>
      <c r="AK16" s="4"/>
      <c r="AL16" s="3">
        <v>367</v>
      </c>
      <c r="AM16" s="3">
        <v>367</v>
      </c>
      <c r="AN16">
        <v>-9.6488425000000007</v>
      </c>
      <c r="AO16">
        <v>120.26244920000001</v>
      </c>
      <c r="AP16" t="s">
        <v>185</v>
      </c>
      <c r="AT16">
        <v>99.2</v>
      </c>
      <c r="AW16">
        <v>0</v>
      </c>
      <c r="AX16">
        <v>0</v>
      </c>
      <c r="BA16">
        <v>0</v>
      </c>
      <c r="BB16">
        <v>0</v>
      </c>
      <c r="BE16">
        <v>0</v>
      </c>
      <c r="BF16">
        <v>0</v>
      </c>
      <c r="BJ16">
        <v>0</v>
      </c>
      <c r="BL16">
        <v>0</v>
      </c>
      <c r="BN16">
        <v>0</v>
      </c>
      <c r="BO16" s="6">
        <v>0</v>
      </c>
      <c r="BP16">
        <v>0</v>
      </c>
      <c r="BQ16">
        <v>0</v>
      </c>
      <c r="BR16">
        <v>0</v>
      </c>
    </row>
    <row r="17" spans="1:70" ht="15" customHeight="1" x14ac:dyDescent="0.35">
      <c r="A17" s="1" t="str">
        <f t="shared" si="0"/>
        <v>587C</v>
      </c>
      <c r="B17" t="s">
        <v>186</v>
      </c>
      <c r="C17" t="s">
        <v>187</v>
      </c>
      <c r="D17" t="s">
        <v>188</v>
      </c>
      <c r="E17" t="s">
        <v>189</v>
      </c>
      <c r="F17" t="s">
        <v>74</v>
      </c>
      <c r="G17" t="s">
        <v>75</v>
      </c>
      <c r="H17" t="s">
        <v>76</v>
      </c>
      <c r="I17" t="s">
        <v>77</v>
      </c>
      <c r="J17" t="b">
        <v>0</v>
      </c>
      <c r="K17" t="s">
        <v>78</v>
      </c>
      <c r="L17" t="s">
        <v>79</v>
      </c>
      <c r="N17" t="s">
        <v>81</v>
      </c>
      <c r="O17" t="s">
        <v>82</v>
      </c>
      <c r="P17" t="s">
        <v>83</v>
      </c>
      <c r="Q17" t="s">
        <v>84</v>
      </c>
      <c r="R17">
        <v>24</v>
      </c>
      <c r="S17" t="s">
        <v>85</v>
      </c>
      <c r="T17" t="s">
        <v>179</v>
      </c>
      <c r="U17">
        <v>1111111</v>
      </c>
      <c r="V17" t="s">
        <v>122</v>
      </c>
      <c r="W17" t="s">
        <v>114</v>
      </c>
      <c r="X17" t="s">
        <v>115</v>
      </c>
      <c r="Y17" t="s">
        <v>89</v>
      </c>
      <c r="Z17" t="s">
        <v>90</v>
      </c>
      <c r="AA17" t="s">
        <v>91</v>
      </c>
      <c r="AB17">
        <v>1</v>
      </c>
      <c r="AC17">
        <v>6</v>
      </c>
      <c r="AD17" t="b">
        <v>1</v>
      </c>
      <c r="AE17">
        <v>2023</v>
      </c>
      <c r="AF17" s="3">
        <v>367</v>
      </c>
      <c r="AG17" s="3">
        <v>45161</v>
      </c>
      <c r="AH17" s="3">
        <v>46264</v>
      </c>
      <c r="AJ17" s="4"/>
      <c r="AK17" s="4"/>
      <c r="AL17" s="3">
        <v>367</v>
      </c>
      <c r="AM17" s="3">
        <v>367</v>
      </c>
      <c r="AN17">
        <v>-10.157973999999999</v>
      </c>
      <c r="AO17">
        <v>123.58891680000001</v>
      </c>
      <c r="AP17" t="s">
        <v>190</v>
      </c>
      <c r="AT17">
        <v>99.75</v>
      </c>
      <c r="AW17">
        <v>0</v>
      </c>
      <c r="AX17">
        <v>0</v>
      </c>
      <c r="BA17">
        <v>0</v>
      </c>
      <c r="BB17">
        <v>0</v>
      </c>
      <c r="BE17">
        <v>0</v>
      </c>
      <c r="BF17">
        <v>0</v>
      </c>
      <c r="BJ17">
        <v>0</v>
      </c>
      <c r="BL17">
        <v>0</v>
      </c>
      <c r="BN17">
        <v>0</v>
      </c>
      <c r="BO17" s="6">
        <v>0</v>
      </c>
      <c r="BP17">
        <v>0</v>
      </c>
      <c r="BQ17">
        <v>0</v>
      </c>
      <c r="BR17">
        <v>0</v>
      </c>
    </row>
    <row r="18" spans="1:70" ht="15" customHeight="1" x14ac:dyDescent="0.35">
      <c r="A18" s="1" t="str">
        <f t="shared" si="0"/>
        <v>ZTZ9</v>
      </c>
      <c r="B18" t="s">
        <v>191</v>
      </c>
      <c r="C18" t="s">
        <v>192</v>
      </c>
      <c r="D18" t="s">
        <v>193</v>
      </c>
      <c r="E18" t="s">
        <v>194</v>
      </c>
      <c r="F18" t="s">
        <v>74</v>
      </c>
      <c r="G18" t="s">
        <v>75</v>
      </c>
      <c r="H18" t="s">
        <v>76</v>
      </c>
      <c r="I18" t="s">
        <v>137</v>
      </c>
      <c r="J18" t="b">
        <v>0</v>
      </c>
      <c r="K18" t="s">
        <v>154</v>
      </c>
      <c r="L18" t="s">
        <v>155</v>
      </c>
      <c r="N18" t="s">
        <v>81</v>
      </c>
      <c r="O18" t="s">
        <v>82</v>
      </c>
      <c r="P18" t="s">
        <v>83</v>
      </c>
      <c r="Q18" t="s">
        <v>84</v>
      </c>
      <c r="R18">
        <v>16</v>
      </c>
      <c r="S18" t="s">
        <v>195</v>
      </c>
      <c r="T18" t="s">
        <v>179</v>
      </c>
      <c r="U18">
        <v>1111111</v>
      </c>
      <c r="V18" t="s">
        <v>122</v>
      </c>
      <c r="W18" t="s">
        <v>87</v>
      </c>
      <c r="X18" t="s">
        <v>88</v>
      </c>
      <c r="Y18" t="s">
        <v>89</v>
      </c>
      <c r="Z18" t="s">
        <v>90</v>
      </c>
      <c r="AA18" t="s">
        <v>91</v>
      </c>
      <c r="AB18">
        <v>1</v>
      </c>
      <c r="AC18">
        <v>6</v>
      </c>
      <c r="AD18" t="b">
        <v>1</v>
      </c>
      <c r="AE18">
        <v>2023</v>
      </c>
      <c r="AF18" s="3">
        <v>367</v>
      </c>
      <c r="AG18" s="3">
        <v>45202</v>
      </c>
      <c r="AH18" s="3">
        <v>46325</v>
      </c>
      <c r="AJ18" s="4"/>
      <c r="AK18" s="4"/>
      <c r="AL18" s="3">
        <v>367</v>
      </c>
      <c r="AM18" s="3">
        <v>367</v>
      </c>
      <c r="AN18">
        <v>-10.1566688</v>
      </c>
      <c r="AO18">
        <v>123.61166470000001</v>
      </c>
      <c r="AP18" t="s">
        <v>196</v>
      </c>
      <c r="AT18">
        <v>99.2</v>
      </c>
      <c r="AW18">
        <v>0</v>
      </c>
      <c r="AX18">
        <v>0</v>
      </c>
      <c r="BA18">
        <v>0</v>
      </c>
      <c r="BB18">
        <v>0</v>
      </c>
      <c r="BE18">
        <v>0</v>
      </c>
      <c r="BF18">
        <v>0</v>
      </c>
      <c r="BJ18">
        <v>0</v>
      </c>
      <c r="BL18">
        <v>0</v>
      </c>
      <c r="BN18">
        <v>0</v>
      </c>
      <c r="BO18" s="6">
        <v>0</v>
      </c>
      <c r="BP18">
        <v>0</v>
      </c>
      <c r="BQ18">
        <v>0</v>
      </c>
      <c r="BR18">
        <v>0</v>
      </c>
    </row>
    <row r="19" spans="1:70" ht="15" customHeight="1" x14ac:dyDescent="0.35">
      <c r="A19" s="1" t="str">
        <f t="shared" si="0"/>
        <v>Z0J9</v>
      </c>
      <c r="B19" t="s">
        <v>197</v>
      </c>
      <c r="C19" t="s">
        <v>198</v>
      </c>
      <c r="D19" t="s">
        <v>199</v>
      </c>
      <c r="E19" t="s">
        <v>200</v>
      </c>
      <c r="F19" t="s">
        <v>153</v>
      </c>
      <c r="G19" t="s">
        <v>75</v>
      </c>
      <c r="H19" t="s">
        <v>76</v>
      </c>
      <c r="I19" t="s">
        <v>137</v>
      </c>
      <c r="J19" t="b">
        <v>0</v>
      </c>
      <c r="K19" t="s">
        <v>154</v>
      </c>
      <c r="L19" t="s">
        <v>155</v>
      </c>
      <c r="N19" t="s">
        <v>81</v>
      </c>
      <c r="O19" t="s">
        <v>82</v>
      </c>
      <c r="P19" t="s">
        <v>83</v>
      </c>
      <c r="Q19" t="s">
        <v>156</v>
      </c>
      <c r="R19">
        <v>24</v>
      </c>
      <c r="S19" t="s">
        <v>85</v>
      </c>
      <c r="T19" t="s">
        <v>179</v>
      </c>
      <c r="U19">
        <v>1111111</v>
      </c>
      <c r="V19" t="s">
        <v>122</v>
      </c>
      <c r="W19" t="s">
        <v>87</v>
      </c>
      <c r="X19" t="s">
        <v>88</v>
      </c>
      <c r="Y19" t="s">
        <v>89</v>
      </c>
      <c r="Z19" t="s">
        <v>90</v>
      </c>
      <c r="AA19" t="s">
        <v>91</v>
      </c>
      <c r="AB19">
        <v>4</v>
      </c>
      <c r="AC19">
        <v>6</v>
      </c>
      <c r="AD19" t="b">
        <v>1</v>
      </c>
      <c r="AE19">
        <v>2024</v>
      </c>
      <c r="AF19" s="3">
        <v>367</v>
      </c>
      <c r="AG19" s="3">
        <v>45385</v>
      </c>
      <c r="AH19" s="3">
        <v>46480</v>
      </c>
      <c r="AJ19" s="4"/>
      <c r="AK19" s="4"/>
      <c r="AL19" s="3">
        <v>367</v>
      </c>
      <c r="AM19" s="3">
        <v>367</v>
      </c>
      <c r="AN19">
        <v>-9.0941525999999993</v>
      </c>
      <c r="AO19">
        <v>124.89625909999999</v>
      </c>
      <c r="AP19" t="s">
        <v>200</v>
      </c>
      <c r="AT19">
        <v>99.2</v>
      </c>
      <c r="AW19">
        <v>0</v>
      </c>
      <c r="AX19">
        <v>0</v>
      </c>
      <c r="BA19">
        <v>0</v>
      </c>
      <c r="BB19">
        <v>0</v>
      </c>
      <c r="BE19">
        <v>0</v>
      </c>
      <c r="BF19">
        <v>0</v>
      </c>
      <c r="BJ19">
        <v>0</v>
      </c>
      <c r="BL19">
        <v>0</v>
      </c>
      <c r="BN19">
        <v>0</v>
      </c>
      <c r="BO19" s="6">
        <v>0</v>
      </c>
      <c r="BP19">
        <v>0</v>
      </c>
      <c r="BQ19">
        <v>0</v>
      </c>
      <c r="BR19">
        <v>0</v>
      </c>
    </row>
    <row r="20" spans="1:70" ht="15" customHeight="1" x14ac:dyDescent="0.35">
      <c r="A20" s="1" t="str">
        <f t="shared" si="0"/>
        <v>ZTQ4</v>
      </c>
      <c r="B20" t="s">
        <v>201</v>
      </c>
      <c r="C20" t="s">
        <v>202</v>
      </c>
      <c r="D20" t="s">
        <v>203</v>
      </c>
      <c r="E20" t="s">
        <v>184</v>
      </c>
      <c r="F20" t="s">
        <v>177</v>
      </c>
      <c r="G20" t="s">
        <v>75</v>
      </c>
      <c r="H20" t="s">
        <v>76</v>
      </c>
      <c r="I20" t="s">
        <v>148</v>
      </c>
      <c r="J20" t="b">
        <v>0</v>
      </c>
      <c r="K20" t="s">
        <v>154</v>
      </c>
      <c r="L20" t="s">
        <v>155</v>
      </c>
      <c r="N20" t="s">
        <v>81</v>
      </c>
      <c r="O20" t="s">
        <v>82</v>
      </c>
      <c r="P20" t="s">
        <v>83</v>
      </c>
      <c r="Q20" t="s">
        <v>156</v>
      </c>
      <c r="R20">
        <v>24</v>
      </c>
      <c r="S20" t="s">
        <v>85</v>
      </c>
      <c r="T20" t="s">
        <v>179</v>
      </c>
      <c r="U20">
        <v>1111111</v>
      </c>
      <c r="V20" t="s">
        <v>122</v>
      </c>
      <c r="W20" t="s">
        <v>114</v>
      </c>
      <c r="X20" t="s">
        <v>115</v>
      </c>
      <c r="Y20" t="s">
        <v>89</v>
      </c>
      <c r="Z20" t="s">
        <v>90</v>
      </c>
      <c r="AA20" t="s">
        <v>91</v>
      </c>
      <c r="AB20">
        <v>4</v>
      </c>
      <c r="AC20">
        <v>6</v>
      </c>
      <c r="AD20" t="b">
        <v>1</v>
      </c>
      <c r="AE20">
        <v>2024</v>
      </c>
      <c r="AF20" s="3">
        <v>367</v>
      </c>
      <c r="AG20" s="3">
        <v>45408</v>
      </c>
      <c r="AH20" s="3">
        <v>46503</v>
      </c>
      <c r="AJ20" s="4"/>
      <c r="AK20" s="4"/>
      <c r="AL20" s="3">
        <v>367</v>
      </c>
      <c r="AM20" s="3">
        <v>367</v>
      </c>
      <c r="AN20">
        <v>-9.6491749999999996</v>
      </c>
      <c r="AO20">
        <v>120.2624485</v>
      </c>
      <c r="AP20" t="s">
        <v>204</v>
      </c>
      <c r="AT20">
        <v>99.2</v>
      </c>
      <c r="AW20">
        <v>0</v>
      </c>
      <c r="AX20">
        <v>0</v>
      </c>
      <c r="BA20">
        <v>0</v>
      </c>
      <c r="BB20">
        <v>0</v>
      </c>
      <c r="BE20">
        <v>0</v>
      </c>
      <c r="BF20">
        <v>0</v>
      </c>
      <c r="BJ20">
        <v>0</v>
      </c>
      <c r="BL20">
        <v>0</v>
      </c>
      <c r="BN20">
        <v>0</v>
      </c>
      <c r="BO20" s="6">
        <v>0</v>
      </c>
      <c r="BP20">
        <v>0</v>
      </c>
      <c r="BQ20">
        <v>0</v>
      </c>
      <c r="BR20">
        <v>0</v>
      </c>
    </row>
    <row r="21" spans="1:70" ht="15" customHeight="1" x14ac:dyDescent="0.35">
      <c r="A21" s="1" t="str">
        <f t="shared" si="0"/>
        <v>ZKP9</v>
      </c>
      <c r="B21" t="s">
        <v>205</v>
      </c>
      <c r="C21" t="s">
        <v>206</v>
      </c>
      <c r="D21" t="s">
        <v>207</v>
      </c>
      <c r="E21" t="s">
        <v>208</v>
      </c>
      <c r="F21" t="s">
        <v>74</v>
      </c>
      <c r="G21" t="s">
        <v>75</v>
      </c>
      <c r="H21" t="s">
        <v>76</v>
      </c>
      <c r="I21" t="s">
        <v>137</v>
      </c>
      <c r="J21" t="b">
        <v>0</v>
      </c>
      <c r="K21" t="s">
        <v>154</v>
      </c>
      <c r="L21" t="s">
        <v>155</v>
      </c>
      <c r="N21" t="s">
        <v>81</v>
      </c>
      <c r="O21" t="s">
        <v>82</v>
      </c>
      <c r="P21" t="s">
        <v>83</v>
      </c>
      <c r="Q21" t="s">
        <v>84</v>
      </c>
      <c r="R21">
        <v>24</v>
      </c>
      <c r="S21" t="s">
        <v>85</v>
      </c>
      <c r="T21" t="s">
        <v>179</v>
      </c>
      <c r="U21">
        <v>1111111</v>
      </c>
      <c r="V21" t="s">
        <v>122</v>
      </c>
      <c r="W21" t="s">
        <v>87</v>
      </c>
      <c r="X21" t="s">
        <v>88</v>
      </c>
      <c r="Y21" t="s">
        <v>89</v>
      </c>
      <c r="Z21" t="s">
        <v>90</v>
      </c>
      <c r="AA21" t="s">
        <v>91</v>
      </c>
      <c r="AB21">
        <v>1</v>
      </c>
      <c r="AC21">
        <v>6</v>
      </c>
      <c r="AD21" t="b">
        <v>1</v>
      </c>
      <c r="AE21">
        <v>2023</v>
      </c>
      <c r="AF21" s="3">
        <v>367</v>
      </c>
      <c r="AG21" s="3">
        <v>45428</v>
      </c>
      <c r="AH21" s="3">
        <v>46537</v>
      </c>
      <c r="AJ21" s="4"/>
      <c r="AK21" s="4"/>
      <c r="AL21" s="3">
        <v>367</v>
      </c>
      <c r="AM21" s="3">
        <v>367</v>
      </c>
      <c r="AN21">
        <v>-10.193199099999999</v>
      </c>
      <c r="AO21">
        <v>123.60761789999999</v>
      </c>
      <c r="AP21" t="s">
        <v>209</v>
      </c>
      <c r="AT21">
        <v>99.2</v>
      </c>
      <c r="AW21">
        <v>0</v>
      </c>
      <c r="AX21">
        <v>0</v>
      </c>
      <c r="BA21">
        <v>0</v>
      </c>
      <c r="BB21">
        <v>0</v>
      </c>
      <c r="BE21">
        <v>0</v>
      </c>
      <c r="BF21">
        <v>0</v>
      </c>
      <c r="BJ21">
        <v>0</v>
      </c>
      <c r="BL21">
        <v>0</v>
      </c>
      <c r="BN21">
        <v>0</v>
      </c>
      <c r="BO21" s="6">
        <v>0</v>
      </c>
      <c r="BP21">
        <v>0</v>
      </c>
      <c r="BQ21">
        <v>0</v>
      </c>
      <c r="BR21">
        <v>0</v>
      </c>
    </row>
    <row r="22" spans="1:70" ht="15" customHeight="1" x14ac:dyDescent="0.35">
      <c r="A22" s="1" t="str">
        <f t="shared" si="0"/>
        <v>Z10Y</v>
      </c>
      <c r="B22" t="s">
        <v>210</v>
      </c>
      <c r="C22" t="s">
        <v>211</v>
      </c>
      <c r="D22" t="s">
        <v>212</v>
      </c>
      <c r="E22" t="s">
        <v>213</v>
      </c>
      <c r="F22" t="s">
        <v>120</v>
      </c>
      <c r="G22" t="s">
        <v>75</v>
      </c>
      <c r="H22" t="s">
        <v>76</v>
      </c>
      <c r="I22" t="s">
        <v>148</v>
      </c>
      <c r="J22" t="b">
        <v>0</v>
      </c>
      <c r="K22" t="s">
        <v>154</v>
      </c>
      <c r="L22" t="s">
        <v>214</v>
      </c>
      <c r="N22" t="s">
        <v>81</v>
      </c>
      <c r="O22" t="s">
        <v>82</v>
      </c>
      <c r="P22" t="s">
        <v>83</v>
      </c>
      <c r="Q22" t="s">
        <v>156</v>
      </c>
      <c r="R22">
        <v>24</v>
      </c>
      <c r="S22" t="s">
        <v>85</v>
      </c>
      <c r="T22" t="s">
        <v>85</v>
      </c>
      <c r="U22">
        <v>1111111</v>
      </c>
      <c r="V22" t="s">
        <v>122</v>
      </c>
      <c r="W22" t="s">
        <v>87</v>
      </c>
      <c r="X22" t="s">
        <v>88</v>
      </c>
      <c r="Y22" t="s">
        <v>89</v>
      </c>
      <c r="Z22" t="s">
        <v>90</v>
      </c>
      <c r="AA22" t="s">
        <v>91</v>
      </c>
      <c r="AB22">
        <v>1</v>
      </c>
      <c r="AC22">
        <v>6</v>
      </c>
      <c r="AD22" t="b">
        <v>1</v>
      </c>
      <c r="AE22">
        <v>2024</v>
      </c>
      <c r="AF22" s="3">
        <v>367</v>
      </c>
      <c r="AG22" s="3">
        <v>45444</v>
      </c>
      <c r="AH22" s="3">
        <v>46539</v>
      </c>
      <c r="AJ22" s="4"/>
      <c r="AK22" s="4"/>
      <c r="AL22" s="3">
        <v>367</v>
      </c>
      <c r="AM22" s="3">
        <v>367</v>
      </c>
      <c r="AN22">
        <v>-10.1641637</v>
      </c>
      <c r="AO22">
        <v>123.5852324</v>
      </c>
      <c r="AP22" t="s">
        <v>215</v>
      </c>
      <c r="AT22">
        <v>99.2</v>
      </c>
      <c r="AW22">
        <v>0</v>
      </c>
      <c r="AX22">
        <v>0</v>
      </c>
      <c r="BA22">
        <v>0</v>
      </c>
      <c r="BB22">
        <v>0</v>
      </c>
      <c r="BE22">
        <v>0</v>
      </c>
      <c r="BF22">
        <v>0</v>
      </c>
      <c r="BJ22">
        <v>0</v>
      </c>
      <c r="BL22">
        <v>0</v>
      </c>
      <c r="BN22">
        <v>0</v>
      </c>
      <c r="BO22" s="6">
        <v>0</v>
      </c>
      <c r="BP22">
        <v>0</v>
      </c>
      <c r="BQ22">
        <v>0</v>
      </c>
      <c r="BR22">
        <v>0</v>
      </c>
    </row>
    <row r="23" spans="1:70" ht="15" customHeight="1" x14ac:dyDescent="0.35">
      <c r="A23" s="1" t="str">
        <f t="shared" si="0"/>
        <v>Z10Z</v>
      </c>
      <c r="B23" t="s">
        <v>216</v>
      </c>
      <c r="C23" t="s">
        <v>217</v>
      </c>
      <c r="D23" t="s">
        <v>218</v>
      </c>
      <c r="E23" t="s">
        <v>213</v>
      </c>
      <c r="F23" t="s">
        <v>120</v>
      </c>
      <c r="G23" t="s">
        <v>75</v>
      </c>
      <c r="H23" t="s">
        <v>76</v>
      </c>
      <c r="I23" t="s">
        <v>148</v>
      </c>
      <c r="J23" t="b">
        <v>0</v>
      </c>
      <c r="K23" t="s">
        <v>154</v>
      </c>
      <c r="L23" t="s">
        <v>214</v>
      </c>
      <c r="N23" t="s">
        <v>81</v>
      </c>
      <c r="O23" t="s">
        <v>82</v>
      </c>
      <c r="P23" t="s">
        <v>83</v>
      </c>
      <c r="Q23" t="s">
        <v>84</v>
      </c>
      <c r="R23">
        <v>24</v>
      </c>
      <c r="S23" t="s">
        <v>85</v>
      </c>
      <c r="T23" t="s">
        <v>85</v>
      </c>
      <c r="U23">
        <v>1111111</v>
      </c>
      <c r="V23" t="s">
        <v>122</v>
      </c>
      <c r="W23" t="s">
        <v>87</v>
      </c>
      <c r="X23" t="s">
        <v>88</v>
      </c>
      <c r="Y23" t="s">
        <v>89</v>
      </c>
      <c r="Z23" t="s">
        <v>90</v>
      </c>
      <c r="AA23" t="s">
        <v>91</v>
      </c>
      <c r="AB23">
        <v>1</v>
      </c>
      <c r="AC23">
        <v>6</v>
      </c>
      <c r="AD23" t="b">
        <v>1</v>
      </c>
      <c r="AE23">
        <v>2024</v>
      </c>
      <c r="AF23" s="3">
        <v>367</v>
      </c>
      <c r="AG23" s="3">
        <v>45444</v>
      </c>
      <c r="AH23" s="3">
        <v>46539</v>
      </c>
      <c r="AJ23" s="4"/>
      <c r="AK23" s="4"/>
      <c r="AL23" s="3">
        <v>367</v>
      </c>
      <c r="AM23" s="3">
        <v>367</v>
      </c>
      <c r="AN23">
        <v>-10.164168999999999</v>
      </c>
      <c r="AO23">
        <v>123.58524629999999</v>
      </c>
      <c r="AP23" t="s">
        <v>215</v>
      </c>
      <c r="AT23">
        <v>99.2</v>
      </c>
      <c r="AW23">
        <v>0</v>
      </c>
      <c r="AX23">
        <v>0</v>
      </c>
      <c r="BA23">
        <v>0</v>
      </c>
      <c r="BB23">
        <v>0</v>
      </c>
      <c r="BE23">
        <v>0</v>
      </c>
      <c r="BF23">
        <v>0</v>
      </c>
      <c r="BJ23">
        <v>0</v>
      </c>
      <c r="BL23">
        <v>0</v>
      </c>
      <c r="BN23">
        <v>0</v>
      </c>
      <c r="BO23" s="6">
        <v>0</v>
      </c>
      <c r="BP23">
        <v>0</v>
      </c>
      <c r="BQ23">
        <v>0</v>
      </c>
      <c r="BR23">
        <v>0</v>
      </c>
    </row>
    <row r="24" spans="1:70" ht="15" customHeight="1" x14ac:dyDescent="0.35">
      <c r="A24" s="1" t="str">
        <f t="shared" si="0"/>
        <v>Z3NU</v>
      </c>
      <c r="B24" t="s">
        <v>219</v>
      </c>
      <c r="C24" t="s">
        <v>220</v>
      </c>
      <c r="D24" t="s">
        <v>221</v>
      </c>
      <c r="E24" t="s">
        <v>222</v>
      </c>
      <c r="F24" t="s">
        <v>120</v>
      </c>
      <c r="G24" t="s">
        <v>75</v>
      </c>
      <c r="H24" t="s">
        <v>76</v>
      </c>
      <c r="I24" t="s">
        <v>148</v>
      </c>
      <c r="J24" t="b">
        <v>0</v>
      </c>
      <c r="K24" t="s">
        <v>154</v>
      </c>
      <c r="L24" t="s">
        <v>214</v>
      </c>
      <c r="N24" t="s">
        <v>81</v>
      </c>
      <c r="O24" t="s">
        <v>82</v>
      </c>
      <c r="P24" t="s">
        <v>83</v>
      </c>
      <c r="Q24" t="s">
        <v>84</v>
      </c>
      <c r="R24">
        <v>24</v>
      </c>
      <c r="S24" t="s">
        <v>85</v>
      </c>
      <c r="T24" t="s">
        <v>85</v>
      </c>
      <c r="U24">
        <v>1111111</v>
      </c>
      <c r="V24" t="s">
        <v>122</v>
      </c>
      <c r="W24" t="s">
        <v>87</v>
      </c>
      <c r="X24" t="s">
        <v>88</v>
      </c>
      <c r="Y24" t="s">
        <v>89</v>
      </c>
      <c r="Z24" t="s">
        <v>90</v>
      </c>
      <c r="AA24" t="s">
        <v>91</v>
      </c>
      <c r="AB24">
        <v>1</v>
      </c>
      <c r="AC24">
        <v>6</v>
      </c>
      <c r="AD24" t="b">
        <v>1</v>
      </c>
      <c r="AE24">
        <v>2024</v>
      </c>
      <c r="AF24" s="3">
        <v>367</v>
      </c>
      <c r="AG24" s="3">
        <v>45444</v>
      </c>
      <c r="AH24" s="3">
        <v>46539</v>
      </c>
      <c r="AJ24" s="4"/>
      <c r="AK24" s="4"/>
      <c r="AL24" s="3">
        <v>367</v>
      </c>
      <c r="AM24" s="3">
        <v>367</v>
      </c>
      <c r="AN24">
        <v>-10.1587867</v>
      </c>
      <c r="AO24">
        <v>123.58050470000001</v>
      </c>
      <c r="AP24" t="s">
        <v>222</v>
      </c>
      <c r="AT24">
        <v>99.2</v>
      </c>
      <c r="AW24">
        <v>0</v>
      </c>
      <c r="AX24">
        <v>0</v>
      </c>
      <c r="BA24">
        <v>0</v>
      </c>
      <c r="BB24">
        <v>0</v>
      </c>
      <c r="BE24">
        <v>0</v>
      </c>
      <c r="BF24">
        <v>0</v>
      </c>
      <c r="BJ24">
        <v>0</v>
      </c>
      <c r="BL24">
        <v>0</v>
      </c>
      <c r="BN24">
        <v>0</v>
      </c>
      <c r="BO24" s="6">
        <v>0</v>
      </c>
      <c r="BP24">
        <v>0</v>
      </c>
      <c r="BQ24">
        <v>0</v>
      </c>
      <c r="BR24">
        <v>0</v>
      </c>
    </row>
    <row r="25" spans="1:70" ht="15" customHeight="1" x14ac:dyDescent="0.35">
      <c r="A25" s="1" t="str">
        <f t="shared" si="0"/>
        <v>Z3NV</v>
      </c>
      <c r="B25" t="s">
        <v>223</v>
      </c>
      <c r="C25" t="s">
        <v>224</v>
      </c>
      <c r="D25" t="s">
        <v>225</v>
      </c>
      <c r="E25" t="s">
        <v>222</v>
      </c>
      <c r="F25" t="s">
        <v>74</v>
      </c>
      <c r="G25" t="s">
        <v>75</v>
      </c>
      <c r="H25" t="s">
        <v>76</v>
      </c>
      <c r="I25" t="s">
        <v>148</v>
      </c>
      <c r="J25" t="b">
        <v>0</v>
      </c>
      <c r="K25" t="s">
        <v>154</v>
      </c>
      <c r="L25" t="s">
        <v>214</v>
      </c>
      <c r="N25" t="s">
        <v>81</v>
      </c>
      <c r="O25" t="s">
        <v>82</v>
      </c>
      <c r="P25" t="s">
        <v>83</v>
      </c>
      <c r="Q25" t="s">
        <v>84</v>
      </c>
      <c r="R25">
        <v>24</v>
      </c>
      <c r="S25" t="s">
        <v>85</v>
      </c>
      <c r="T25" t="s">
        <v>179</v>
      </c>
      <c r="U25">
        <v>1111111</v>
      </c>
      <c r="V25" t="s">
        <v>122</v>
      </c>
      <c r="W25" t="s">
        <v>114</v>
      </c>
      <c r="X25" t="s">
        <v>115</v>
      </c>
      <c r="Y25" t="s">
        <v>89</v>
      </c>
      <c r="Z25" t="s">
        <v>90</v>
      </c>
      <c r="AA25" t="s">
        <v>91</v>
      </c>
      <c r="AB25">
        <v>1</v>
      </c>
      <c r="AC25">
        <v>6</v>
      </c>
      <c r="AD25" t="b">
        <v>1</v>
      </c>
      <c r="AE25">
        <v>2024</v>
      </c>
      <c r="AF25" s="3">
        <v>367</v>
      </c>
      <c r="AG25" s="3">
        <v>45444</v>
      </c>
      <c r="AH25" s="3">
        <v>46568</v>
      </c>
      <c r="AJ25" s="4"/>
      <c r="AK25" s="4"/>
      <c r="AL25" s="3">
        <v>367</v>
      </c>
      <c r="AM25" s="3">
        <v>367</v>
      </c>
      <c r="AN25">
        <v>-10.158807599999999</v>
      </c>
      <c r="AO25">
        <v>123.5805096</v>
      </c>
      <c r="AP25" t="s">
        <v>222</v>
      </c>
      <c r="AT25">
        <v>99.2</v>
      </c>
      <c r="AW25">
        <v>0</v>
      </c>
      <c r="AX25">
        <v>0</v>
      </c>
      <c r="BA25">
        <v>0</v>
      </c>
      <c r="BB25">
        <v>0</v>
      </c>
      <c r="BE25">
        <v>0</v>
      </c>
      <c r="BF25">
        <v>0</v>
      </c>
      <c r="BJ25">
        <v>0</v>
      </c>
      <c r="BL25">
        <v>0</v>
      </c>
      <c r="BN25">
        <v>0</v>
      </c>
      <c r="BO25" s="6">
        <v>0</v>
      </c>
      <c r="BP25">
        <v>0</v>
      </c>
      <c r="BQ25">
        <v>0</v>
      </c>
      <c r="BR25">
        <v>0</v>
      </c>
    </row>
    <row r="26" spans="1:70" ht="15" customHeight="1" x14ac:dyDescent="0.35">
      <c r="A26" s="1" t="str">
        <f t="shared" si="0"/>
        <v>00M6</v>
      </c>
      <c r="B26" t="s">
        <v>226</v>
      </c>
      <c r="C26" t="s">
        <v>227</v>
      </c>
      <c r="D26" t="s">
        <v>228</v>
      </c>
      <c r="E26" t="s">
        <v>229</v>
      </c>
      <c r="F26" t="s">
        <v>74</v>
      </c>
      <c r="G26" t="s">
        <v>75</v>
      </c>
      <c r="H26" t="s">
        <v>76</v>
      </c>
      <c r="I26" t="s">
        <v>137</v>
      </c>
      <c r="J26" t="b">
        <v>0</v>
      </c>
      <c r="K26" t="s">
        <v>78</v>
      </c>
      <c r="L26" t="s">
        <v>79</v>
      </c>
      <c r="N26" t="s">
        <v>81</v>
      </c>
      <c r="O26" t="s">
        <v>82</v>
      </c>
      <c r="P26" t="s">
        <v>83</v>
      </c>
      <c r="Q26" t="s">
        <v>84</v>
      </c>
      <c r="R26">
        <v>24</v>
      </c>
      <c r="S26" t="s">
        <v>85</v>
      </c>
      <c r="T26" t="s">
        <v>179</v>
      </c>
      <c r="U26">
        <v>1111111</v>
      </c>
      <c r="V26" t="s">
        <v>122</v>
      </c>
      <c r="W26" t="s">
        <v>114</v>
      </c>
      <c r="X26" t="s">
        <v>115</v>
      </c>
      <c r="Y26" t="s">
        <v>89</v>
      </c>
      <c r="Z26" t="s">
        <v>90</v>
      </c>
      <c r="AA26" t="s">
        <v>91</v>
      </c>
      <c r="AB26">
        <v>1</v>
      </c>
      <c r="AC26">
        <v>6</v>
      </c>
      <c r="AD26" t="b">
        <v>1</v>
      </c>
      <c r="AE26">
        <v>2023</v>
      </c>
      <c r="AF26" s="3">
        <v>367</v>
      </c>
      <c r="AG26" s="3">
        <v>45525</v>
      </c>
      <c r="AH26" s="3">
        <v>46629</v>
      </c>
      <c r="AJ26" s="4"/>
      <c r="AK26" s="4"/>
      <c r="AL26" s="3">
        <v>367</v>
      </c>
      <c r="AM26" s="3">
        <v>367</v>
      </c>
      <c r="AN26">
        <v>-10.1563561</v>
      </c>
      <c r="AO26">
        <v>123.6551326</v>
      </c>
      <c r="AP26" t="s">
        <v>230</v>
      </c>
      <c r="AT26">
        <v>99.75</v>
      </c>
      <c r="AW26">
        <v>0</v>
      </c>
      <c r="AX26">
        <v>0</v>
      </c>
      <c r="BA26">
        <v>0</v>
      </c>
      <c r="BB26">
        <v>0</v>
      </c>
      <c r="BE26">
        <v>0</v>
      </c>
      <c r="BF26">
        <v>0</v>
      </c>
      <c r="BJ26">
        <v>0</v>
      </c>
      <c r="BL26">
        <v>0</v>
      </c>
      <c r="BN26">
        <v>0</v>
      </c>
      <c r="BO26" s="6">
        <v>0</v>
      </c>
      <c r="BP26">
        <v>0</v>
      </c>
      <c r="BQ26">
        <v>0</v>
      </c>
      <c r="BR26">
        <v>0</v>
      </c>
    </row>
    <row r="27" spans="1:70" ht="15" customHeight="1" x14ac:dyDescent="0.35">
      <c r="A27" s="1" t="str">
        <f t="shared" si="0"/>
        <v>4108</v>
      </c>
      <c r="B27" t="s">
        <v>231</v>
      </c>
      <c r="C27" t="s">
        <v>232</v>
      </c>
      <c r="D27" t="s">
        <v>233</v>
      </c>
      <c r="E27" t="s">
        <v>234</v>
      </c>
      <c r="F27" t="s">
        <v>74</v>
      </c>
      <c r="G27" t="s">
        <v>75</v>
      </c>
      <c r="H27" t="s">
        <v>76</v>
      </c>
      <c r="I27" t="s">
        <v>137</v>
      </c>
      <c r="J27" t="b">
        <v>0</v>
      </c>
      <c r="K27" t="s">
        <v>78</v>
      </c>
      <c r="L27" t="s">
        <v>79</v>
      </c>
      <c r="N27" t="s">
        <v>81</v>
      </c>
      <c r="O27" t="s">
        <v>82</v>
      </c>
      <c r="P27" t="s">
        <v>83</v>
      </c>
      <c r="Q27" t="s">
        <v>84</v>
      </c>
      <c r="R27">
        <v>24</v>
      </c>
      <c r="S27" t="s">
        <v>85</v>
      </c>
      <c r="T27" t="s">
        <v>179</v>
      </c>
      <c r="U27">
        <v>1111111</v>
      </c>
      <c r="V27" t="s">
        <v>122</v>
      </c>
      <c r="W27" t="s">
        <v>87</v>
      </c>
      <c r="X27" t="s">
        <v>88</v>
      </c>
      <c r="Y27" t="s">
        <v>89</v>
      </c>
      <c r="Z27" t="s">
        <v>90</v>
      </c>
      <c r="AA27" t="s">
        <v>91</v>
      </c>
      <c r="AB27">
        <v>1</v>
      </c>
      <c r="AC27">
        <v>6</v>
      </c>
      <c r="AD27" t="b">
        <v>1</v>
      </c>
      <c r="AE27">
        <v>2024</v>
      </c>
      <c r="AF27" s="3">
        <v>367</v>
      </c>
      <c r="AG27" s="3">
        <v>45706</v>
      </c>
      <c r="AH27" s="3">
        <v>46811</v>
      </c>
      <c r="AJ27" s="4"/>
      <c r="AK27" s="4"/>
      <c r="AL27" s="3">
        <v>367</v>
      </c>
      <c r="AM27" s="3">
        <v>367</v>
      </c>
      <c r="AN27">
        <v>-10.1737799</v>
      </c>
      <c r="AO27">
        <v>123.61359059999999</v>
      </c>
      <c r="AP27" t="s">
        <v>234</v>
      </c>
      <c r="AT27">
        <v>99.75</v>
      </c>
      <c r="AW27">
        <v>0</v>
      </c>
      <c r="AX27">
        <v>0</v>
      </c>
      <c r="BA27">
        <v>0</v>
      </c>
      <c r="BB27">
        <v>0</v>
      </c>
      <c r="BE27">
        <v>0</v>
      </c>
      <c r="BF27">
        <v>0</v>
      </c>
      <c r="BJ27">
        <v>0</v>
      </c>
      <c r="BL27">
        <v>0</v>
      </c>
      <c r="BN27">
        <v>0</v>
      </c>
      <c r="BO27" s="6">
        <v>0</v>
      </c>
      <c r="BP27">
        <v>0</v>
      </c>
      <c r="BQ27">
        <v>0</v>
      </c>
      <c r="BR27">
        <v>0</v>
      </c>
    </row>
    <row r="28" spans="1:70" ht="15" customHeight="1" x14ac:dyDescent="0.35">
      <c r="A28" s="1" t="str">
        <f t="shared" si="0"/>
        <v>00R1</v>
      </c>
      <c r="B28" t="s">
        <v>235</v>
      </c>
      <c r="C28" t="s">
        <v>236</v>
      </c>
      <c r="D28" t="s">
        <v>237</v>
      </c>
      <c r="E28" t="s">
        <v>238</v>
      </c>
      <c r="F28" t="s">
        <v>239</v>
      </c>
      <c r="G28" t="s">
        <v>240</v>
      </c>
      <c r="H28" t="s">
        <v>241</v>
      </c>
      <c r="I28" t="s">
        <v>137</v>
      </c>
      <c r="J28" t="b">
        <v>0</v>
      </c>
      <c r="K28" t="s">
        <v>78</v>
      </c>
      <c r="L28" t="s">
        <v>79</v>
      </c>
      <c r="N28" t="s">
        <v>81</v>
      </c>
      <c r="O28" t="s">
        <v>82</v>
      </c>
      <c r="P28" t="s">
        <v>83</v>
      </c>
      <c r="Q28" t="s">
        <v>242</v>
      </c>
      <c r="R28">
        <v>17</v>
      </c>
      <c r="S28" t="s">
        <v>162</v>
      </c>
      <c r="T28" t="s">
        <v>85</v>
      </c>
      <c r="U28">
        <v>1111111</v>
      </c>
      <c r="V28" t="s">
        <v>86</v>
      </c>
      <c r="W28" t="s">
        <v>243</v>
      </c>
      <c r="X28" t="s">
        <v>244</v>
      </c>
      <c r="Y28" t="s">
        <v>89</v>
      </c>
      <c r="Z28" t="s">
        <v>90</v>
      </c>
      <c r="AA28" t="s">
        <v>245</v>
      </c>
      <c r="AB28">
        <v>1</v>
      </c>
      <c r="AC28">
        <v>6</v>
      </c>
      <c r="AD28" t="b">
        <v>1</v>
      </c>
      <c r="AE28">
        <v>2020</v>
      </c>
      <c r="AF28" s="3">
        <v>367</v>
      </c>
      <c r="AG28" s="3">
        <v>44055</v>
      </c>
      <c r="AH28" s="3">
        <v>45169</v>
      </c>
      <c r="AJ28" s="4"/>
      <c r="AK28" s="4"/>
      <c r="AL28" s="3">
        <v>44256</v>
      </c>
      <c r="AM28" s="3">
        <v>45443</v>
      </c>
      <c r="AN28">
        <v>-8.5844839000000004</v>
      </c>
      <c r="AO28">
        <v>116.0989216</v>
      </c>
      <c r="AP28" t="s">
        <v>246</v>
      </c>
      <c r="AQ28" s="5" t="s">
        <v>93</v>
      </c>
      <c r="AR28" s="5" t="s">
        <v>94</v>
      </c>
      <c r="AS28" t="s">
        <v>80</v>
      </c>
      <c r="AT28">
        <v>99.75</v>
      </c>
      <c r="AU28" t="s">
        <v>95</v>
      </c>
      <c r="AV28" t="s">
        <v>96</v>
      </c>
      <c r="AW28">
        <v>-8.6991940000000003</v>
      </c>
      <c r="AX28">
        <v>115.216222</v>
      </c>
      <c r="AY28" t="s">
        <v>245</v>
      </c>
      <c r="AZ28" t="s">
        <v>247</v>
      </c>
      <c r="BA28">
        <v>-8.5530475999999993</v>
      </c>
      <c r="BB28">
        <v>116.11346399999999</v>
      </c>
      <c r="BC28" t="e">
        <v>#N/A</v>
      </c>
      <c r="BD28" t="e">
        <v>#N/A</v>
      </c>
      <c r="BE28">
        <v>0</v>
      </c>
      <c r="BF28">
        <v>0</v>
      </c>
      <c r="BG28" t="s">
        <v>100</v>
      </c>
      <c r="BH28" t="s">
        <v>101</v>
      </c>
      <c r="BI28" t="s">
        <v>102</v>
      </c>
      <c r="BJ28">
        <v>3</v>
      </c>
      <c r="BL28">
        <v>1</v>
      </c>
      <c r="BM28" t="s">
        <v>103</v>
      </c>
      <c r="BN28">
        <v>6</v>
      </c>
      <c r="BO28" s="6">
        <v>1.0416666666666666E-2</v>
      </c>
      <c r="BP28">
        <v>100.09</v>
      </c>
      <c r="BQ28">
        <v>4.08</v>
      </c>
      <c r="BR28">
        <v>0</v>
      </c>
    </row>
    <row r="29" spans="1:70" ht="15" customHeight="1" x14ac:dyDescent="0.35">
      <c r="A29" s="1" t="str">
        <f t="shared" si="0"/>
        <v>Z3TZ</v>
      </c>
      <c r="B29" t="s">
        <v>248</v>
      </c>
      <c r="C29" t="s">
        <v>249</v>
      </c>
      <c r="D29" t="s">
        <v>250</v>
      </c>
      <c r="E29" t="s">
        <v>251</v>
      </c>
      <c r="F29" t="s">
        <v>239</v>
      </c>
      <c r="G29" t="s">
        <v>240</v>
      </c>
      <c r="H29" t="s">
        <v>241</v>
      </c>
      <c r="I29" t="s">
        <v>148</v>
      </c>
      <c r="J29" t="b">
        <v>0</v>
      </c>
      <c r="K29" t="s">
        <v>154</v>
      </c>
      <c r="L29" t="s">
        <v>155</v>
      </c>
      <c r="N29" t="s">
        <v>81</v>
      </c>
      <c r="O29" t="s">
        <v>82</v>
      </c>
      <c r="P29" t="s">
        <v>83</v>
      </c>
      <c r="Q29" t="s">
        <v>242</v>
      </c>
      <c r="R29">
        <v>24</v>
      </c>
      <c r="S29" t="s">
        <v>85</v>
      </c>
      <c r="T29" t="s">
        <v>85</v>
      </c>
      <c r="U29">
        <v>1111111</v>
      </c>
      <c r="V29" t="s">
        <v>122</v>
      </c>
      <c r="W29" t="s">
        <v>252</v>
      </c>
      <c r="X29" t="s">
        <v>253</v>
      </c>
      <c r="Y29" t="s">
        <v>89</v>
      </c>
      <c r="Z29" t="s">
        <v>90</v>
      </c>
      <c r="AA29" t="s">
        <v>245</v>
      </c>
      <c r="AB29">
        <v>1</v>
      </c>
      <c r="AC29">
        <v>6</v>
      </c>
      <c r="AD29" t="b">
        <v>1</v>
      </c>
      <c r="AE29">
        <v>2020</v>
      </c>
      <c r="AF29" s="3">
        <v>367</v>
      </c>
      <c r="AG29" s="3">
        <v>44173</v>
      </c>
      <c r="AH29" s="3">
        <v>45291</v>
      </c>
      <c r="AJ29" s="4"/>
      <c r="AK29" s="4"/>
      <c r="AL29" s="3">
        <v>44256</v>
      </c>
      <c r="AM29" s="3">
        <v>45443</v>
      </c>
      <c r="AN29">
        <v>-8.5949635000000004</v>
      </c>
      <c r="AO29">
        <v>116.1035873</v>
      </c>
      <c r="AP29" t="s">
        <v>254</v>
      </c>
      <c r="AQ29" s="5" t="s">
        <v>93</v>
      </c>
      <c r="AR29" s="5" t="s">
        <v>94</v>
      </c>
      <c r="AS29" t="s">
        <v>80</v>
      </c>
      <c r="AT29">
        <v>99.2</v>
      </c>
      <c r="AU29" t="s">
        <v>95</v>
      </c>
      <c r="AV29" t="s">
        <v>96</v>
      </c>
      <c r="AW29">
        <v>-8.6991940000000003</v>
      </c>
      <c r="AX29">
        <v>115.216222</v>
      </c>
      <c r="AY29" t="s">
        <v>245</v>
      </c>
      <c r="AZ29" t="s">
        <v>247</v>
      </c>
      <c r="BA29">
        <v>-8.5530475999999993</v>
      </c>
      <c r="BB29">
        <v>116.11346399999999</v>
      </c>
      <c r="BC29" t="e">
        <v>#N/A</v>
      </c>
      <c r="BD29" t="e">
        <v>#N/A</v>
      </c>
      <c r="BE29">
        <v>0</v>
      </c>
      <c r="BF29">
        <v>0</v>
      </c>
      <c r="BG29" t="s">
        <v>255</v>
      </c>
      <c r="BH29" t="s">
        <v>101</v>
      </c>
      <c r="BI29" t="s">
        <v>102</v>
      </c>
      <c r="BJ29">
        <v>3</v>
      </c>
      <c r="BL29">
        <v>1</v>
      </c>
      <c r="BM29" t="s">
        <v>103</v>
      </c>
      <c r="BN29">
        <v>6</v>
      </c>
      <c r="BO29" s="6">
        <v>1.0416666666666666E-2</v>
      </c>
      <c r="BP29">
        <v>98.23</v>
      </c>
      <c r="BQ29">
        <v>4.79</v>
      </c>
      <c r="BR29">
        <v>0</v>
      </c>
    </row>
    <row r="30" spans="1:70" ht="15" customHeight="1" x14ac:dyDescent="0.35">
      <c r="A30" s="1" t="str">
        <f t="shared" si="0"/>
        <v>Z16J</v>
      </c>
      <c r="B30" t="s">
        <v>256</v>
      </c>
      <c r="C30" t="s">
        <v>257</v>
      </c>
      <c r="D30" t="s">
        <v>258</v>
      </c>
      <c r="E30" t="s">
        <v>251</v>
      </c>
      <c r="F30" t="s">
        <v>239</v>
      </c>
      <c r="G30" t="s">
        <v>240</v>
      </c>
      <c r="H30" t="s">
        <v>241</v>
      </c>
      <c r="I30" t="s">
        <v>148</v>
      </c>
      <c r="J30" t="b">
        <v>0</v>
      </c>
      <c r="K30" t="s">
        <v>154</v>
      </c>
      <c r="L30" t="s">
        <v>155</v>
      </c>
      <c r="N30" t="s">
        <v>81</v>
      </c>
      <c r="O30" t="s">
        <v>82</v>
      </c>
      <c r="P30" t="s">
        <v>83</v>
      </c>
      <c r="Q30" t="s">
        <v>242</v>
      </c>
      <c r="R30">
        <v>24</v>
      </c>
      <c r="S30" t="s">
        <v>85</v>
      </c>
      <c r="T30" t="s">
        <v>85</v>
      </c>
      <c r="U30">
        <v>1111111</v>
      </c>
      <c r="V30" t="s">
        <v>122</v>
      </c>
      <c r="W30" t="s">
        <v>252</v>
      </c>
      <c r="X30" t="s">
        <v>253</v>
      </c>
      <c r="Y30" t="s">
        <v>89</v>
      </c>
      <c r="Z30" t="s">
        <v>90</v>
      </c>
      <c r="AA30" t="s">
        <v>245</v>
      </c>
      <c r="AB30">
        <v>1</v>
      </c>
      <c r="AC30">
        <v>6</v>
      </c>
      <c r="AD30" t="b">
        <v>1</v>
      </c>
      <c r="AE30">
        <v>2020</v>
      </c>
      <c r="AF30" s="3">
        <v>367</v>
      </c>
      <c r="AG30" s="3">
        <v>44173</v>
      </c>
      <c r="AH30" s="3">
        <v>45291</v>
      </c>
      <c r="AJ30" s="4"/>
      <c r="AK30" s="4"/>
      <c r="AL30" s="3">
        <v>44256</v>
      </c>
      <c r="AM30" s="3">
        <v>45443</v>
      </c>
      <c r="AN30">
        <v>-8.5949632999999999</v>
      </c>
      <c r="AO30">
        <v>116.10359819999999</v>
      </c>
      <c r="AP30" t="s">
        <v>254</v>
      </c>
      <c r="AQ30" s="5" t="s">
        <v>93</v>
      </c>
      <c r="AR30" s="5" t="s">
        <v>94</v>
      </c>
      <c r="AS30" t="s">
        <v>80</v>
      </c>
      <c r="AT30">
        <v>99.2</v>
      </c>
      <c r="AU30" t="s">
        <v>95</v>
      </c>
      <c r="AV30" t="s">
        <v>96</v>
      </c>
      <c r="AW30">
        <v>-8.6991940000000003</v>
      </c>
      <c r="AX30">
        <v>115.216222</v>
      </c>
      <c r="AY30" t="s">
        <v>245</v>
      </c>
      <c r="AZ30" t="s">
        <v>247</v>
      </c>
      <c r="BA30">
        <v>-8.5530475999999993</v>
      </c>
      <c r="BB30">
        <v>116.11346399999999</v>
      </c>
      <c r="BC30" t="e">
        <v>#N/A</v>
      </c>
      <c r="BD30" t="e">
        <v>#N/A</v>
      </c>
      <c r="BE30">
        <v>0</v>
      </c>
      <c r="BF30">
        <v>0</v>
      </c>
      <c r="BG30" t="s">
        <v>255</v>
      </c>
      <c r="BH30" t="s">
        <v>101</v>
      </c>
      <c r="BI30" t="s">
        <v>102</v>
      </c>
      <c r="BJ30">
        <v>3</v>
      </c>
      <c r="BL30">
        <v>1</v>
      </c>
      <c r="BM30" t="s">
        <v>103</v>
      </c>
      <c r="BN30">
        <v>6</v>
      </c>
      <c r="BO30" s="6">
        <v>1.0416666666666666E-2</v>
      </c>
      <c r="BP30">
        <v>98.24</v>
      </c>
      <c r="BQ30">
        <v>4.79</v>
      </c>
      <c r="BR30">
        <v>0</v>
      </c>
    </row>
    <row r="31" spans="1:70" ht="15" customHeight="1" x14ac:dyDescent="0.35">
      <c r="A31" s="1" t="str">
        <f t="shared" si="0"/>
        <v>Z4WF</v>
      </c>
      <c r="B31" t="s">
        <v>259</v>
      </c>
      <c r="C31" t="s">
        <v>260</v>
      </c>
      <c r="D31" t="s">
        <v>261</v>
      </c>
      <c r="E31" t="s">
        <v>262</v>
      </c>
      <c r="F31" t="s">
        <v>239</v>
      </c>
      <c r="G31" t="s">
        <v>240</v>
      </c>
      <c r="H31" t="s">
        <v>241</v>
      </c>
      <c r="I31" t="s">
        <v>148</v>
      </c>
      <c r="J31" t="b">
        <v>0</v>
      </c>
      <c r="K31" t="s">
        <v>154</v>
      </c>
      <c r="L31" t="s">
        <v>155</v>
      </c>
      <c r="N31" t="s">
        <v>81</v>
      </c>
      <c r="O31" t="s">
        <v>82</v>
      </c>
      <c r="P31" t="s">
        <v>83</v>
      </c>
      <c r="Q31" t="s">
        <v>242</v>
      </c>
      <c r="R31">
        <v>24</v>
      </c>
      <c r="S31" t="s">
        <v>85</v>
      </c>
      <c r="T31" t="s">
        <v>85</v>
      </c>
      <c r="U31">
        <v>1111111</v>
      </c>
      <c r="V31" t="s">
        <v>122</v>
      </c>
      <c r="W31" t="s">
        <v>263</v>
      </c>
      <c r="X31" t="s">
        <v>264</v>
      </c>
      <c r="Y31" t="s">
        <v>89</v>
      </c>
      <c r="Z31" t="s">
        <v>90</v>
      </c>
      <c r="AA31" t="s">
        <v>245</v>
      </c>
      <c r="AB31">
        <v>1</v>
      </c>
      <c r="AC31">
        <v>6</v>
      </c>
      <c r="AD31" t="b">
        <v>1</v>
      </c>
      <c r="AE31">
        <v>2020</v>
      </c>
      <c r="AF31" s="3">
        <v>367</v>
      </c>
      <c r="AG31" s="3">
        <v>44173</v>
      </c>
      <c r="AH31" s="3">
        <v>45291</v>
      </c>
      <c r="AJ31" s="4"/>
      <c r="AK31" s="4"/>
      <c r="AL31" s="3">
        <v>44256</v>
      </c>
      <c r="AM31" s="3">
        <v>45443</v>
      </c>
      <c r="AN31">
        <v>-8.5917939000000008</v>
      </c>
      <c r="AO31">
        <v>116.1493921</v>
      </c>
      <c r="AP31" t="s">
        <v>265</v>
      </c>
      <c r="AQ31" s="5" t="s">
        <v>93</v>
      </c>
      <c r="AR31" s="5" t="s">
        <v>94</v>
      </c>
      <c r="AS31" t="s">
        <v>80</v>
      </c>
      <c r="AT31">
        <v>99.2</v>
      </c>
      <c r="AU31" t="s">
        <v>95</v>
      </c>
      <c r="AV31" t="s">
        <v>96</v>
      </c>
      <c r="AW31">
        <v>-8.6991940000000003</v>
      </c>
      <c r="AX31">
        <v>115.216222</v>
      </c>
      <c r="AY31" t="s">
        <v>245</v>
      </c>
      <c r="AZ31" t="s">
        <v>266</v>
      </c>
      <c r="BA31">
        <v>-8.5946458999999997</v>
      </c>
      <c r="BB31">
        <v>116.12033289999999</v>
      </c>
      <c r="BC31" t="e">
        <v>#N/A</v>
      </c>
      <c r="BD31" t="e">
        <v>#N/A</v>
      </c>
      <c r="BE31">
        <v>0</v>
      </c>
      <c r="BF31">
        <v>0</v>
      </c>
      <c r="BG31" t="s">
        <v>255</v>
      </c>
      <c r="BH31" t="s">
        <v>101</v>
      </c>
      <c r="BI31" t="s">
        <v>102</v>
      </c>
      <c r="BJ31">
        <v>3</v>
      </c>
      <c r="BL31">
        <v>1</v>
      </c>
      <c r="BM31" t="s">
        <v>103</v>
      </c>
      <c r="BN31">
        <v>4</v>
      </c>
      <c r="BO31" s="6">
        <v>6.9444444444444441E-3</v>
      </c>
      <c r="BP31">
        <v>103.28</v>
      </c>
      <c r="BQ31">
        <v>3.21</v>
      </c>
      <c r="BR31">
        <v>0</v>
      </c>
    </row>
    <row r="32" spans="1:70" ht="15" customHeight="1" x14ac:dyDescent="0.35">
      <c r="A32" s="1" t="str">
        <f t="shared" si="0"/>
        <v>Z07Z</v>
      </c>
      <c r="B32" t="s">
        <v>267</v>
      </c>
      <c r="C32" t="s">
        <v>268</v>
      </c>
      <c r="D32" t="s">
        <v>269</v>
      </c>
      <c r="E32" t="s">
        <v>262</v>
      </c>
      <c r="F32" t="s">
        <v>239</v>
      </c>
      <c r="G32" t="s">
        <v>240</v>
      </c>
      <c r="H32" t="s">
        <v>241</v>
      </c>
      <c r="I32" t="s">
        <v>148</v>
      </c>
      <c r="J32" t="b">
        <v>0</v>
      </c>
      <c r="K32" t="s">
        <v>154</v>
      </c>
      <c r="L32" t="s">
        <v>155</v>
      </c>
      <c r="N32" t="s">
        <v>81</v>
      </c>
      <c r="O32" t="s">
        <v>82</v>
      </c>
      <c r="P32" t="s">
        <v>83</v>
      </c>
      <c r="Q32" t="s">
        <v>242</v>
      </c>
      <c r="R32">
        <v>24</v>
      </c>
      <c r="S32" t="s">
        <v>85</v>
      </c>
      <c r="T32" t="s">
        <v>85</v>
      </c>
      <c r="U32">
        <v>1111111</v>
      </c>
      <c r="V32" t="s">
        <v>122</v>
      </c>
      <c r="W32" t="s">
        <v>263</v>
      </c>
      <c r="X32" t="s">
        <v>264</v>
      </c>
      <c r="Y32" t="s">
        <v>89</v>
      </c>
      <c r="Z32" t="s">
        <v>90</v>
      </c>
      <c r="AA32" t="s">
        <v>245</v>
      </c>
      <c r="AB32">
        <v>1</v>
      </c>
      <c r="AC32">
        <v>6</v>
      </c>
      <c r="AD32" t="b">
        <v>1</v>
      </c>
      <c r="AE32">
        <v>2020</v>
      </c>
      <c r="AF32" s="3">
        <v>367</v>
      </c>
      <c r="AG32" s="3">
        <v>44173</v>
      </c>
      <c r="AH32" s="3">
        <v>45291</v>
      </c>
      <c r="AJ32" s="4"/>
      <c r="AK32" s="4"/>
      <c r="AL32" s="3">
        <v>44256</v>
      </c>
      <c r="AM32" s="3">
        <v>45443</v>
      </c>
      <c r="AN32">
        <v>-8.5919019999999993</v>
      </c>
      <c r="AO32">
        <v>116.1491901</v>
      </c>
      <c r="AP32" t="s">
        <v>265</v>
      </c>
      <c r="AQ32" s="5" t="s">
        <v>93</v>
      </c>
      <c r="AR32" s="5" t="s">
        <v>94</v>
      </c>
      <c r="AS32" t="s">
        <v>80</v>
      </c>
      <c r="AT32">
        <v>99.2</v>
      </c>
      <c r="AU32" t="s">
        <v>95</v>
      </c>
      <c r="AV32" t="s">
        <v>96</v>
      </c>
      <c r="AW32">
        <v>-8.6991940000000003</v>
      </c>
      <c r="AX32">
        <v>115.216222</v>
      </c>
      <c r="AY32" t="s">
        <v>245</v>
      </c>
      <c r="AZ32" t="s">
        <v>266</v>
      </c>
      <c r="BA32">
        <v>-8.5946458999999997</v>
      </c>
      <c r="BB32">
        <v>116.12033289999999</v>
      </c>
      <c r="BC32" t="e">
        <v>#N/A</v>
      </c>
      <c r="BD32" t="e">
        <v>#N/A</v>
      </c>
      <c r="BE32">
        <v>0</v>
      </c>
      <c r="BF32">
        <v>0</v>
      </c>
      <c r="BG32" t="s">
        <v>255</v>
      </c>
      <c r="BH32" t="s">
        <v>101</v>
      </c>
      <c r="BI32" t="s">
        <v>102</v>
      </c>
      <c r="BJ32">
        <v>3</v>
      </c>
      <c r="BL32">
        <v>1</v>
      </c>
      <c r="BM32" t="s">
        <v>103</v>
      </c>
      <c r="BN32">
        <v>4</v>
      </c>
      <c r="BO32" s="6">
        <v>6.9444444444444441E-3</v>
      </c>
      <c r="BP32">
        <v>103.25</v>
      </c>
      <c r="BQ32">
        <v>3.19</v>
      </c>
      <c r="BR32">
        <v>0</v>
      </c>
    </row>
    <row r="33" spans="1:70" ht="15" customHeight="1" x14ac:dyDescent="0.35">
      <c r="A33" s="1" t="str">
        <f t="shared" si="0"/>
        <v>Z08A</v>
      </c>
      <c r="B33" t="s">
        <v>270</v>
      </c>
      <c r="C33" t="s">
        <v>271</v>
      </c>
      <c r="D33" t="s">
        <v>272</v>
      </c>
      <c r="E33" t="s">
        <v>273</v>
      </c>
      <c r="F33" t="s">
        <v>239</v>
      </c>
      <c r="G33" t="s">
        <v>240</v>
      </c>
      <c r="H33" t="s">
        <v>241</v>
      </c>
      <c r="I33" t="s">
        <v>148</v>
      </c>
      <c r="J33" t="b">
        <v>0</v>
      </c>
      <c r="K33" t="s">
        <v>154</v>
      </c>
      <c r="L33" t="s">
        <v>155</v>
      </c>
      <c r="N33" t="s">
        <v>81</v>
      </c>
      <c r="O33" t="s">
        <v>82</v>
      </c>
      <c r="P33" t="s">
        <v>83</v>
      </c>
      <c r="Q33" t="s">
        <v>242</v>
      </c>
      <c r="R33">
        <v>24</v>
      </c>
      <c r="S33" t="s">
        <v>85</v>
      </c>
      <c r="T33" t="s">
        <v>85</v>
      </c>
      <c r="U33">
        <v>1111111</v>
      </c>
      <c r="V33" t="s">
        <v>122</v>
      </c>
      <c r="W33" t="s">
        <v>263</v>
      </c>
      <c r="X33" t="s">
        <v>264</v>
      </c>
      <c r="Y33" t="s">
        <v>89</v>
      </c>
      <c r="Z33" t="s">
        <v>90</v>
      </c>
      <c r="AA33" t="s">
        <v>245</v>
      </c>
      <c r="AB33">
        <v>1</v>
      </c>
      <c r="AC33">
        <v>6</v>
      </c>
      <c r="AD33" t="b">
        <v>1</v>
      </c>
      <c r="AE33">
        <v>2020</v>
      </c>
      <c r="AF33" s="3">
        <v>367</v>
      </c>
      <c r="AG33" s="3">
        <v>44174</v>
      </c>
      <c r="AH33" s="3">
        <v>45291</v>
      </c>
      <c r="AJ33" s="4"/>
      <c r="AK33" s="4"/>
      <c r="AL33" s="3">
        <v>44256</v>
      </c>
      <c r="AM33" s="3">
        <v>45443</v>
      </c>
      <c r="AN33">
        <v>-8.5919334999999997</v>
      </c>
      <c r="AO33">
        <v>116.1493088</v>
      </c>
      <c r="AP33" t="s">
        <v>265</v>
      </c>
      <c r="AQ33" s="5" t="s">
        <v>93</v>
      </c>
      <c r="AR33" s="5" t="s">
        <v>94</v>
      </c>
      <c r="AS33" t="s">
        <v>80</v>
      </c>
      <c r="AT33">
        <v>99.2</v>
      </c>
      <c r="AU33" t="s">
        <v>95</v>
      </c>
      <c r="AV33" t="s">
        <v>96</v>
      </c>
      <c r="AW33">
        <v>-8.6991940000000003</v>
      </c>
      <c r="AX33">
        <v>115.216222</v>
      </c>
      <c r="AY33" t="s">
        <v>245</v>
      </c>
      <c r="AZ33" t="s">
        <v>266</v>
      </c>
      <c r="BA33">
        <v>-8.5946458999999997</v>
      </c>
      <c r="BB33">
        <v>116.12033289999999</v>
      </c>
      <c r="BC33" t="e">
        <v>#N/A</v>
      </c>
      <c r="BD33" t="e">
        <v>#N/A</v>
      </c>
      <c r="BE33">
        <v>0</v>
      </c>
      <c r="BF33">
        <v>0</v>
      </c>
      <c r="BG33" t="s">
        <v>255</v>
      </c>
      <c r="BH33" t="s">
        <v>101</v>
      </c>
      <c r="BI33" t="s">
        <v>102</v>
      </c>
      <c r="BJ33">
        <v>3</v>
      </c>
      <c r="BL33">
        <v>1</v>
      </c>
      <c r="BM33" t="s">
        <v>103</v>
      </c>
      <c r="BN33">
        <v>4</v>
      </c>
      <c r="BO33" s="6">
        <v>6.9444444444444441E-3</v>
      </c>
      <c r="BP33">
        <v>103.27</v>
      </c>
      <c r="BQ33">
        <v>3.2</v>
      </c>
      <c r="BR33">
        <v>0</v>
      </c>
    </row>
    <row r="34" spans="1:70" ht="15" customHeight="1" x14ac:dyDescent="0.35">
      <c r="A34" s="1" t="str">
        <f t="shared" si="0"/>
        <v>ZQ1R</v>
      </c>
      <c r="B34" t="s">
        <v>274</v>
      </c>
      <c r="C34" t="s">
        <v>275</v>
      </c>
      <c r="D34" t="s">
        <v>276</v>
      </c>
      <c r="E34" t="s">
        <v>277</v>
      </c>
      <c r="F34" t="s">
        <v>239</v>
      </c>
      <c r="G34" t="s">
        <v>240</v>
      </c>
      <c r="H34" t="s">
        <v>241</v>
      </c>
      <c r="I34" t="s">
        <v>148</v>
      </c>
      <c r="J34" t="b">
        <v>0</v>
      </c>
      <c r="K34" t="s">
        <v>154</v>
      </c>
      <c r="L34" t="s">
        <v>155</v>
      </c>
      <c r="N34" t="s">
        <v>81</v>
      </c>
      <c r="O34" t="s">
        <v>82</v>
      </c>
      <c r="P34" t="s">
        <v>83</v>
      </c>
      <c r="Q34" t="s">
        <v>242</v>
      </c>
      <c r="R34">
        <v>24</v>
      </c>
      <c r="S34" t="s">
        <v>85</v>
      </c>
      <c r="T34" t="s">
        <v>85</v>
      </c>
      <c r="U34">
        <v>1111111</v>
      </c>
      <c r="V34" t="s">
        <v>122</v>
      </c>
      <c r="W34" t="s">
        <v>263</v>
      </c>
      <c r="X34" t="s">
        <v>264</v>
      </c>
      <c r="Y34" t="s">
        <v>89</v>
      </c>
      <c r="Z34" t="s">
        <v>90</v>
      </c>
      <c r="AA34" t="s">
        <v>245</v>
      </c>
      <c r="AB34">
        <v>1</v>
      </c>
      <c r="AC34">
        <v>6</v>
      </c>
      <c r="AD34" t="b">
        <v>1</v>
      </c>
      <c r="AE34">
        <v>2021</v>
      </c>
      <c r="AF34" s="3">
        <v>367</v>
      </c>
      <c r="AG34" s="3">
        <v>44414</v>
      </c>
      <c r="AH34" s="3">
        <v>45535</v>
      </c>
      <c r="AJ34" s="4"/>
      <c r="AK34" s="4"/>
      <c r="AL34" s="3">
        <v>44256</v>
      </c>
      <c r="AM34" s="3">
        <v>45443</v>
      </c>
      <c r="AN34">
        <v>-8.5918531999999992</v>
      </c>
      <c r="AO34">
        <v>116.1494999</v>
      </c>
      <c r="AP34" t="s">
        <v>265</v>
      </c>
      <c r="AQ34" s="5" t="s">
        <v>93</v>
      </c>
      <c r="AR34" s="5" t="s">
        <v>94</v>
      </c>
      <c r="AS34" t="s">
        <v>80</v>
      </c>
      <c r="AT34">
        <v>99.2</v>
      </c>
      <c r="AU34" t="s">
        <v>95</v>
      </c>
      <c r="AV34" t="s">
        <v>96</v>
      </c>
      <c r="AW34">
        <v>-8.6991940000000003</v>
      </c>
      <c r="AX34">
        <v>115.216222</v>
      </c>
      <c r="AY34" t="s">
        <v>245</v>
      </c>
      <c r="AZ34" t="s">
        <v>266</v>
      </c>
      <c r="BA34">
        <v>-8.5946458999999997</v>
      </c>
      <c r="BB34">
        <v>116.12033289999999</v>
      </c>
      <c r="BC34" t="e">
        <v>#N/A</v>
      </c>
      <c r="BD34" t="e">
        <v>#N/A</v>
      </c>
      <c r="BE34">
        <v>0</v>
      </c>
      <c r="BF34">
        <v>0</v>
      </c>
      <c r="BG34" t="s">
        <v>278</v>
      </c>
      <c r="BH34" t="s">
        <v>101</v>
      </c>
      <c r="BI34" t="s">
        <v>102</v>
      </c>
      <c r="BJ34">
        <v>3</v>
      </c>
      <c r="BL34">
        <v>1</v>
      </c>
      <c r="BM34" t="s">
        <v>103</v>
      </c>
      <c r="BN34">
        <v>4</v>
      </c>
      <c r="BO34" s="6">
        <v>6.9444444444444441E-3</v>
      </c>
      <c r="BP34">
        <v>103.29</v>
      </c>
      <c r="BQ34">
        <v>3.22</v>
      </c>
      <c r="BR34">
        <v>0</v>
      </c>
    </row>
    <row r="35" spans="1:70" ht="15" customHeight="1" x14ac:dyDescent="0.35">
      <c r="A35" s="1" t="str">
        <f t="shared" si="0"/>
        <v>513N</v>
      </c>
      <c r="B35" t="s">
        <v>279</v>
      </c>
      <c r="C35" t="s">
        <v>280</v>
      </c>
      <c r="D35" t="s">
        <v>281</v>
      </c>
      <c r="E35" t="s">
        <v>282</v>
      </c>
      <c r="F35" t="s">
        <v>283</v>
      </c>
      <c r="G35" t="s">
        <v>240</v>
      </c>
      <c r="H35" t="s">
        <v>241</v>
      </c>
      <c r="I35" t="s">
        <v>137</v>
      </c>
      <c r="J35" t="b">
        <v>0</v>
      </c>
      <c r="K35" t="s">
        <v>78</v>
      </c>
      <c r="L35" t="s">
        <v>79</v>
      </c>
      <c r="N35" t="s">
        <v>81</v>
      </c>
      <c r="O35" t="s">
        <v>82</v>
      </c>
      <c r="P35" t="s">
        <v>83</v>
      </c>
      <c r="Q35" t="s">
        <v>242</v>
      </c>
      <c r="R35">
        <v>24</v>
      </c>
      <c r="S35" t="s">
        <v>85</v>
      </c>
      <c r="T35" t="s">
        <v>179</v>
      </c>
      <c r="U35">
        <v>1111111</v>
      </c>
      <c r="V35" t="s">
        <v>86</v>
      </c>
      <c r="W35" t="s">
        <v>252</v>
      </c>
      <c r="X35" t="s">
        <v>253</v>
      </c>
      <c r="Y35" t="s">
        <v>89</v>
      </c>
      <c r="Z35" t="s">
        <v>90</v>
      </c>
      <c r="AA35" t="s">
        <v>245</v>
      </c>
      <c r="AB35">
        <v>1</v>
      </c>
      <c r="AC35">
        <v>6</v>
      </c>
      <c r="AD35" t="b">
        <v>1</v>
      </c>
      <c r="AE35">
        <v>2021</v>
      </c>
      <c r="AF35" s="3">
        <v>367</v>
      </c>
      <c r="AG35" s="3">
        <v>44462</v>
      </c>
      <c r="AH35" s="3">
        <v>45565</v>
      </c>
      <c r="AJ35" s="4"/>
      <c r="AK35" s="4"/>
      <c r="AL35" s="3">
        <v>44256</v>
      </c>
      <c r="AM35" s="3">
        <v>45443</v>
      </c>
      <c r="AN35">
        <v>-8.5947888999999993</v>
      </c>
      <c r="AO35">
        <v>116.140011</v>
      </c>
      <c r="AP35" t="s">
        <v>284</v>
      </c>
      <c r="AQ35" s="5" t="s">
        <v>93</v>
      </c>
      <c r="AR35" s="5" t="s">
        <v>94</v>
      </c>
      <c r="AS35" t="s">
        <v>80</v>
      </c>
      <c r="AT35">
        <v>99.75</v>
      </c>
      <c r="AU35" t="s">
        <v>95</v>
      </c>
      <c r="AV35" t="s">
        <v>96</v>
      </c>
      <c r="AW35">
        <v>-8.6991940000000003</v>
      </c>
      <c r="AX35">
        <v>115.216222</v>
      </c>
      <c r="AY35" t="s">
        <v>245</v>
      </c>
      <c r="AZ35" t="s">
        <v>266</v>
      </c>
      <c r="BA35">
        <v>-8.5946458999999997</v>
      </c>
      <c r="BB35">
        <v>116.12033289999999</v>
      </c>
      <c r="BC35" t="e">
        <v>#N/A</v>
      </c>
      <c r="BD35" t="e">
        <v>#N/A</v>
      </c>
      <c r="BE35">
        <v>0</v>
      </c>
      <c r="BF35">
        <v>0</v>
      </c>
      <c r="BG35" t="s">
        <v>285</v>
      </c>
      <c r="BH35" t="s">
        <v>101</v>
      </c>
      <c r="BI35" t="s">
        <v>102</v>
      </c>
      <c r="BJ35">
        <v>3</v>
      </c>
      <c r="BL35">
        <v>1</v>
      </c>
      <c r="BM35" t="s">
        <v>103</v>
      </c>
      <c r="BN35">
        <v>19.399999999999999</v>
      </c>
      <c r="BO35" s="6">
        <v>2.2222222222222223E-2</v>
      </c>
      <c r="BP35">
        <v>94.48</v>
      </c>
      <c r="BQ35">
        <v>15.41</v>
      </c>
      <c r="BR35">
        <v>0</v>
      </c>
    </row>
    <row r="36" spans="1:70" ht="15" customHeight="1" x14ac:dyDescent="0.35">
      <c r="A36" s="1" t="str">
        <f t="shared" si="0"/>
        <v>262R</v>
      </c>
      <c r="B36" t="s">
        <v>286</v>
      </c>
      <c r="C36" t="s">
        <v>287</v>
      </c>
      <c r="D36" t="s">
        <v>288</v>
      </c>
      <c r="E36" t="s">
        <v>289</v>
      </c>
      <c r="F36" t="s">
        <v>283</v>
      </c>
      <c r="G36" t="s">
        <v>240</v>
      </c>
      <c r="H36" t="s">
        <v>241</v>
      </c>
      <c r="I36" t="s">
        <v>77</v>
      </c>
      <c r="J36" t="b">
        <v>0</v>
      </c>
      <c r="K36" t="s">
        <v>78</v>
      </c>
      <c r="L36" t="s">
        <v>79</v>
      </c>
      <c r="N36" t="s">
        <v>81</v>
      </c>
      <c r="O36" t="s">
        <v>82</v>
      </c>
      <c r="P36" t="s">
        <v>83</v>
      </c>
      <c r="Q36" t="s">
        <v>242</v>
      </c>
      <c r="R36">
        <v>24</v>
      </c>
      <c r="S36" t="s">
        <v>85</v>
      </c>
      <c r="T36" t="s">
        <v>85</v>
      </c>
      <c r="U36">
        <v>1111111</v>
      </c>
      <c r="V36" t="s">
        <v>86</v>
      </c>
      <c r="W36" t="s">
        <v>252</v>
      </c>
      <c r="X36" t="s">
        <v>253</v>
      </c>
      <c r="Y36" t="s">
        <v>89</v>
      </c>
      <c r="Z36" t="s">
        <v>90</v>
      </c>
      <c r="AA36" t="s">
        <v>245</v>
      </c>
      <c r="AB36">
        <v>1</v>
      </c>
      <c r="AC36">
        <v>6</v>
      </c>
      <c r="AD36" t="b">
        <v>1</v>
      </c>
      <c r="AE36">
        <v>2021</v>
      </c>
      <c r="AF36" s="3">
        <v>367</v>
      </c>
      <c r="AG36" s="3">
        <v>44462</v>
      </c>
      <c r="AH36" s="3">
        <v>45565</v>
      </c>
      <c r="AJ36" s="4"/>
      <c r="AK36" s="4"/>
      <c r="AL36" s="3">
        <v>44256</v>
      </c>
      <c r="AM36" s="3">
        <v>45443</v>
      </c>
      <c r="AN36">
        <v>-8.6135214999999992</v>
      </c>
      <c r="AO36">
        <v>116.1496765</v>
      </c>
      <c r="AP36" t="s">
        <v>289</v>
      </c>
      <c r="AQ36" s="5" t="s">
        <v>93</v>
      </c>
      <c r="AR36" s="5" t="s">
        <v>94</v>
      </c>
      <c r="AS36" t="s">
        <v>80</v>
      </c>
      <c r="AT36">
        <v>99.75</v>
      </c>
      <c r="AU36" t="s">
        <v>95</v>
      </c>
      <c r="AV36" t="s">
        <v>96</v>
      </c>
      <c r="AW36">
        <v>-8.6991940000000003</v>
      </c>
      <c r="AX36">
        <v>115.216222</v>
      </c>
      <c r="AY36" t="s">
        <v>245</v>
      </c>
      <c r="AZ36" t="s">
        <v>266</v>
      </c>
      <c r="BA36">
        <v>-8.5946458999999997</v>
      </c>
      <c r="BB36">
        <v>116.12033289999999</v>
      </c>
      <c r="BC36" t="e">
        <v>#N/A</v>
      </c>
      <c r="BD36" t="e">
        <v>#N/A</v>
      </c>
      <c r="BE36">
        <v>0</v>
      </c>
      <c r="BF36">
        <v>0</v>
      </c>
      <c r="BG36" t="s">
        <v>285</v>
      </c>
      <c r="BH36" t="s">
        <v>101</v>
      </c>
      <c r="BI36" t="s">
        <v>102</v>
      </c>
      <c r="BJ36">
        <v>3</v>
      </c>
      <c r="BL36">
        <v>1</v>
      </c>
      <c r="BM36" t="s">
        <v>103</v>
      </c>
      <c r="BN36">
        <v>5.7</v>
      </c>
      <c r="BO36" s="6">
        <v>8.3333333333333332E-3</v>
      </c>
      <c r="BP36">
        <v>103.05</v>
      </c>
      <c r="BQ36">
        <v>3.85</v>
      </c>
      <c r="BR36">
        <v>0</v>
      </c>
    </row>
    <row r="37" spans="1:70" ht="15" customHeight="1" x14ac:dyDescent="0.35">
      <c r="A37" s="1" t="str">
        <f t="shared" si="0"/>
        <v>634J</v>
      </c>
      <c r="B37" t="s">
        <v>290</v>
      </c>
      <c r="C37" t="s">
        <v>291</v>
      </c>
      <c r="D37" t="s">
        <v>292</v>
      </c>
      <c r="E37" t="s">
        <v>293</v>
      </c>
      <c r="F37" t="s">
        <v>294</v>
      </c>
      <c r="G37" t="s">
        <v>240</v>
      </c>
      <c r="H37" t="s">
        <v>241</v>
      </c>
      <c r="I37" t="s">
        <v>137</v>
      </c>
      <c r="J37" t="b">
        <v>0</v>
      </c>
      <c r="K37" t="s">
        <v>78</v>
      </c>
      <c r="L37" t="s">
        <v>79</v>
      </c>
      <c r="N37" t="s">
        <v>81</v>
      </c>
      <c r="O37" t="s">
        <v>82</v>
      </c>
      <c r="P37" t="s">
        <v>83</v>
      </c>
      <c r="Q37" t="s">
        <v>242</v>
      </c>
      <c r="R37">
        <v>24</v>
      </c>
      <c r="S37" t="s">
        <v>85</v>
      </c>
      <c r="T37" t="s">
        <v>121</v>
      </c>
      <c r="U37">
        <v>1111111</v>
      </c>
      <c r="V37" t="s">
        <v>86</v>
      </c>
      <c r="W37" t="s">
        <v>252</v>
      </c>
      <c r="X37" t="s">
        <v>253</v>
      </c>
      <c r="Y37" t="s">
        <v>89</v>
      </c>
      <c r="Z37" t="s">
        <v>90</v>
      </c>
      <c r="AA37" t="s">
        <v>245</v>
      </c>
      <c r="AB37">
        <v>2</v>
      </c>
      <c r="AC37">
        <v>6</v>
      </c>
      <c r="AD37" t="b">
        <v>1</v>
      </c>
      <c r="AE37">
        <v>2021</v>
      </c>
      <c r="AF37" s="3">
        <v>367</v>
      </c>
      <c r="AG37" s="3">
        <v>44463</v>
      </c>
      <c r="AH37" s="3">
        <v>45565</v>
      </c>
      <c r="AJ37" s="4"/>
      <c r="AK37" s="4"/>
      <c r="AL37" s="3">
        <v>44256</v>
      </c>
      <c r="AM37" s="3">
        <v>45443</v>
      </c>
      <c r="AN37">
        <v>-8.6838934999999999</v>
      </c>
      <c r="AO37">
        <v>116.2382995</v>
      </c>
      <c r="AP37" t="s">
        <v>295</v>
      </c>
      <c r="AQ37" s="5" t="s">
        <v>93</v>
      </c>
      <c r="AR37" s="5" t="s">
        <v>94</v>
      </c>
      <c r="AS37" t="s">
        <v>80</v>
      </c>
      <c r="AT37">
        <v>99.75</v>
      </c>
      <c r="AU37" t="s">
        <v>95</v>
      </c>
      <c r="AV37" t="s">
        <v>96</v>
      </c>
      <c r="AW37">
        <v>-8.6991940000000003</v>
      </c>
      <c r="AX37">
        <v>115.216222</v>
      </c>
      <c r="AY37" t="s">
        <v>245</v>
      </c>
      <c r="AZ37" t="s">
        <v>266</v>
      </c>
      <c r="BA37">
        <v>-8.5946458999999997</v>
      </c>
      <c r="BB37">
        <v>116.12033289999999</v>
      </c>
      <c r="BC37" t="e">
        <v>#N/A</v>
      </c>
      <c r="BD37" t="e">
        <v>#N/A</v>
      </c>
      <c r="BE37">
        <v>0</v>
      </c>
      <c r="BF37">
        <v>0</v>
      </c>
      <c r="BG37" t="s">
        <v>285</v>
      </c>
      <c r="BH37" t="s">
        <v>101</v>
      </c>
      <c r="BI37" t="s">
        <v>102</v>
      </c>
      <c r="BJ37">
        <v>3</v>
      </c>
      <c r="BL37">
        <v>1</v>
      </c>
      <c r="BM37" t="s">
        <v>103</v>
      </c>
      <c r="BN37">
        <v>11</v>
      </c>
      <c r="BO37" s="6">
        <v>1.3888888888888888E-2</v>
      </c>
      <c r="BP37">
        <v>99.78</v>
      </c>
      <c r="BQ37">
        <v>10.14</v>
      </c>
      <c r="BR37">
        <v>0</v>
      </c>
    </row>
    <row r="38" spans="1:70" ht="15" customHeight="1" x14ac:dyDescent="0.35">
      <c r="A38" s="1" t="str">
        <f t="shared" si="0"/>
        <v>630X</v>
      </c>
      <c r="B38" t="s">
        <v>296</v>
      </c>
      <c r="C38" t="s">
        <v>297</v>
      </c>
      <c r="D38" t="s">
        <v>298</v>
      </c>
      <c r="E38" t="s">
        <v>299</v>
      </c>
      <c r="F38" t="s">
        <v>239</v>
      </c>
      <c r="G38" t="s">
        <v>240</v>
      </c>
      <c r="H38" t="s">
        <v>241</v>
      </c>
      <c r="I38" t="s">
        <v>113</v>
      </c>
      <c r="J38" t="b">
        <v>0</v>
      </c>
      <c r="K38" t="s">
        <v>78</v>
      </c>
      <c r="L38" t="s">
        <v>79</v>
      </c>
      <c r="N38" t="s">
        <v>81</v>
      </c>
      <c r="O38" t="s">
        <v>82</v>
      </c>
      <c r="P38" t="s">
        <v>83</v>
      </c>
      <c r="Q38" t="s">
        <v>242</v>
      </c>
      <c r="R38">
        <v>24</v>
      </c>
      <c r="S38" t="s">
        <v>85</v>
      </c>
      <c r="T38" t="s">
        <v>85</v>
      </c>
      <c r="U38">
        <v>1111111</v>
      </c>
      <c r="V38" t="s">
        <v>86</v>
      </c>
      <c r="W38" t="s">
        <v>263</v>
      </c>
      <c r="X38" t="s">
        <v>264</v>
      </c>
      <c r="Y38" t="s">
        <v>89</v>
      </c>
      <c r="Z38" t="s">
        <v>90</v>
      </c>
      <c r="AA38" t="s">
        <v>245</v>
      </c>
      <c r="AB38">
        <v>1</v>
      </c>
      <c r="AC38">
        <v>6</v>
      </c>
      <c r="AD38" t="b">
        <v>1</v>
      </c>
      <c r="AE38">
        <v>2021</v>
      </c>
      <c r="AF38" s="3">
        <v>367</v>
      </c>
      <c r="AG38" s="3">
        <v>44463</v>
      </c>
      <c r="AH38" s="3">
        <v>45565</v>
      </c>
      <c r="AJ38" s="4"/>
      <c r="AK38" s="4"/>
      <c r="AL38" s="3">
        <v>44256</v>
      </c>
      <c r="AM38" s="3">
        <v>45443</v>
      </c>
      <c r="AN38">
        <v>-8.5885947999999992</v>
      </c>
      <c r="AO38">
        <v>116.1177469</v>
      </c>
      <c r="AP38" t="s">
        <v>300</v>
      </c>
      <c r="AQ38" s="5" t="s">
        <v>93</v>
      </c>
      <c r="AR38" t="s">
        <v>80</v>
      </c>
      <c r="AS38" t="s">
        <v>80</v>
      </c>
      <c r="AT38">
        <v>99.75</v>
      </c>
      <c r="AU38" t="s">
        <v>95</v>
      </c>
      <c r="AV38" t="s">
        <v>96</v>
      </c>
      <c r="AW38">
        <v>-8.6991940000000003</v>
      </c>
      <c r="AX38">
        <v>115.216222</v>
      </c>
      <c r="AY38" t="s">
        <v>245</v>
      </c>
      <c r="AZ38" t="s">
        <v>247</v>
      </c>
      <c r="BA38">
        <v>-8.5530475999999993</v>
      </c>
      <c r="BB38">
        <v>116.11346399999999</v>
      </c>
      <c r="BC38" t="e">
        <v>#N/A</v>
      </c>
      <c r="BD38" t="e">
        <v>#N/A</v>
      </c>
      <c r="BE38">
        <v>0</v>
      </c>
      <c r="BF38">
        <v>0</v>
      </c>
      <c r="BG38" t="s">
        <v>285</v>
      </c>
      <c r="BH38" t="s">
        <v>101</v>
      </c>
      <c r="BI38" t="s">
        <v>102</v>
      </c>
      <c r="BJ38">
        <v>3</v>
      </c>
      <c r="BL38">
        <v>1</v>
      </c>
      <c r="BM38" t="s">
        <v>103</v>
      </c>
      <c r="BN38">
        <v>6</v>
      </c>
      <c r="BO38" s="6">
        <v>1.1111111111111112E-2</v>
      </c>
      <c r="BP38">
        <v>99.87</v>
      </c>
      <c r="BQ38">
        <v>3.98</v>
      </c>
      <c r="BR38">
        <v>0</v>
      </c>
    </row>
    <row r="39" spans="1:70" ht="15" customHeight="1" x14ac:dyDescent="0.35">
      <c r="A39" s="1" t="str">
        <f t="shared" si="0"/>
        <v>00CZ</v>
      </c>
      <c r="B39" t="s">
        <v>301</v>
      </c>
      <c r="C39" t="s">
        <v>302</v>
      </c>
      <c r="D39" t="s">
        <v>303</v>
      </c>
      <c r="E39" t="s">
        <v>304</v>
      </c>
      <c r="F39" t="s">
        <v>283</v>
      </c>
      <c r="G39" t="s">
        <v>240</v>
      </c>
      <c r="H39" t="s">
        <v>241</v>
      </c>
      <c r="I39" t="s">
        <v>137</v>
      </c>
      <c r="J39" t="b">
        <v>0</v>
      </c>
      <c r="K39" t="s">
        <v>78</v>
      </c>
      <c r="L39" t="s">
        <v>79</v>
      </c>
      <c r="N39" t="s">
        <v>81</v>
      </c>
      <c r="O39" t="s">
        <v>82</v>
      </c>
      <c r="P39" t="s">
        <v>83</v>
      </c>
      <c r="Q39" t="s">
        <v>242</v>
      </c>
      <c r="R39">
        <v>0</v>
      </c>
      <c r="S39" t="s">
        <v>85</v>
      </c>
      <c r="T39" t="s">
        <v>121</v>
      </c>
      <c r="U39">
        <v>1111111</v>
      </c>
      <c r="V39" t="s">
        <v>86</v>
      </c>
      <c r="W39" t="s">
        <v>252</v>
      </c>
      <c r="X39" t="s">
        <v>253</v>
      </c>
      <c r="Y39" t="s">
        <v>89</v>
      </c>
      <c r="Z39" t="s">
        <v>90</v>
      </c>
      <c r="AA39" t="s">
        <v>245</v>
      </c>
      <c r="AB39">
        <v>1</v>
      </c>
      <c r="AC39">
        <v>6</v>
      </c>
      <c r="AD39" t="b">
        <v>1</v>
      </c>
      <c r="AE39">
        <v>2021</v>
      </c>
      <c r="AF39" s="3">
        <v>367</v>
      </c>
      <c r="AG39" s="3">
        <v>44673</v>
      </c>
      <c r="AH39" s="3">
        <v>45766</v>
      </c>
      <c r="AJ39" s="4"/>
      <c r="AK39" s="4"/>
      <c r="AL39" s="3">
        <v>367</v>
      </c>
      <c r="AM39" s="3">
        <v>367</v>
      </c>
      <c r="AN39">
        <v>-8.6569079000000002</v>
      </c>
      <c r="AO39">
        <v>116.1308746</v>
      </c>
      <c r="AP39" t="s">
        <v>305</v>
      </c>
      <c r="AT39">
        <v>99.75</v>
      </c>
      <c r="AW39">
        <v>0</v>
      </c>
      <c r="AX39">
        <v>0</v>
      </c>
      <c r="BA39">
        <v>0</v>
      </c>
      <c r="BB39">
        <v>0</v>
      </c>
      <c r="BE39">
        <v>0</v>
      </c>
      <c r="BF39">
        <v>0</v>
      </c>
      <c r="BJ39">
        <v>0</v>
      </c>
      <c r="BL39">
        <v>0</v>
      </c>
      <c r="BN39">
        <v>0</v>
      </c>
      <c r="BO39" s="6">
        <v>0</v>
      </c>
      <c r="BP39">
        <v>0</v>
      </c>
      <c r="BQ39">
        <v>0</v>
      </c>
      <c r="BR39">
        <v>0</v>
      </c>
    </row>
    <row r="40" spans="1:70" ht="15" customHeight="1" x14ac:dyDescent="0.35">
      <c r="A40" s="1" t="str">
        <f t="shared" si="0"/>
        <v>609W</v>
      </c>
      <c r="B40" t="s">
        <v>306</v>
      </c>
      <c r="C40" t="s">
        <v>307</v>
      </c>
      <c r="D40" t="s">
        <v>308</v>
      </c>
      <c r="E40" t="s">
        <v>309</v>
      </c>
      <c r="F40" t="s">
        <v>283</v>
      </c>
      <c r="G40" t="s">
        <v>240</v>
      </c>
      <c r="H40" t="s">
        <v>241</v>
      </c>
      <c r="I40" t="s">
        <v>137</v>
      </c>
      <c r="J40" t="b">
        <v>0</v>
      </c>
      <c r="K40" t="s">
        <v>78</v>
      </c>
      <c r="L40" t="s">
        <v>79</v>
      </c>
      <c r="N40" t="s">
        <v>81</v>
      </c>
      <c r="O40" t="s">
        <v>82</v>
      </c>
      <c r="P40" t="s">
        <v>83</v>
      </c>
      <c r="Q40" t="s">
        <v>242</v>
      </c>
      <c r="R40">
        <v>15</v>
      </c>
      <c r="S40" t="s">
        <v>85</v>
      </c>
      <c r="T40" t="s">
        <v>121</v>
      </c>
      <c r="U40">
        <v>1111111</v>
      </c>
      <c r="V40" t="s">
        <v>86</v>
      </c>
      <c r="W40" t="s">
        <v>243</v>
      </c>
      <c r="X40" t="s">
        <v>244</v>
      </c>
      <c r="Y40" t="s">
        <v>89</v>
      </c>
      <c r="Z40" t="s">
        <v>90</v>
      </c>
      <c r="AA40" t="s">
        <v>245</v>
      </c>
      <c r="AB40">
        <v>1</v>
      </c>
      <c r="AC40">
        <v>6</v>
      </c>
      <c r="AD40" t="b">
        <v>1</v>
      </c>
      <c r="AE40">
        <v>2022</v>
      </c>
      <c r="AF40" s="3">
        <v>367</v>
      </c>
      <c r="AG40" s="3">
        <v>44730</v>
      </c>
      <c r="AH40" s="3">
        <v>45818</v>
      </c>
      <c r="AJ40" s="4"/>
      <c r="AK40" s="4"/>
      <c r="AL40" s="3">
        <v>367</v>
      </c>
      <c r="AM40" s="3">
        <v>367</v>
      </c>
      <c r="AN40">
        <v>-8.5045257000000003</v>
      </c>
      <c r="AO40">
        <v>116.0547516</v>
      </c>
      <c r="AP40" t="s">
        <v>309</v>
      </c>
      <c r="AT40">
        <v>99.75</v>
      </c>
      <c r="AW40">
        <v>0</v>
      </c>
      <c r="AX40">
        <v>0</v>
      </c>
      <c r="BA40">
        <v>0</v>
      </c>
      <c r="BB40">
        <v>0</v>
      </c>
      <c r="BE40">
        <v>0</v>
      </c>
      <c r="BF40">
        <v>0</v>
      </c>
      <c r="BJ40">
        <v>0</v>
      </c>
      <c r="BL40">
        <v>0</v>
      </c>
      <c r="BN40">
        <v>0</v>
      </c>
      <c r="BO40" s="6">
        <v>0</v>
      </c>
      <c r="BP40">
        <v>0</v>
      </c>
      <c r="BQ40">
        <v>0</v>
      </c>
      <c r="BR40">
        <v>0</v>
      </c>
    </row>
    <row r="41" spans="1:70" ht="15" customHeight="1" x14ac:dyDescent="0.35">
      <c r="A41" s="1" t="str">
        <f t="shared" si="0"/>
        <v>0072</v>
      </c>
      <c r="B41" t="s">
        <v>310</v>
      </c>
      <c r="C41" t="s">
        <v>311</v>
      </c>
      <c r="D41" t="s">
        <v>312</v>
      </c>
      <c r="E41" t="s">
        <v>313</v>
      </c>
      <c r="F41" t="s">
        <v>294</v>
      </c>
      <c r="G41" t="s">
        <v>240</v>
      </c>
      <c r="H41" t="s">
        <v>241</v>
      </c>
      <c r="I41" t="s">
        <v>132</v>
      </c>
      <c r="J41" t="b">
        <v>1</v>
      </c>
      <c r="K41" t="s">
        <v>78</v>
      </c>
      <c r="L41" t="s">
        <v>79</v>
      </c>
      <c r="N41" t="s">
        <v>81</v>
      </c>
      <c r="O41" t="s">
        <v>82</v>
      </c>
      <c r="P41" t="s">
        <v>83</v>
      </c>
      <c r="Q41" t="s">
        <v>242</v>
      </c>
      <c r="R41">
        <v>14</v>
      </c>
      <c r="S41" t="s">
        <v>314</v>
      </c>
      <c r="T41" t="s">
        <v>121</v>
      </c>
      <c r="U41">
        <v>1111111</v>
      </c>
      <c r="V41" t="s">
        <v>122</v>
      </c>
      <c r="W41" t="s">
        <v>252</v>
      </c>
      <c r="X41" t="s">
        <v>253</v>
      </c>
      <c r="Y41" t="s">
        <v>89</v>
      </c>
      <c r="Z41" t="s">
        <v>90</v>
      </c>
      <c r="AA41" t="s">
        <v>245</v>
      </c>
      <c r="AB41">
        <v>2</v>
      </c>
      <c r="AC41">
        <v>6</v>
      </c>
      <c r="AD41" t="b">
        <v>1</v>
      </c>
      <c r="AE41">
        <v>2022</v>
      </c>
      <c r="AF41" s="3">
        <v>367</v>
      </c>
      <c r="AG41" s="3">
        <v>44730</v>
      </c>
      <c r="AH41" s="3">
        <v>45818</v>
      </c>
      <c r="AJ41" s="4"/>
      <c r="AK41" s="4"/>
      <c r="AL41" s="3">
        <v>367</v>
      </c>
      <c r="AM41" s="3">
        <v>367</v>
      </c>
      <c r="AN41">
        <v>-8.7623730999999996</v>
      </c>
      <c r="AO41">
        <v>116.2734391</v>
      </c>
      <c r="AP41" t="s">
        <v>315</v>
      </c>
      <c r="AT41">
        <v>99.75</v>
      </c>
      <c r="AW41">
        <v>0</v>
      </c>
      <c r="AX41">
        <v>0</v>
      </c>
      <c r="BA41">
        <v>0</v>
      </c>
      <c r="BB41">
        <v>0</v>
      </c>
      <c r="BE41">
        <v>0</v>
      </c>
      <c r="BF41">
        <v>0</v>
      </c>
      <c r="BJ41">
        <v>0</v>
      </c>
      <c r="BL41">
        <v>0</v>
      </c>
      <c r="BN41">
        <v>0</v>
      </c>
      <c r="BO41" s="6">
        <v>0</v>
      </c>
      <c r="BP41">
        <v>0</v>
      </c>
      <c r="BQ41">
        <v>0</v>
      </c>
      <c r="BR41">
        <v>0</v>
      </c>
    </row>
    <row r="42" spans="1:70" ht="15" customHeight="1" x14ac:dyDescent="0.35">
      <c r="A42" s="1" t="str">
        <f t="shared" si="0"/>
        <v>617B</v>
      </c>
      <c r="B42" t="s">
        <v>316</v>
      </c>
      <c r="C42" t="s">
        <v>317</v>
      </c>
      <c r="D42" t="s">
        <v>318</v>
      </c>
      <c r="E42" t="s">
        <v>319</v>
      </c>
      <c r="F42" t="s">
        <v>294</v>
      </c>
      <c r="G42" t="s">
        <v>240</v>
      </c>
      <c r="H42" t="s">
        <v>241</v>
      </c>
      <c r="I42" t="s">
        <v>77</v>
      </c>
      <c r="J42" t="b">
        <v>0</v>
      </c>
      <c r="K42" t="s">
        <v>78</v>
      </c>
      <c r="L42" t="s">
        <v>79</v>
      </c>
      <c r="N42" t="s">
        <v>81</v>
      </c>
      <c r="O42" t="s">
        <v>82</v>
      </c>
      <c r="P42" t="s">
        <v>83</v>
      </c>
      <c r="Q42" t="s">
        <v>242</v>
      </c>
      <c r="R42">
        <v>24</v>
      </c>
      <c r="S42" t="s">
        <v>85</v>
      </c>
      <c r="T42" t="s">
        <v>121</v>
      </c>
      <c r="U42">
        <v>1111111</v>
      </c>
      <c r="V42" t="s">
        <v>122</v>
      </c>
      <c r="W42" t="s">
        <v>252</v>
      </c>
      <c r="X42" t="s">
        <v>253</v>
      </c>
      <c r="Y42" t="s">
        <v>89</v>
      </c>
      <c r="Z42" t="s">
        <v>90</v>
      </c>
      <c r="AA42" t="s">
        <v>245</v>
      </c>
      <c r="AB42">
        <v>2</v>
      </c>
      <c r="AC42">
        <v>6</v>
      </c>
      <c r="AD42" t="b">
        <v>1</v>
      </c>
      <c r="AE42">
        <v>2022</v>
      </c>
      <c r="AF42" s="3">
        <v>367</v>
      </c>
      <c r="AG42" s="3">
        <v>44730</v>
      </c>
      <c r="AH42" s="3">
        <v>45818</v>
      </c>
      <c r="AJ42" s="4">
        <f>VLOOKUP(A42,'[1]1'!B:Q,16,0)</f>
        <v>1440</v>
      </c>
      <c r="AK42" s="7">
        <f>AJ42/250</f>
        <v>5.76</v>
      </c>
      <c r="AL42" s="3">
        <v>367</v>
      </c>
      <c r="AM42" s="3">
        <v>367</v>
      </c>
      <c r="AN42">
        <v>-8.7700315999999994</v>
      </c>
      <c r="AO42">
        <v>116.2668194</v>
      </c>
      <c r="AP42" t="s">
        <v>320</v>
      </c>
      <c r="AT42">
        <v>99.75</v>
      </c>
      <c r="AW42">
        <v>0</v>
      </c>
      <c r="AX42">
        <v>0</v>
      </c>
      <c r="BA42">
        <v>0</v>
      </c>
      <c r="BB42">
        <v>0</v>
      </c>
      <c r="BE42">
        <v>0</v>
      </c>
      <c r="BF42">
        <v>0</v>
      </c>
      <c r="BJ42">
        <v>0</v>
      </c>
      <c r="BL42">
        <v>0</v>
      </c>
      <c r="BN42">
        <v>0</v>
      </c>
      <c r="BO42" s="6">
        <v>0</v>
      </c>
      <c r="BP42">
        <v>0</v>
      </c>
      <c r="BQ42">
        <v>0</v>
      </c>
      <c r="BR42">
        <v>0</v>
      </c>
    </row>
    <row r="43" spans="1:70" ht="15" customHeight="1" x14ac:dyDescent="0.35">
      <c r="A43" s="1" t="str">
        <f t="shared" si="0"/>
        <v>692A</v>
      </c>
      <c r="B43" t="s">
        <v>321</v>
      </c>
      <c r="C43" t="s">
        <v>322</v>
      </c>
      <c r="D43" t="s">
        <v>323</v>
      </c>
      <c r="E43" t="s">
        <v>324</v>
      </c>
      <c r="F43" t="s">
        <v>294</v>
      </c>
      <c r="G43" t="s">
        <v>240</v>
      </c>
      <c r="H43" t="s">
        <v>241</v>
      </c>
      <c r="I43" t="s">
        <v>137</v>
      </c>
      <c r="J43" t="b">
        <v>0</v>
      </c>
      <c r="K43" t="s">
        <v>78</v>
      </c>
      <c r="L43" t="s">
        <v>79</v>
      </c>
      <c r="N43" t="s">
        <v>81</v>
      </c>
      <c r="O43" t="s">
        <v>82</v>
      </c>
      <c r="P43" t="s">
        <v>83</v>
      </c>
      <c r="Q43" t="s">
        <v>242</v>
      </c>
      <c r="R43">
        <v>24</v>
      </c>
      <c r="S43" t="s">
        <v>85</v>
      </c>
      <c r="T43" t="s">
        <v>121</v>
      </c>
      <c r="U43">
        <v>1111111</v>
      </c>
      <c r="V43" t="s">
        <v>122</v>
      </c>
      <c r="W43" t="s">
        <v>243</v>
      </c>
      <c r="X43" t="s">
        <v>244</v>
      </c>
      <c r="Y43" t="s">
        <v>89</v>
      </c>
      <c r="Z43" t="s">
        <v>90</v>
      </c>
      <c r="AA43" t="s">
        <v>245</v>
      </c>
      <c r="AB43">
        <v>2</v>
      </c>
      <c r="AC43">
        <v>6</v>
      </c>
      <c r="AD43" t="b">
        <v>1</v>
      </c>
      <c r="AE43">
        <v>2022</v>
      </c>
      <c r="AF43" s="3">
        <v>367</v>
      </c>
      <c r="AG43" s="3">
        <v>44730</v>
      </c>
      <c r="AH43" s="3">
        <v>45818</v>
      </c>
      <c r="AJ43" s="4"/>
      <c r="AK43" s="4"/>
      <c r="AL43" s="3">
        <v>367</v>
      </c>
      <c r="AM43" s="3">
        <v>367</v>
      </c>
      <c r="AN43">
        <v>-8.6337990999999992</v>
      </c>
      <c r="AO43">
        <v>116.3520402</v>
      </c>
      <c r="AP43" t="s">
        <v>325</v>
      </c>
      <c r="AT43">
        <v>99.75</v>
      </c>
      <c r="AW43">
        <v>0</v>
      </c>
      <c r="AX43">
        <v>0</v>
      </c>
      <c r="BA43">
        <v>0</v>
      </c>
      <c r="BB43">
        <v>0</v>
      </c>
      <c r="BE43">
        <v>0</v>
      </c>
      <c r="BF43">
        <v>0</v>
      </c>
      <c r="BJ43">
        <v>0</v>
      </c>
      <c r="BL43">
        <v>0</v>
      </c>
      <c r="BN43">
        <v>0</v>
      </c>
      <c r="BO43" s="6">
        <v>0</v>
      </c>
      <c r="BP43">
        <v>0</v>
      </c>
      <c r="BQ43">
        <v>0</v>
      </c>
      <c r="BR43">
        <v>0</v>
      </c>
    </row>
    <row r="44" spans="1:70" ht="15" customHeight="1" x14ac:dyDescent="0.35">
      <c r="A44" s="1" t="str">
        <f t="shared" si="0"/>
        <v>688J</v>
      </c>
      <c r="B44" t="s">
        <v>326</v>
      </c>
      <c r="C44" t="s">
        <v>327</v>
      </c>
      <c r="D44" t="s">
        <v>328</v>
      </c>
      <c r="E44" t="s">
        <v>329</v>
      </c>
      <c r="F44" t="s">
        <v>239</v>
      </c>
      <c r="G44" t="s">
        <v>240</v>
      </c>
      <c r="H44" t="s">
        <v>241</v>
      </c>
      <c r="I44" t="s">
        <v>137</v>
      </c>
      <c r="J44" t="b">
        <v>0</v>
      </c>
      <c r="K44" t="s">
        <v>78</v>
      </c>
      <c r="L44" t="s">
        <v>79</v>
      </c>
      <c r="N44" t="s">
        <v>81</v>
      </c>
      <c r="O44" t="s">
        <v>82</v>
      </c>
      <c r="P44" t="s">
        <v>83</v>
      </c>
      <c r="Q44" t="s">
        <v>242</v>
      </c>
      <c r="R44">
        <v>16</v>
      </c>
      <c r="S44" t="s">
        <v>195</v>
      </c>
      <c r="T44" t="s">
        <v>121</v>
      </c>
      <c r="U44">
        <v>1111111</v>
      </c>
      <c r="V44" t="s">
        <v>122</v>
      </c>
      <c r="W44" t="s">
        <v>243</v>
      </c>
      <c r="X44" t="s">
        <v>244</v>
      </c>
      <c r="Y44" t="s">
        <v>89</v>
      </c>
      <c r="Z44" t="s">
        <v>90</v>
      </c>
      <c r="AA44" t="s">
        <v>245</v>
      </c>
      <c r="AB44">
        <v>1</v>
      </c>
      <c r="AC44">
        <v>6</v>
      </c>
      <c r="AD44" t="b">
        <v>1</v>
      </c>
      <c r="AE44">
        <v>2022</v>
      </c>
      <c r="AF44" s="3">
        <v>367</v>
      </c>
      <c r="AG44" s="3">
        <v>44730</v>
      </c>
      <c r="AH44" s="3">
        <v>45818</v>
      </c>
      <c r="AJ44" s="4"/>
      <c r="AK44" s="4"/>
      <c r="AL44" s="3">
        <v>367</v>
      </c>
      <c r="AM44" s="3">
        <v>367</v>
      </c>
      <c r="AN44">
        <v>-8.5900783000000001</v>
      </c>
      <c r="AO44">
        <v>116.1459128</v>
      </c>
      <c r="AP44" t="s">
        <v>329</v>
      </c>
      <c r="AT44">
        <v>99.75</v>
      </c>
      <c r="AW44">
        <v>0</v>
      </c>
      <c r="AX44">
        <v>0</v>
      </c>
      <c r="BA44">
        <v>0</v>
      </c>
      <c r="BB44">
        <v>0</v>
      </c>
      <c r="BE44">
        <v>0</v>
      </c>
      <c r="BF44">
        <v>0</v>
      </c>
      <c r="BJ44">
        <v>0</v>
      </c>
      <c r="BL44">
        <v>0</v>
      </c>
      <c r="BN44">
        <v>0</v>
      </c>
      <c r="BO44" s="6">
        <v>0</v>
      </c>
      <c r="BP44">
        <v>0</v>
      </c>
      <c r="BQ44">
        <v>0</v>
      </c>
      <c r="BR44">
        <v>0</v>
      </c>
    </row>
    <row r="45" spans="1:70" ht="15" customHeight="1" x14ac:dyDescent="0.35">
      <c r="A45" s="1" t="str">
        <f t="shared" si="0"/>
        <v>634B</v>
      </c>
      <c r="B45" t="s">
        <v>330</v>
      </c>
      <c r="C45" t="s">
        <v>331</v>
      </c>
      <c r="D45" t="s">
        <v>332</v>
      </c>
      <c r="E45" t="s">
        <v>333</v>
      </c>
      <c r="F45" t="s">
        <v>239</v>
      </c>
      <c r="G45" t="s">
        <v>240</v>
      </c>
      <c r="H45" t="s">
        <v>241</v>
      </c>
      <c r="I45" t="s">
        <v>137</v>
      </c>
      <c r="J45" t="b">
        <v>0</v>
      </c>
      <c r="K45" t="s">
        <v>78</v>
      </c>
      <c r="L45" t="s">
        <v>79</v>
      </c>
      <c r="N45" t="s">
        <v>81</v>
      </c>
      <c r="O45" t="s">
        <v>82</v>
      </c>
      <c r="P45" t="s">
        <v>83</v>
      </c>
      <c r="Q45" t="s">
        <v>242</v>
      </c>
      <c r="R45">
        <v>24</v>
      </c>
      <c r="S45" t="s">
        <v>85</v>
      </c>
      <c r="T45" t="s">
        <v>121</v>
      </c>
      <c r="U45">
        <v>1111111</v>
      </c>
      <c r="V45" t="s">
        <v>122</v>
      </c>
      <c r="W45" t="s">
        <v>263</v>
      </c>
      <c r="X45" t="s">
        <v>264</v>
      </c>
      <c r="Y45" t="s">
        <v>89</v>
      </c>
      <c r="Z45" t="s">
        <v>90</v>
      </c>
      <c r="AA45" t="s">
        <v>245</v>
      </c>
      <c r="AB45">
        <v>1</v>
      </c>
      <c r="AC45">
        <v>6</v>
      </c>
      <c r="AD45" t="b">
        <v>1</v>
      </c>
      <c r="AE45">
        <v>2022</v>
      </c>
      <c r="AF45" s="3">
        <v>367</v>
      </c>
      <c r="AG45" s="3">
        <v>44728</v>
      </c>
      <c r="AH45" s="3">
        <v>45818</v>
      </c>
      <c r="AJ45" s="4"/>
      <c r="AK45" s="4"/>
      <c r="AL45" s="3">
        <v>367</v>
      </c>
      <c r="AM45" s="3">
        <v>367</v>
      </c>
      <c r="AN45">
        <v>-8.5628726999999998</v>
      </c>
      <c r="AO45">
        <v>116.1132477</v>
      </c>
      <c r="AP45" t="s">
        <v>334</v>
      </c>
      <c r="AT45">
        <v>99.75</v>
      </c>
      <c r="AW45">
        <v>0</v>
      </c>
      <c r="AX45">
        <v>0</v>
      </c>
      <c r="BA45">
        <v>0</v>
      </c>
      <c r="BB45">
        <v>0</v>
      </c>
      <c r="BE45">
        <v>0</v>
      </c>
      <c r="BF45">
        <v>0</v>
      </c>
      <c r="BJ45">
        <v>0</v>
      </c>
      <c r="BL45">
        <v>0</v>
      </c>
      <c r="BN45">
        <v>0</v>
      </c>
      <c r="BO45" s="6">
        <v>0</v>
      </c>
      <c r="BP45">
        <v>0</v>
      </c>
      <c r="BQ45">
        <v>0</v>
      </c>
      <c r="BR45">
        <v>0</v>
      </c>
    </row>
    <row r="46" spans="1:70" ht="15" customHeight="1" x14ac:dyDescent="0.35">
      <c r="A46" s="1" t="str">
        <f t="shared" si="0"/>
        <v>653K</v>
      </c>
      <c r="B46" t="s">
        <v>335</v>
      </c>
      <c r="C46" t="s">
        <v>336</v>
      </c>
      <c r="D46" t="s">
        <v>337</v>
      </c>
      <c r="E46" t="s">
        <v>338</v>
      </c>
      <c r="F46" t="s">
        <v>239</v>
      </c>
      <c r="G46" t="s">
        <v>240</v>
      </c>
      <c r="H46" t="s">
        <v>241</v>
      </c>
      <c r="I46" t="s">
        <v>137</v>
      </c>
      <c r="J46" t="b">
        <v>0</v>
      </c>
      <c r="K46" t="s">
        <v>78</v>
      </c>
      <c r="L46" t="s">
        <v>79</v>
      </c>
      <c r="N46" t="s">
        <v>81</v>
      </c>
      <c r="O46" t="s">
        <v>82</v>
      </c>
      <c r="P46" t="s">
        <v>83</v>
      </c>
      <c r="Q46" t="s">
        <v>242</v>
      </c>
      <c r="R46">
        <v>13</v>
      </c>
      <c r="S46" t="s">
        <v>339</v>
      </c>
      <c r="T46" t="s">
        <v>121</v>
      </c>
      <c r="U46">
        <v>1111111</v>
      </c>
      <c r="V46" t="s">
        <v>122</v>
      </c>
      <c r="W46" t="s">
        <v>252</v>
      </c>
      <c r="X46" t="s">
        <v>253</v>
      </c>
      <c r="Y46" t="s">
        <v>89</v>
      </c>
      <c r="Z46" t="s">
        <v>90</v>
      </c>
      <c r="AA46" t="s">
        <v>245</v>
      </c>
      <c r="AB46">
        <v>1</v>
      </c>
      <c r="AC46">
        <v>6</v>
      </c>
      <c r="AD46" t="b">
        <v>1</v>
      </c>
      <c r="AE46">
        <v>2022</v>
      </c>
      <c r="AF46" s="3">
        <v>367</v>
      </c>
      <c r="AG46" s="3">
        <v>44728</v>
      </c>
      <c r="AH46" s="3">
        <v>45818</v>
      </c>
      <c r="AJ46" s="4"/>
      <c r="AK46" s="4"/>
      <c r="AL46" s="3">
        <v>367</v>
      </c>
      <c r="AM46" s="3">
        <v>367</v>
      </c>
      <c r="AN46">
        <v>-8.5998044999999994</v>
      </c>
      <c r="AO46">
        <v>116.128101</v>
      </c>
      <c r="AP46" t="s">
        <v>340</v>
      </c>
      <c r="AT46">
        <v>99.75</v>
      </c>
      <c r="AW46">
        <v>0</v>
      </c>
      <c r="AX46">
        <v>0</v>
      </c>
      <c r="BA46">
        <v>0</v>
      </c>
      <c r="BB46">
        <v>0</v>
      </c>
      <c r="BE46">
        <v>0</v>
      </c>
      <c r="BF46">
        <v>0</v>
      </c>
      <c r="BJ46">
        <v>0</v>
      </c>
      <c r="BL46">
        <v>0</v>
      </c>
      <c r="BN46">
        <v>0</v>
      </c>
      <c r="BO46" s="6">
        <v>0</v>
      </c>
      <c r="BP46">
        <v>0</v>
      </c>
      <c r="BQ46">
        <v>0</v>
      </c>
      <c r="BR46">
        <v>0</v>
      </c>
    </row>
    <row r="47" spans="1:70" ht="15" customHeight="1" x14ac:dyDescent="0.35">
      <c r="A47" s="1" t="str">
        <f t="shared" si="0"/>
        <v>695K</v>
      </c>
      <c r="B47" t="s">
        <v>341</v>
      </c>
      <c r="C47" t="s">
        <v>342</v>
      </c>
      <c r="D47" t="s">
        <v>343</v>
      </c>
      <c r="E47" t="s">
        <v>344</v>
      </c>
      <c r="F47" t="s">
        <v>283</v>
      </c>
      <c r="G47" t="s">
        <v>240</v>
      </c>
      <c r="H47" t="s">
        <v>241</v>
      </c>
      <c r="I47" t="s">
        <v>137</v>
      </c>
      <c r="J47" t="b">
        <v>0</v>
      </c>
      <c r="K47" t="s">
        <v>78</v>
      </c>
      <c r="L47" t="s">
        <v>79</v>
      </c>
      <c r="N47" t="s">
        <v>81</v>
      </c>
      <c r="O47" t="s">
        <v>82</v>
      </c>
      <c r="P47" t="s">
        <v>83</v>
      </c>
      <c r="Q47" t="s">
        <v>242</v>
      </c>
      <c r="R47">
        <v>15</v>
      </c>
      <c r="S47" t="s">
        <v>85</v>
      </c>
      <c r="T47" t="s">
        <v>121</v>
      </c>
      <c r="U47">
        <v>1111111</v>
      </c>
      <c r="V47" t="s">
        <v>122</v>
      </c>
      <c r="W47" t="s">
        <v>252</v>
      </c>
      <c r="X47" t="s">
        <v>253</v>
      </c>
      <c r="Y47" t="s">
        <v>89</v>
      </c>
      <c r="Z47" t="s">
        <v>90</v>
      </c>
      <c r="AA47" t="s">
        <v>245</v>
      </c>
      <c r="AB47">
        <v>1</v>
      </c>
      <c r="AC47">
        <v>6</v>
      </c>
      <c r="AD47" t="b">
        <v>1</v>
      </c>
      <c r="AE47">
        <v>2022</v>
      </c>
      <c r="AF47" s="3">
        <v>367</v>
      </c>
      <c r="AG47" s="3">
        <v>44724</v>
      </c>
      <c r="AH47" s="3">
        <v>45818</v>
      </c>
      <c r="AJ47" s="4"/>
      <c r="AK47" s="4"/>
      <c r="AL47" s="3">
        <v>367</v>
      </c>
      <c r="AM47" s="3">
        <v>367</v>
      </c>
      <c r="AN47">
        <v>-8.6227631999999996</v>
      </c>
      <c r="AO47">
        <v>116.11338600000001</v>
      </c>
      <c r="AP47" t="s">
        <v>345</v>
      </c>
      <c r="AT47">
        <v>99.75</v>
      </c>
      <c r="AW47">
        <v>0</v>
      </c>
      <c r="AX47">
        <v>0</v>
      </c>
      <c r="BA47">
        <v>0</v>
      </c>
      <c r="BB47">
        <v>0</v>
      </c>
      <c r="BE47">
        <v>0</v>
      </c>
      <c r="BF47">
        <v>0</v>
      </c>
      <c r="BJ47">
        <v>0</v>
      </c>
      <c r="BL47">
        <v>0</v>
      </c>
      <c r="BN47">
        <v>0</v>
      </c>
      <c r="BO47" s="6">
        <v>0</v>
      </c>
      <c r="BP47">
        <v>0</v>
      </c>
      <c r="BQ47">
        <v>0</v>
      </c>
      <c r="BR47">
        <v>0</v>
      </c>
    </row>
    <row r="48" spans="1:70" ht="15" customHeight="1" x14ac:dyDescent="0.35">
      <c r="A48" s="1" t="str">
        <f t="shared" si="0"/>
        <v>5918</v>
      </c>
      <c r="B48" t="s">
        <v>346</v>
      </c>
      <c r="C48" t="s">
        <v>347</v>
      </c>
      <c r="D48" t="s">
        <v>348</v>
      </c>
      <c r="E48" t="s">
        <v>349</v>
      </c>
      <c r="F48" t="s">
        <v>239</v>
      </c>
      <c r="G48" t="s">
        <v>240</v>
      </c>
      <c r="H48" t="s">
        <v>241</v>
      </c>
      <c r="I48" t="s">
        <v>350</v>
      </c>
      <c r="J48" t="b">
        <v>1</v>
      </c>
      <c r="K48" t="s">
        <v>78</v>
      </c>
      <c r="L48" t="s">
        <v>79</v>
      </c>
      <c r="N48" t="s">
        <v>81</v>
      </c>
      <c r="O48" t="s">
        <v>82</v>
      </c>
      <c r="P48" t="s">
        <v>83</v>
      </c>
      <c r="Q48" t="s">
        <v>242</v>
      </c>
      <c r="R48">
        <v>24</v>
      </c>
      <c r="S48" t="s">
        <v>85</v>
      </c>
      <c r="T48" t="s">
        <v>121</v>
      </c>
      <c r="U48">
        <v>1111111</v>
      </c>
      <c r="V48" t="s">
        <v>122</v>
      </c>
      <c r="W48" t="s">
        <v>263</v>
      </c>
      <c r="X48" t="s">
        <v>264</v>
      </c>
      <c r="Y48" t="s">
        <v>89</v>
      </c>
      <c r="Z48" t="s">
        <v>90</v>
      </c>
      <c r="AA48" t="s">
        <v>245</v>
      </c>
      <c r="AB48">
        <v>1</v>
      </c>
      <c r="AC48">
        <v>6</v>
      </c>
      <c r="AD48" t="b">
        <v>1</v>
      </c>
      <c r="AE48">
        <v>2023</v>
      </c>
      <c r="AF48" s="3">
        <v>367</v>
      </c>
      <c r="AG48" s="3">
        <v>45056</v>
      </c>
      <c r="AH48" s="3">
        <v>46143</v>
      </c>
      <c r="AJ48" s="4"/>
      <c r="AK48" s="4"/>
      <c r="AL48" s="3">
        <v>367</v>
      </c>
      <c r="AM48" s="3">
        <v>367</v>
      </c>
      <c r="AN48">
        <v>-8.5918761000000003</v>
      </c>
      <c r="AO48">
        <v>116.1140106</v>
      </c>
      <c r="AP48" t="s">
        <v>349</v>
      </c>
      <c r="AT48">
        <v>99.75</v>
      </c>
      <c r="AW48">
        <v>0</v>
      </c>
      <c r="AX48">
        <v>0</v>
      </c>
      <c r="BA48">
        <v>0</v>
      </c>
      <c r="BB48">
        <v>0</v>
      </c>
      <c r="BE48">
        <v>0</v>
      </c>
      <c r="BF48">
        <v>0</v>
      </c>
      <c r="BJ48">
        <v>0</v>
      </c>
      <c r="BL48">
        <v>0</v>
      </c>
      <c r="BN48">
        <v>0</v>
      </c>
      <c r="BO48" s="6">
        <v>0</v>
      </c>
      <c r="BP48">
        <v>0</v>
      </c>
      <c r="BQ48">
        <v>0</v>
      </c>
      <c r="BR48">
        <v>0</v>
      </c>
    </row>
    <row r="49" spans="1:70" ht="15" customHeight="1" x14ac:dyDescent="0.35">
      <c r="A49" s="1" t="str">
        <f t="shared" si="0"/>
        <v>676Q</v>
      </c>
      <c r="B49" t="s">
        <v>351</v>
      </c>
      <c r="C49" t="s">
        <v>352</v>
      </c>
      <c r="D49" t="s">
        <v>353</v>
      </c>
      <c r="E49" t="s">
        <v>354</v>
      </c>
      <c r="F49" t="s">
        <v>239</v>
      </c>
      <c r="G49" t="s">
        <v>240</v>
      </c>
      <c r="H49" t="s">
        <v>241</v>
      </c>
      <c r="I49" t="s">
        <v>113</v>
      </c>
      <c r="J49" t="b">
        <v>0</v>
      </c>
      <c r="K49" t="s">
        <v>78</v>
      </c>
      <c r="L49" t="s">
        <v>79</v>
      </c>
      <c r="N49" t="s">
        <v>81</v>
      </c>
      <c r="O49" t="s">
        <v>82</v>
      </c>
      <c r="P49" t="s">
        <v>83</v>
      </c>
      <c r="Q49" t="s">
        <v>242</v>
      </c>
      <c r="R49">
        <v>24</v>
      </c>
      <c r="S49" t="s">
        <v>85</v>
      </c>
      <c r="T49" t="s">
        <v>121</v>
      </c>
      <c r="U49">
        <v>1111111</v>
      </c>
      <c r="V49" t="s">
        <v>122</v>
      </c>
      <c r="W49" t="s">
        <v>252</v>
      </c>
      <c r="X49" t="s">
        <v>253</v>
      </c>
      <c r="Y49" t="s">
        <v>89</v>
      </c>
      <c r="Z49" t="s">
        <v>90</v>
      </c>
      <c r="AA49" t="s">
        <v>245</v>
      </c>
      <c r="AB49">
        <v>1</v>
      </c>
      <c r="AC49">
        <v>6</v>
      </c>
      <c r="AD49" t="b">
        <v>1</v>
      </c>
      <c r="AE49">
        <v>2023</v>
      </c>
      <c r="AF49" s="3">
        <v>367</v>
      </c>
      <c r="AG49" s="3">
        <v>45057</v>
      </c>
      <c r="AH49" s="3">
        <v>46143</v>
      </c>
      <c r="AJ49" s="4"/>
      <c r="AK49" s="4"/>
      <c r="AL49" s="3">
        <v>367</v>
      </c>
      <c r="AM49" s="3">
        <v>367</v>
      </c>
      <c r="AN49">
        <v>-8.5940162000000004</v>
      </c>
      <c r="AO49">
        <v>116.1218698</v>
      </c>
      <c r="AP49" t="s">
        <v>355</v>
      </c>
      <c r="AT49">
        <v>99.75</v>
      </c>
      <c r="AW49">
        <v>0</v>
      </c>
      <c r="AX49">
        <v>0</v>
      </c>
      <c r="BA49">
        <v>0</v>
      </c>
      <c r="BB49">
        <v>0</v>
      </c>
      <c r="BE49">
        <v>0</v>
      </c>
      <c r="BF49">
        <v>0</v>
      </c>
      <c r="BJ49">
        <v>0</v>
      </c>
      <c r="BL49">
        <v>0</v>
      </c>
      <c r="BN49">
        <v>0</v>
      </c>
      <c r="BO49" s="6">
        <v>0</v>
      </c>
      <c r="BP49">
        <v>0</v>
      </c>
      <c r="BQ49">
        <v>0</v>
      </c>
      <c r="BR49">
        <v>0</v>
      </c>
    </row>
    <row r="50" spans="1:70" ht="15" customHeight="1" x14ac:dyDescent="0.35">
      <c r="A50" s="1" t="str">
        <f t="shared" si="0"/>
        <v>695J</v>
      </c>
      <c r="B50" t="s">
        <v>356</v>
      </c>
      <c r="C50" t="s">
        <v>357</v>
      </c>
      <c r="D50" t="s">
        <v>358</v>
      </c>
      <c r="E50" t="s">
        <v>359</v>
      </c>
      <c r="F50" t="s">
        <v>283</v>
      </c>
      <c r="G50" t="s">
        <v>240</v>
      </c>
      <c r="H50" t="s">
        <v>241</v>
      </c>
      <c r="I50" t="s">
        <v>137</v>
      </c>
      <c r="J50" t="b">
        <v>0</v>
      </c>
      <c r="K50" t="s">
        <v>78</v>
      </c>
      <c r="L50" t="s">
        <v>79</v>
      </c>
      <c r="N50" t="s">
        <v>81</v>
      </c>
      <c r="O50" t="s">
        <v>82</v>
      </c>
      <c r="P50" t="s">
        <v>83</v>
      </c>
      <c r="Q50" t="s">
        <v>242</v>
      </c>
      <c r="R50">
        <v>24</v>
      </c>
      <c r="S50" t="s">
        <v>85</v>
      </c>
      <c r="T50" t="s">
        <v>121</v>
      </c>
      <c r="U50">
        <v>1111111</v>
      </c>
      <c r="V50" t="s">
        <v>122</v>
      </c>
      <c r="W50" t="s">
        <v>243</v>
      </c>
      <c r="X50" t="s">
        <v>244</v>
      </c>
      <c r="Y50" t="s">
        <v>89</v>
      </c>
      <c r="Z50" t="s">
        <v>90</v>
      </c>
      <c r="AA50" t="s">
        <v>245</v>
      </c>
      <c r="AB50">
        <v>1</v>
      </c>
      <c r="AC50">
        <v>6</v>
      </c>
      <c r="AD50" t="b">
        <v>1</v>
      </c>
      <c r="AE50">
        <v>2023</v>
      </c>
      <c r="AF50" s="3">
        <v>367</v>
      </c>
      <c r="AG50" s="3">
        <v>45057</v>
      </c>
      <c r="AH50" s="3">
        <v>46153</v>
      </c>
      <c r="AJ50" s="4"/>
      <c r="AK50" s="4"/>
      <c r="AL50" s="3">
        <v>367</v>
      </c>
      <c r="AM50" s="3">
        <v>367</v>
      </c>
      <c r="AN50">
        <v>-8.5011957999999996</v>
      </c>
      <c r="AO50">
        <v>116.0502846</v>
      </c>
      <c r="AP50" t="s">
        <v>360</v>
      </c>
      <c r="AT50">
        <v>99.75</v>
      </c>
      <c r="AW50">
        <v>0</v>
      </c>
      <c r="AX50">
        <v>0</v>
      </c>
      <c r="BA50">
        <v>0</v>
      </c>
      <c r="BB50">
        <v>0</v>
      </c>
      <c r="BE50">
        <v>0</v>
      </c>
      <c r="BF50">
        <v>0</v>
      </c>
      <c r="BJ50">
        <v>0</v>
      </c>
      <c r="BL50">
        <v>0</v>
      </c>
      <c r="BN50">
        <v>0</v>
      </c>
      <c r="BO50" s="6">
        <v>0</v>
      </c>
      <c r="BP50">
        <v>0</v>
      </c>
      <c r="BQ50">
        <v>0</v>
      </c>
      <c r="BR50">
        <v>0</v>
      </c>
    </row>
    <row r="51" spans="1:70" ht="15" customHeight="1" x14ac:dyDescent="0.35">
      <c r="A51" s="1" t="str">
        <f t="shared" si="0"/>
        <v>617C</v>
      </c>
      <c r="B51" t="s">
        <v>361</v>
      </c>
      <c r="C51" t="s">
        <v>362</v>
      </c>
      <c r="D51" t="s">
        <v>363</v>
      </c>
      <c r="E51" t="s">
        <v>364</v>
      </c>
      <c r="F51" t="s">
        <v>365</v>
      </c>
      <c r="G51" t="s">
        <v>240</v>
      </c>
      <c r="H51" t="s">
        <v>366</v>
      </c>
      <c r="I51" t="s">
        <v>367</v>
      </c>
      <c r="J51" t="b">
        <v>0</v>
      </c>
      <c r="K51" t="s">
        <v>78</v>
      </c>
      <c r="L51" t="s">
        <v>79</v>
      </c>
      <c r="N51" t="s">
        <v>81</v>
      </c>
      <c r="O51" t="s">
        <v>82</v>
      </c>
      <c r="P51" t="s">
        <v>83</v>
      </c>
      <c r="Q51" t="s">
        <v>242</v>
      </c>
      <c r="R51">
        <v>24</v>
      </c>
      <c r="S51" t="s">
        <v>85</v>
      </c>
      <c r="T51" t="s">
        <v>121</v>
      </c>
      <c r="U51">
        <v>1111111</v>
      </c>
      <c r="V51" t="s">
        <v>122</v>
      </c>
      <c r="W51" t="s">
        <v>243</v>
      </c>
      <c r="X51" t="s">
        <v>244</v>
      </c>
      <c r="Y51" t="s">
        <v>89</v>
      </c>
      <c r="Z51" t="s">
        <v>90</v>
      </c>
      <c r="AA51" t="s">
        <v>245</v>
      </c>
      <c r="AB51">
        <v>2</v>
      </c>
      <c r="AC51">
        <v>6</v>
      </c>
      <c r="AD51" t="b">
        <v>1</v>
      </c>
      <c r="AE51">
        <v>2023</v>
      </c>
      <c r="AF51" s="3">
        <v>367</v>
      </c>
      <c r="AG51" s="3">
        <v>45057</v>
      </c>
      <c r="AH51" s="3">
        <v>46153</v>
      </c>
      <c r="AJ51" s="4"/>
      <c r="AK51" s="4"/>
      <c r="AL51" s="3">
        <v>367</v>
      </c>
      <c r="AM51" s="3">
        <v>367</v>
      </c>
      <c r="AN51">
        <v>-8.4052480000000003</v>
      </c>
      <c r="AO51">
        <v>116.1029995</v>
      </c>
      <c r="AP51" t="s">
        <v>368</v>
      </c>
      <c r="AT51">
        <v>99.75</v>
      </c>
      <c r="AW51">
        <v>0</v>
      </c>
      <c r="AX51">
        <v>0</v>
      </c>
      <c r="BA51">
        <v>0</v>
      </c>
      <c r="BB51">
        <v>0</v>
      </c>
      <c r="BE51">
        <v>0</v>
      </c>
      <c r="BF51">
        <v>0</v>
      </c>
      <c r="BJ51">
        <v>0</v>
      </c>
      <c r="BL51">
        <v>0</v>
      </c>
      <c r="BN51">
        <v>0</v>
      </c>
      <c r="BO51" s="6">
        <v>0</v>
      </c>
      <c r="BP51">
        <v>0</v>
      </c>
      <c r="BQ51">
        <v>0</v>
      </c>
      <c r="BR51">
        <v>0</v>
      </c>
    </row>
    <row r="52" spans="1:70" ht="15" customHeight="1" x14ac:dyDescent="0.35">
      <c r="A52" s="1" t="str">
        <f t="shared" si="0"/>
        <v>01RD</v>
      </c>
      <c r="B52" t="s">
        <v>369</v>
      </c>
      <c r="C52" t="s">
        <v>370</v>
      </c>
      <c r="D52" t="s">
        <v>371</v>
      </c>
      <c r="E52" t="s">
        <v>372</v>
      </c>
      <c r="F52" t="s">
        <v>294</v>
      </c>
      <c r="G52" t="s">
        <v>240</v>
      </c>
      <c r="H52" t="s">
        <v>241</v>
      </c>
      <c r="I52" t="s">
        <v>137</v>
      </c>
      <c r="J52" t="b">
        <v>0</v>
      </c>
      <c r="K52" t="s">
        <v>78</v>
      </c>
      <c r="L52" t="s">
        <v>79</v>
      </c>
      <c r="N52" t="s">
        <v>81</v>
      </c>
      <c r="O52" t="s">
        <v>82</v>
      </c>
      <c r="P52" t="s">
        <v>83</v>
      </c>
      <c r="Q52" t="s">
        <v>242</v>
      </c>
      <c r="R52">
        <v>14</v>
      </c>
      <c r="S52" t="s">
        <v>373</v>
      </c>
      <c r="T52" t="s">
        <v>121</v>
      </c>
      <c r="U52">
        <v>1111111</v>
      </c>
      <c r="V52" t="s">
        <v>122</v>
      </c>
      <c r="W52" t="s">
        <v>252</v>
      </c>
      <c r="X52" t="s">
        <v>253</v>
      </c>
      <c r="Y52" t="s">
        <v>89</v>
      </c>
      <c r="Z52" t="s">
        <v>90</v>
      </c>
      <c r="AA52" t="s">
        <v>245</v>
      </c>
      <c r="AB52">
        <v>1</v>
      </c>
      <c r="AC52">
        <v>6</v>
      </c>
      <c r="AD52" t="b">
        <v>1</v>
      </c>
      <c r="AE52">
        <v>2023</v>
      </c>
      <c r="AF52" s="3">
        <v>367</v>
      </c>
      <c r="AG52" s="3">
        <v>45058</v>
      </c>
      <c r="AH52" s="3">
        <v>46143</v>
      </c>
      <c r="AJ52" s="4"/>
      <c r="AK52" s="4"/>
      <c r="AL52" s="3">
        <v>367</v>
      </c>
      <c r="AM52" s="3">
        <v>367</v>
      </c>
      <c r="AN52">
        <v>-8.8908185</v>
      </c>
      <c r="AO52">
        <v>116.2777335</v>
      </c>
      <c r="AP52" t="s">
        <v>374</v>
      </c>
      <c r="AT52">
        <v>99.75</v>
      </c>
      <c r="AW52">
        <v>0</v>
      </c>
      <c r="AX52">
        <v>0</v>
      </c>
      <c r="BA52">
        <v>0</v>
      </c>
      <c r="BB52">
        <v>0</v>
      </c>
      <c r="BE52">
        <v>0</v>
      </c>
      <c r="BF52">
        <v>0</v>
      </c>
      <c r="BJ52">
        <v>0</v>
      </c>
      <c r="BL52">
        <v>0</v>
      </c>
      <c r="BN52">
        <v>0</v>
      </c>
      <c r="BO52" s="6">
        <v>0</v>
      </c>
      <c r="BP52">
        <v>0</v>
      </c>
      <c r="BQ52">
        <v>0</v>
      </c>
      <c r="BR52">
        <v>0</v>
      </c>
    </row>
    <row r="53" spans="1:70" ht="15" customHeight="1" x14ac:dyDescent="0.35">
      <c r="A53" s="1" t="str">
        <f t="shared" si="0"/>
        <v>633J</v>
      </c>
      <c r="B53" t="s">
        <v>375</v>
      </c>
      <c r="C53" t="s">
        <v>376</v>
      </c>
      <c r="D53" t="s">
        <v>377</v>
      </c>
      <c r="E53" t="s">
        <v>378</v>
      </c>
      <c r="F53" t="s">
        <v>294</v>
      </c>
      <c r="G53" t="s">
        <v>240</v>
      </c>
      <c r="H53" t="s">
        <v>241</v>
      </c>
      <c r="I53" t="s">
        <v>137</v>
      </c>
      <c r="J53" t="b">
        <v>0</v>
      </c>
      <c r="K53" t="s">
        <v>78</v>
      </c>
      <c r="L53" t="s">
        <v>79</v>
      </c>
      <c r="N53" t="s">
        <v>81</v>
      </c>
      <c r="O53" t="s">
        <v>82</v>
      </c>
      <c r="P53" t="s">
        <v>83</v>
      </c>
      <c r="Q53" t="s">
        <v>242</v>
      </c>
      <c r="R53">
        <v>15</v>
      </c>
      <c r="S53" t="s">
        <v>85</v>
      </c>
      <c r="T53" t="s">
        <v>121</v>
      </c>
      <c r="U53">
        <v>1111111</v>
      </c>
      <c r="V53" t="s">
        <v>122</v>
      </c>
      <c r="W53" t="s">
        <v>252</v>
      </c>
      <c r="X53" t="s">
        <v>253</v>
      </c>
      <c r="Y53" t="s">
        <v>89</v>
      </c>
      <c r="Z53" t="s">
        <v>90</v>
      </c>
      <c r="AA53" t="s">
        <v>245</v>
      </c>
      <c r="AB53">
        <v>1</v>
      </c>
      <c r="AC53">
        <v>6</v>
      </c>
      <c r="AD53" t="b">
        <v>1</v>
      </c>
      <c r="AE53">
        <v>2023</v>
      </c>
      <c r="AF53" s="3">
        <v>367</v>
      </c>
      <c r="AG53" s="3">
        <v>45058</v>
      </c>
      <c r="AH53" s="3">
        <v>46143</v>
      </c>
      <c r="AJ53" s="4"/>
      <c r="AK53" s="4"/>
      <c r="AL53" s="3">
        <v>367</v>
      </c>
      <c r="AM53" s="3">
        <v>367</v>
      </c>
      <c r="AN53">
        <v>-8.7163769999999996</v>
      </c>
      <c r="AO53">
        <v>116.2196332</v>
      </c>
      <c r="AP53" t="s">
        <v>379</v>
      </c>
      <c r="AT53">
        <v>99.75</v>
      </c>
      <c r="AW53">
        <v>0</v>
      </c>
      <c r="AX53">
        <v>0</v>
      </c>
      <c r="BA53">
        <v>0</v>
      </c>
      <c r="BB53">
        <v>0</v>
      </c>
      <c r="BE53">
        <v>0</v>
      </c>
      <c r="BF53">
        <v>0</v>
      </c>
      <c r="BJ53">
        <v>0</v>
      </c>
      <c r="BL53">
        <v>0</v>
      </c>
      <c r="BN53">
        <v>0</v>
      </c>
      <c r="BO53" s="6">
        <v>0</v>
      </c>
      <c r="BP53">
        <v>0</v>
      </c>
      <c r="BQ53">
        <v>0</v>
      </c>
      <c r="BR53">
        <v>0</v>
      </c>
    </row>
    <row r="54" spans="1:70" ht="15" customHeight="1" x14ac:dyDescent="0.35">
      <c r="A54" s="1" t="str">
        <f t="shared" si="0"/>
        <v>ZLN2</v>
      </c>
      <c r="B54" t="s">
        <v>380</v>
      </c>
      <c r="C54" t="s">
        <v>381</v>
      </c>
      <c r="D54" t="s">
        <v>382</v>
      </c>
      <c r="E54" t="s">
        <v>383</v>
      </c>
      <c r="F54" t="s">
        <v>294</v>
      </c>
      <c r="G54" t="s">
        <v>240</v>
      </c>
      <c r="H54" t="s">
        <v>241</v>
      </c>
      <c r="I54" t="s">
        <v>137</v>
      </c>
      <c r="J54" t="b">
        <v>0</v>
      </c>
      <c r="K54" t="s">
        <v>154</v>
      </c>
      <c r="L54" t="s">
        <v>155</v>
      </c>
      <c r="N54" t="s">
        <v>81</v>
      </c>
      <c r="O54" t="s">
        <v>82</v>
      </c>
      <c r="P54" t="s">
        <v>83</v>
      </c>
      <c r="Q54" t="s">
        <v>242</v>
      </c>
      <c r="R54">
        <v>24</v>
      </c>
      <c r="S54" t="s">
        <v>85</v>
      </c>
      <c r="T54" t="s">
        <v>121</v>
      </c>
      <c r="U54">
        <v>1111111</v>
      </c>
      <c r="V54" t="s">
        <v>122</v>
      </c>
      <c r="W54" t="s">
        <v>243</v>
      </c>
      <c r="X54" t="s">
        <v>244</v>
      </c>
      <c r="Y54" t="s">
        <v>89</v>
      </c>
      <c r="Z54" t="s">
        <v>90</v>
      </c>
      <c r="AA54" t="s">
        <v>245</v>
      </c>
      <c r="AB54">
        <v>1</v>
      </c>
      <c r="AC54">
        <v>6</v>
      </c>
      <c r="AD54" t="b">
        <v>1</v>
      </c>
      <c r="AE54">
        <v>2023</v>
      </c>
      <c r="AF54" s="3">
        <v>367</v>
      </c>
      <c r="AG54" s="3">
        <v>45069</v>
      </c>
      <c r="AH54" s="3">
        <v>46143</v>
      </c>
      <c r="AJ54" s="4"/>
      <c r="AK54" s="4"/>
      <c r="AL54" s="3">
        <v>367</v>
      </c>
      <c r="AM54" s="3">
        <v>367</v>
      </c>
      <c r="AN54">
        <v>-8.6151772999999991</v>
      </c>
      <c r="AO54">
        <v>116.3123387</v>
      </c>
      <c r="AP54" t="s">
        <v>384</v>
      </c>
      <c r="AT54">
        <v>99.2</v>
      </c>
      <c r="AW54">
        <v>0</v>
      </c>
      <c r="AX54">
        <v>0</v>
      </c>
      <c r="BA54">
        <v>0</v>
      </c>
      <c r="BB54">
        <v>0</v>
      </c>
      <c r="BE54">
        <v>0</v>
      </c>
      <c r="BF54">
        <v>0</v>
      </c>
      <c r="BJ54">
        <v>0</v>
      </c>
      <c r="BL54">
        <v>0</v>
      </c>
      <c r="BN54">
        <v>0</v>
      </c>
      <c r="BO54" s="6">
        <v>0</v>
      </c>
      <c r="BP54">
        <v>0</v>
      </c>
      <c r="BQ54">
        <v>0</v>
      </c>
      <c r="BR54">
        <v>0</v>
      </c>
    </row>
    <row r="55" spans="1:70" ht="15" customHeight="1" x14ac:dyDescent="0.35">
      <c r="A55" s="1" t="str">
        <f t="shared" si="0"/>
        <v>ZLX2</v>
      </c>
      <c r="B55" t="s">
        <v>385</v>
      </c>
      <c r="C55" t="s">
        <v>386</v>
      </c>
      <c r="D55" t="s">
        <v>387</v>
      </c>
      <c r="E55" t="s">
        <v>388</v>
      </c>
      <c r="F55" t="s">
        <v>239</v>
      </c>
      <c r="G55" t="s">
        <v>240</v>
      </c>
      <c r="H55" t="s">
        <v>241</v>
      </c>
      <c r="I55" t="s">
        <v>137</v>
      </c>
      <c r="J55" t="b">
        <v>0</v>
      </c>
      <c r="K55" t="s">
        <v>154</v>
      </c>
      <c r="L55" t="s">
        <v>155</v>
      </c>
      <c r="N55" t="s">
        <v>81</v>
      </c>
      <c r="O55" t="s">
        <v>82</v>
      </c>
      <c r="P55" t="s">
        <v>83</v>
      </c>
      <c r="Q55" t="s">
        <v>242</v>
      </c>
      <c r="R55">
        <v>24</v>
      </c>
      <c r="S55" t="s">
        <v>85</v>
      </c>
      <c r="T55" t="s">
        <v>121</v>
      </c>
      <c r="U55">
        <v>1111111</v>
      </c>
      <c r="V55" t="s">
        <v>122</v>
      </c>
      <c r="W55" t="s">
        <v>263</v>
      </c>
      <c r="X55" t="s">
        <v>264</v>
      </c>
      <c r="Y55" t="s">
        <v>89</v>
      </c>
      <c r="Z55" t="s">
        <v>90</v>
      </c>
      <c r="AA55" t="s">
        <v>245</v>
      </c>
      <c r="AB55">
        <v>1</v>
      </c>
      <c r="AC55">
        <v>6</v>
      </c>
      <c r="AD55" t="b">
        <v>1</v>
      </c>
      <c r="AE55">
        <v>2023</v>
      </c>
      <c r="AF55" s="3">
        <v>367</v>
      </c>
      <c r="AG55" s="3">
        <v>45069</v>
      </c>
      <c r="AH55" s="3">
        <v>46143</v>
      </c>
      <c r="AJ55" s="4"/>
      <c r="AK55" s="4"/>
      <c r="AL55" s="3">
        <v>367</v>
      </c>
      <c r="AM55" s="3">
        <v>367</v>
      </c>
      <c r="AN55">
        <v>-8.5951936999999994</v>
      </c>
      <c r="AO55">
        <v>116.1470731</v>
      </c>
      <c r="AP55" t="s">
        <v>389</v>
      </c>
      <c r="AT55">
        <v>99.2</v>
      </c>
      <c r="AW55">
        <v>0</v>
      </c>
      <c r="AX55">
        <v>0</v>
      </c>
      <c r="BA55">
        <v>0</v>
      </c>
      <c r="BB55">
        <v>0</v>
      </c>
      <c r="BE55">
        <v>0</v>
      </c>
      <c r="BF55">
        <v>0</v>
      </c>
      <c r="BJ55">
        <v>0</v>
      </c>
      <c r="BL55">
        <v>0</v>
      </c>
      <c r="BN55">
        <v>0</v>
      </c>
      <c r="BO55" s="6">
        <v>0</v>
      </c>
      <c r="BP55">
        <v>0</v>
      </c>
      <c r="BQ55">
        <v>0</v>
      </c>
      <c r="BR55">
        <v>0</v>
      </c>
    </row>
    <row r="56" spans="1:70" ht="15" customHeight="1" x14ac:dyDescent="0.35">
      <c r="A56" s="1" t="str">
        <f t="shared" si="0"/>
        <v>ZRE5</v>
      </c>
      <c r="B56" t="s">
        <v>390</v>
      </c>
      <c r="C56" t="s">
        <v>391</v>
      </c>
      <c r="D56" t="s">
        <v>392</v>
      </c>
      <c r="E56" t="s">
        <v>393</v>
      </c>
      <c r="F56" t="s">
        <v>294</v>
      </c>
      <c r="G56" t="s">
        <v>240</v>
      </c>
      <c r="H56" t="s">
        <v>241</v>
      </c>
      <c r="I56" t="s">
        <v>137</v>
      </c>
      <c r="J56" t="b">
        <v>0</v>
      </c>
      <c r="K56" t="s">
        <v>154</v>
      </c>
      <c r="L56" t="s">
        <v>155</v>
      </c>
      <c r="N56" t="s">
        <v>81</v>
      </c>
      <c r="O56" t="s">
        <v>82</v>
      </c>
      <c r="P56" t="s">
        <v>83</v>
      </c>
      <c r="Q56" t="s">
        <v>242</v>
      </c>
      <c r="R56">
        <v>24</v>
      </c>
      <c r="S56" t="s">
        <v>85</v>
      </c>
      <c r="T56" t="s">
        <v>121</v>
      </c>
      <c r="U56">
        <v>1111111</v>
      </c>
      <c r="V56" t="s">
        <v>86</v>
      </c>
      <c r="W56" t="s">
        <v>252</v>
      </c>
      <c r="X56" t="s">
        <v>253</v>
      </c>
      <c r="Y56" t="s">
        <v>89</v>
      </c>
      <c r="Z56" t="s">
        <v>90</v>
      </c>
      <c r="AA56" t="s">
        <v>245</v>
      </c>
      <c r="AB56">
        <v>2</v>
      </c>
      <c r="AC56">
        <v>6</v>
      </c>
      <c r="AD56" t="b">
        <v>1</v>
      </c>
      <c r="AE56">
        <v>2023</v>
      </c>
      <c r="AF56" s="3">
        <v>367</v>
      </c>
      <c r="AG56" s="3">
        <v>45090</v>
      </c>
      <c r="AH56" s="3">
        <v>46174</v>
      </c>
      <c r="AJ56" s="4"/>
      <c r="AK56" s="4"/>
      <c r="AL56" s="3">
        <v>367</v>
      </c>
      <c r="AM56" s="3">
        <v>367</v>
      </c>
      <c r="AN56">
        <v>-8.7034566000000009</v>
      </c>
      <c r="AO56">
        <v>116.2687152</v>
      </c>
      <c r="AP56" t="s">
        <v>394</v>
      </c>
      <c r="AT56">
        <v>99.2</v>
      </c>
      <c r="AW56">
        <v>0</v>
      </c>
      <c r="AX56">
        <v>0</v>
      </c>
      <c r="BA56">
        <v>0</v>
      </c>
      <c r="BB56">
        <v>0</v>
      </c>
      <c r="BE56">
        <v>0</v>
      </c>
      <c r="BF56">
        <v>0</v>
      </c>
      <c r="BJ56">
        <v>0</v>
      </c>
      <c r="BL56">
        <v>0</v>
      </c>
      <c r="BN56">
        <v>0</v>
      </c>
      <c r="BO56" s="6">
        <v>0</v>
      </c>
      <c r="BP56">
        <v>0</v>
      </c>
      <c r="BQ56">
        <v>0</v>
      </c>
      <c r="BR56">
        <v>0</v>
      </c>
    </row>
    <row r="57" spans="1:70" ht="15" customHeight="1" x14ac:dyDescent="0.35">
      <c r="A57" s="1" t="str">
        <f t="shared" si="0"/>
        <v>ZRF5</v>
      </c>
      <c r="B57" t="s">
        <v>395</v>
      </c>
      <c r="C57" t="s">
        <v>396</v>
      </c>
      <c r="D57" t="s">
        <v>397</v>
      </c>
      <c r="E57" t="s">
        <v>398</v>
      </c>
      <c r="F57" t="s">
        <v>294</v>
      </c>
      <c r="G57" t="s">
        <v>240</v>
      </c>
      <c r="H57" t="s">
        <v>241</v>
      </c>
      <c r="I57" t="s">
        <v>137</v>
      </c>
      <c r="J57" t="b">
        <v>0</v>
      </c>
      <c r="K57" t="s">
        <v>154</v>
      </c>
      <c r="L57" t="s">
        <v>155</v>
      </c>
      <c r="N57" t="s">
        <v>81</v>
      </c>
      <c r="O57" t="s">
        <v>82</v>
      </c>
      <c r="P57" t="s">
        <v>83</v>
      </c>
      <c r="Q57" t="s">
        <v>242</v>
      </c>
      <c r="R57">
        <v>24</v>
      </c>
      <c r="S57" t="s">
        <v>85</v>
      </c>
      <c r="T57" t="s">
        <v>85</v>
      </c>
      <c r="U57">
        <v>1111111</v>
      </c>
      <c r="V57" t="s">
        <v>122</v>
      </c>
      <c r="W57" t="s">
        <v>263</v>
      </c>
      <c r="X57" t="s">
        <v>264</v>
      </c>
      <c r="Y57" t="s">
        <v>89</v>
      </c>
      <c r="Z57" t="s">
        <v>90</v>
      </c>
      <c r="AA57" t="s">
        <v>245</v>
      </c>
      <c r="AB57">
        <v>2</v>
      </c>
      <c r="AC57">
        <v>6</v>
      </c>
      <c r="AD57" t="b">
        <v>1</v>
      </c>
      <c r="AE57">
        <v>2023</v>
      </c>
      <c r="AF57" s="3">
        <v>367</v>
      </c>
      <c r="AG57" s="3">
        <v>45090</v>
      </c>
      <c r="AH57" s="3">
        <v>46186</v>
      </c>
      <c r="AJ57" s="4"/>
      <c r="AK57" s="4"/>
      <c r="AL57" s="3">
        <v>367</v>
      </c>
      <c r="AM57" s="3">
        <v>367</v>
      </c>
      <c r="AN57">
        <v>-8.8893030999999993</v>
      </c>
      <c r="AO57">
        <v>116.2764705</v>
      </c>
      <c r="AP57" t="s">
        <v>399</v>
      </c>
      <c r="AT57">
        <v>99.2</v>
      </c>
      <c r="AW57">
        <v>0</v>
      </c>
      <c r="AX57">
        <v>0</v>
      </c>
      <c r="BA57">
        <v>0</v>
      </c>
      <c r="BB57">
        <v>0</v>
      </c>
      <c r="BE57">
        <v>0</v>
      </c>
      <c r="BF57">
        <v>0</v>
      </c>
      <c r="BJ57">
        <v>0</v>
      </c>
      <c r="BL57">
        <v>0</v>
      </c>
      <c r="BN57">
        <v>0</v>
      </c>
      <c r="BO57" s="6">
        <v>0</v>
      </c>
      <c r="BP57">
        <v>0</v>
      </c>
      <c r="BQ57">
        <v>0</v>
      </c>
      <c r="BR57">
        <v>0</v>
      </c>
    </row>
    <row r="58" spans="1:70" ht="15" customHeight="1" x14ac:dyDescent="0.35">
      <c r="A58" s="1" t="str">
        <f t="shared" si="0"/>
        <v>ZRJ5</v>
      </c>
      <c r="B58" t="s">
        <v>400</v>
      </c>
      <c r="C58" t="s">
        <v>401</v>
      </c>
      <c r="D58" t="s">
        <v>402</v>
      </c>
      <c r="E58" t="s">
        <v>403</v>
      </c>
      <c r="F58" t="s">
        <v>239</v>
      </c>
      <c r="G58" t="s">
        <v>240</v>
      </c>
      <c r="H58" t="s">
        <v>241</v>
      </c>
      <c r="I58" t="s">
        <v>137</v>
      </c>
      <c r="J58" t="b">
        <v>0</v>
      </c>
      <c r="K58" t="s">
        <v>154</v>
      </c>
      <c r="L58" t="s">
        <v>155</v>
      </c>
      <c r="N58" t="s">
        <v>81</v>
      </c>
      <c r="O58" t="s">
        <v>82</v>
      </c>
      <c r="P58" t="s">
        <v>83</v>
      </c>
      <c r="Q58" t="s">
        <v>242</v>
      </c>
      <c r="R58">
        <v>24</v>
      </c>
      <c r="S58" t="s">
        <v>85</v>
      </c>
      <c r="T58" t="s">
        <v>121</v>
      </c>
      <c r="U58">
        <v>1111111</v>
      </c>
      <c r="V58" t="s">
        <v>122</v>
      </c>
      <c r="W58" t="s">
        <v>263</v>
      </c>
      <c r="X58" t="s">
        <v>264</v>
      </c>
      <c r="Y58" t="s">
        <v>89</v>
      </c>
      <c r="Z58" t="s">
        <v>90</v>
      </c>
      <c r="AA58" t="s">
        <v>245</v>
      </c>
      <c r="AB58">
        <v>1</v>
      </c>
      <c r="AC58">
        <v>6</v>
      </c>
      <c r="AD58" t="b">
        <v>1</v>
      </c>
      <c r="AE58">
        <v>2023</v>
      </c>
      <c r="AF58" s="3">
        <v>367</v>
      </c>
      <c r="AG58" s="3">
        <v>45091</v>
      </c>
      <c r="AH58" s="3">
        <v>46187</v>
      </c>
      <c r="AJ58" s="4"/>
      <c r="AK58" s="4"/>
      <c r="AL58" s="3">
        <v>367</v>
      </c>
      <c r="AM58" s="3">
        <v>367</v>
      </c>
      <c r="AN58">
        <v>-8.5805413999999995</v>
      </c>
      <c r="AO58">
        <v>116.1189025</v>
      </c>
      <c r="AP58" t="s">
        <v>404</v>
      </c>
      <c r="AT58">
        <v>99.2</v>
      </c>
      <c r="AW58">
        <v>0</v>
      </c>
      <c r="AX58">
        <v>0</v>
      </c>
      <c r="BA58">
        <v>0</v>
      </c>
      <c r="BB58">
        <v>0</v>
      </c>
      <c r="BE58">
        <v>0</v>
      </c>
      <c r="BF58">
        <v>0</v>
      </c>
      <c r="BJ58">
        <v>0</v>
      </c>
      <c r="BL58">
        <v>0</v>
      </c>
      <c r="BN58">
        <v>0</v>
      </c>
      <c r="BO58" s="6">
        <v>0</v>
      </c>
      <c r="BP58">
        <v>0</v>
      </c>
      <c r="BQ58">
        <v>0</v>
      </c>
      <c r="BR58">
        <v>0</v>
      </c>
    </row>
    <row r="59" spans="1:70" ht="15" customHeight="1" x14ac:dyDescent="0.35">
      <c r="A59" s="1" t="str">
        <f t="shared" si="0"/>
        <v>ZRK5</v>
      </c>
      <c r="B59" t="s">
        <v>405</v>
      </c>
      <c r="C59" t="s">
        <v>406</v>
      </c>
      <c r="D59" t="s">
        <v>407</v>
      </c>
      <c r="E59" t="s">
        <v>408</v>
      </c>
      <c r="F59" t="s">
        <v>239</v>
      </c>
      <c r="G59" t="s">
        <v>240</v>
      </c>
      <c r="H59" t="s">
        <v>241</v>
      </c>
      <c r="I59" t="s">
        <v>137</v>
      </c>
      <c r="J59" t="b">
        <v>0</v>
      </c>
      <c r="K59" t="s">
        <v>154</v>
      </c>
      <c r="L59" t="s">
        <v>155</v>
      </c>
      <c r="N59" t="s">
        <v>81</v>
      </c>
      <c r="O59" t="s">
        <v>82</v>
      </c>
      <c r="P59" t="s">
        <v>83</v>
      </c>
      <c r="Q59" t="s">
        <v>242</v>
      </c>
      <c r="R59">
        <v>24</v>
      </c>
      <c r="S59" t="s">
        <v>85</v>
      </c>
      <c r="T59" t="s">
        <v>121</v>
      </c>
      <c r="U59">
        <v>1111111</v>
      </c>
      <c r="V59" t="s">
        <v>122</v>
      </c>
      <c r="W59" t="s">
        <v>243</v>
      </c>
      <c r="X59" t="s">
        <v>244</v>
      </c>
      <c r="Y59" t="s">
        <v>89</v>
      </c>
      <c r="Z59" t="s">
        <v>90</v>
      </c>
      <c r="AA59" t="s">
        <v>245</v>
      </c>
      <c r="AB59">
        <v>1</v>
      </c>
      <c r="AC59">
        <v>6</v>
      </c>
      <c r="AD59" t="b">
        <v>1</v>
      </c>
      <c r="AE59">
        <v>2023</v>
      </c>
      <c r="AF59" s="3">
        <v>367</v>
      </c>
      <c r="AG59" s="3">
        <v>45091</v>
      </c>
      <c r="AH59" s="3">
        <v>46174</v>
      </c>
      <c r="AJ59" s="4"/>
      <c r="AK59" s="4"/>
      <c r="AL59" s="3">
        <v>367</v>
      </c>
      <c r="AM59" s="3">
        <v>367</v>
      </c>
      <c r="AN59">
        <v>-8.5596841999999995</v>
      </c>
      <c r="AO59">
        <v>116.1100509</v>
      </c>
      <c r="AP59" t="s">
        <v>409</v>
      </c>
      <c r="AT59">
        <v>99.2</v>
      </c>
      <c r="AW59">
        <v>0</v>
      </c>
      <c r="AX59">
        <v>0</v>
      </c>
      <c r="BA59">
        <v>0</v>
      </c>
      <c r="BB59">
        <v>0</v>
      </c>
      <c r="BE59">
        <v>0</v>
      </c>
      <c r="BF59">
        <v>0</v>
      </c>
      <c r="BJ59">
        <v>0</v>
      </c>
      <c r="BL59">
        <v>0</v>
      </c>
      <c r="BN59">
        <v>0</v>
      </c>
      <c r="BO59" s="6">
        <v>0</v>
      </c>
      <c r="BP59">
        <v>0</v>
      </c>
      <c r="BQ59">
        <v>0</v>
      </c>
      <c r="BR59">
        <v>0</v>
      </c>
    </row>
    <row r="60" spans="1:70" ht="15" customHeight="1" x14ac:dyDescent="0.35">
      <c r="A60" s="1" t="str">
        <f t="shared" si="0"/>
        <v>ZRL5</v>
      </c>
      <c r="B60" t="s">
        <v>410</v>
      </c>
      <c r="C60" t="s">
        <v>411</v>
      </c>
      <c r="D60" t="s">
        <v>412</v>
      </c>
      <c r="E60" t="s">
        <v>413</v>
      </c>
      <c r="F60" t="s">
        <v>239</v>
      </c>
      <c r="G60" t="s">
        <v>240</v>
      </c>
      <c r="H60" t="s">
        <v>241</v>
      </c>
      <c r="I60" t="s">
        <v>137</v>
      </c>
      <c r="J60" t="b">
        <v>0</v>
      </c>
      <c r="K60" t="s">
        <v>154</v>
      </c>
      <c r="L60" t="s">
        <v>155</v>
      </c>
      <c r="N60" t="s">
        <v>81</v>
      </c>
      <c r="O60" t="s">
        <v>82</v>
      </c>
      <c r="P60" t="s">
        <v>83</v>
      </c>
      <c r="Q60" t="s">
        <v>242</v>
      </c>
      <c r="R60">
        <v>15</v>
      </c>
      <c r="S60" t="s">
        <v>121</v>
      </c>
      <c r="T60" t="s">
        <v>121</v>
      </c>
      <c r="U60">
        <v>1111111</v>
      </c>
      <c r="V60" t="s">
        <v>122</v>
      </c>
      <c r="W60" t="s">
        <v>243</v>
      </c>
      <c r="X60" t="s">
        <v>244</v>
      </c>
      <c r="Y60" t="s">
        <v>89</v>
      </c>
      <c r="Z60" t="s">
        <v>90</v>
      </c>
      <c r="AA60" t="s">
        <v>245</v>
      </c>
      <c r="AB60">
        <v>1</v>
      </c>
      <c r="AC60">
        <v>6</v>
      </c>
      <c r="AD60" t="b">
        <v>1</v>
      </c>
      <c r="AE60">
        <v>2023</v>
      </c>
      <c r="AF60" s="3">
        <v>367</v>
      </c>
      <c r="AG60" s="3">
        <v>45091</v>
      </c>
      <c r="AH60" s="3">
        <v>46174</v>
      </c>
      <c r="AJ60" s="4"/>
      <c r="AK60" s="4"/>
      <c r="AL60" s="3">
        <v>367</v>
      </c>
      <c r="AM60" s="3">
        <v>367</v>
      </c>
      <c r="AN60">
        <v>-8.5771552</v>
      </c>
      <c r="AO60">
        <v>116.0804078</v>
      </c>
      <c r="AP60" t="s">
        <v>414</v>
      </c>
      <c r="AT60">
        <v>99.2</v>
      </c>
      <c r="AW60">
        <v>0</v>
      </c>
      <c r="AX60">
        <v>0</v>
      </c>
      <c r="BA60">
        <v>0</v>
      </c>
      <c r="BB60">
        <v>0</v>
      </c>
      <c r="BE60">
        <v>0</v>
      </c>
      <c r="BF60">
        <v>0</v>
      </c>
      <c r="BJ60">
        <v>0</v>
      </c>
      <c r="BL60">
        <v>0</v>
      </c>
      <c r="BN60">
        <v>0</v>
      </c>
      <c r="BO60" s="6">
        <v>0</v>
      </c>
      <c r="BP60">
        <v>0</v>
      </c>
      <c r="BQ60">
        <v>0</v>
      </c>
      <c r="BR60">
        <v>0</v>
      </c>
    </row>
    <row r="61" spans="1:70" ht="15" customHeight="1" x14ac:dyDescent="0.35">
      <c r="A61" s="1" t="str">
        <f t="shared" si="0"/>
        <v>ZRM5</v>
      </c>
      <c r="B61" t="s">
        <v>415</v>
      </c>
      <c r="C61" t="s">
        <v>416</v>
      </c>
      <c r="D61" t="s">
        <v>417</v>
      </c>
      <c r="E61" t="s">
        <v>418</v>
      </c>
      <c r="F61" t="s">
        <v>283</v>
      </c>
      <c r="G61" t="s">
        <v>240</v>
      </c>
      <c r="H61" t="s">
        <v>241</v>
      </c>
      <c r="I61" t="s">
        <v>137</v>
      </c>
      <c r="J61" t="b">
        <v>0</v>
      </c>
      <c r="K61" t="s">
        <v>154</v>
      </c>
      <c r="L61" t="s">
        <v>155</v>
      </c>
      <c r="N61" t="s">
        <v>81</v>
      </c>
      <c r="O61" t="s">
        <v>82</v>
      </c>
      <c r="P61" t="s">
        <v>83</v>
      </c>
      <c r="Q61" t="s">
        <v>242</v>
      </c>
      <c r="R61">
        <v>24</v>
      </c>
      <c r="S61" t="s">
        <v>85</v>
      </c>
      <c r="T61" t="s">
        <v>179</v>
      </c>
      <c r="U61">
        <v>1111111</v>
      </c>
      <c r="V61" t="s">
        <v>122</v>
      </c>
      <c r="W61" t="s">
        <v>252</v>
      </c>
      <c r="X61" t="s">
        <v>253</v>
      </c>
      <c r="Y61" t="s">
        <v>89</v>
      </c>
      <c r="Z61" t="s">
        <v>90</v>
      </c>
      <c r="AA61" t="s">
        <v>245</v>
      </c>
      <c r="AB61">
        <v>1</v>
      </c>
      <c r="AC61">
        <v>6</v>
      </c>
      <c r="AD61" t="b">
        <v>1</v>
      </c>
      <c r="AE61">
        <v>2023</v>
      </c>
      <c r="AF61" s="3">
        <v>367</v>
      </c>
      <c r="AG61" s="3">
        <v>45102</v>
      </c>
      <c r="AH61" s="3">
        <v>46193</v>
      </c>
      <c r="AJ61" s="4"/>
      <c r="AK61" s="4"/>
      <c r="AL61" s="3">
        <v>367</v>
      </c>
      <c r="AM61" s="3">
        <v>367</v>
      </c>
      <c r="AN61">
        <v>-8.7258335999999996</v>
      </c>
      <c r="AO61">
        <v>116.07547630000001</v>
      </c>
      <c r="AP61" t="s">
        <v>418</v>
      </c>
      <c r="AT61">
        <v>99.2</v>
      </c>
      <c r="AW61">
        <v>0</v>
      </c>
      <c r="AX61">
        <v>0</v>
      </c>
      <c r="BA61">
        <v>0</v>
      </c>
      <c r="BB61">
        <v>0</v>
      </c>
      <c r="BE61">
        <v>0</v>
      </c>
      <c r="BF61">
        <v>0</v>
      </c>
      <c r="BJ61">
        <v>0</v>
      </c>
      <c r="BL61">
        <v>0</v>
      </c>
      <c r="BN61">
        <v>0</v>
      </c>
      <c r="BO61" s="6">
        <v>0</v>
      </c>
      <c r="BP61">
        <v>0</v>
      </c>
      <c r="BQ61">
        <v>0</v>
      </c>
      <c r="BR61">
        <v>0</v>
      </c>
    </row>
    <row r="62" spans="1:70" ht="15" customHeight="1" x14ac:dyDescent="0.35">
      <c r="A62" s="1" t="str">
        <f t="shared" si="0"/>
        <v>ZRN5</v>
      </c>
      <c r="B62" t="s">
        <v>419</v>
      </c>
      <c r="C62" t="s">
        <v>420</v>
      </c>
      <c r="D62" t="s">
        <v>421</v>
      </c>
      <c r="E62" t="s">
        <v>422</v>
      </c>
      <c r="F62" t="s">
        <v>294</v>
      </c>
      <c r="G62" t="s">
        <v>240</v>
      </c>
      <c r="H62" t="s">
        <v>241</v>
      </c>
      <c r="I62" t="s">
        <v>137</v>
      </c>
      <c r="J62" t="b">
        <v>0</v>
      </c>
      <c r="K62" t="s">
        <v>154</v>
      </c>
      <c r="L62" t="s">
        <v>155</v>
      </c>
      <c r="N62" t="s">
        <v>81</v>
      </c>
      <c r="O62" t="s">
        <v>82</v>
      </c>
      <c r="P62" t="s">
        <v>83</v>
      </c>
      <c r="Q62" t="s">
        <v>242</v>
      </c>
      <c r="R62">
        <v>24</v>
      </c>
      <c r="S62" t="s">
        <v>85</v>
      </c>
      <c r="T62" t="s">
        <v>179</v>
      </c>
      <c r="U62">
        <v>1111111</v>
      </c>
      <c r="V62" t="s">
        <v>86</v>
      </c>
      <c r="W62" t="s">
        <v>252</v>
      </c>
      <c r="X62" t="s">
        <v>253</v>
      </c>
      <c r="Y62" t="s">
        <v>89</v>
      </c>
      <c r="Z62" t="s">
        <v>90</v>
      </c>
      <c r="AA62" t="s">
        <v>245</v>
      </c>
      <c r="AB62">
        <v>2</v>
      </c>
      <c r="AC62">
        <v>6</v>
      </c>
      <c r="AD62" t="b">
        <v>1</v>
      </c>
      <c r="AE62">
        <v>2023</v>
      </c>
      <c r="AF62" s="3">
        <v>367</v>
      </c>
      <c r="AG62" s="3">
        <v>45102</v>
      </c>
      <c r="AH62" s="3">
        <v>46193</v>
      </c>
      <c r="AJ62" s="4"/>
      <c r="AK62" s="4"/>
      <c r="AL62" s="3">
        <v>367</v>
      </c>
      <c r="AM62" s="3">
        <v>367</v>
      </c>
      <c r="AN62">
        <v>-8.8903604999999999</v>
      </c>
      <c r="AO62">
        <v>116.28135020000001</v>
      </c>
      <c r="AP62" t="s">
        <v>423</v>
      </c>
      <c r="AT62">
        <v>99.2</v>
      </c>
      <c r="AW62">
        <v>0</v>
      </c>
      <c r="AX62">
        <v>0</v>
      </c>
      <c r="BA62">
        <v>0</v>
      </c>
      <c r="BB62">
        <v>0</v>
      </c>
      <c r="BE62">
        <v>0</v>
      </c>
      <c r="BF62">
        <v>0</v>
      </c>
      <c r="BJ62">
        <v>0</v>
      </c>
      <c r="BL62">
        <v>0</v>
      </c>
      <c r="BN62">
        <v>0</v>
      </c>
      <c r="BO62" s="6">
        <v>0</v>
      </c>
      <c r="BP62">
        <v>0</v>
      </c>
      <c r="BQ62">
        <v>0</v>
      </c>
      <c r="BR62">
        <v>0</v>
      </c>
    </row>
    <row r="63" spans="1:70" ht="15" customHeight="1" x14ac:dyDescent="0.35">
      <c r="A63" s="1" t="str">
        <f t="shared" si="0"/>
        <v>ZRP5</v>
      </c>
      <c r="B63" t="s">
        <v>424</v>
      </c>
      <c r="C63" t="s">
        <v>425</v>
      </c>
      <c r="D63" t="s">
        <v>426</v>
      </c>
      <c r="E63" t="s">
        <v>427</v>
      </c>
      <c r="F63" t="s">
        <v>365</v>
      </c>
      <c r="G63" t="s">
        <v>240</v>
      </c>
      <c r="H63" t="s">
        <v>366</v>
      </c>
      <c r="I63" t="s">
        <v>137</v>
      </c>
      <c r="J63" t="b">
        <v>0</v>
      </c>
      <c r="K63" t="s">
        <v>154</v>
      </c>
      <c r="L63" t="s">
        <v>155</v>
      </c>
      <c r="N63" t="s">
        <v>81</v>
      </c>
      <c r="O63" t="s">
        <v>82</v>
      </c>
      <c r="P63" t="s">
        <v>83</v>
      </c>
      <c r="Q63" t="s">
        <v>242</v>
      </c>
      <c r="R63">
        <v>0</v>
      </c>
      <c r="S63" t="s">
        <v>85</v>
      </c>
      <c r="T63" t="s">
        <v>179</v>
      </c>
      <c r="U63">
        <v>1111111</v>
      </c>
      <c r="V63" t="s">
        <v>122</v>
      </c>
      <c r="W63" t="s">
        <v>263</v>
      </c>
      <c r="X63" t="s">
        <v>264</v>
      </c>
      <c r="Y63" t="s">
        <v>89</v>
      </c>
      <c r="Z63" t="s">
        <v>90</v>
      </c>
      <c r="AA63" t="s">
        <v>245</v>
      </c>
      <c r="AB63">
        <v>4</v>
      </c>
      <c r="AC63">
        <v>6</v>
      </c>
      <c r="AD63" t="b">
        <v>1</v>
      </c>
      <c r="AE63">
        <v>2023</v>
      </c>
      <c r="AF63" s="3">
        <v>367</v>
      </c>
      <c r="AG63" s="3">
        <v>45102</v>
      </c>
      <c r="AH63" s="3">
        <v>46193</v>
      </c>
      <c r="AJ63" s="4"/>
      <c r="AK63" s="4"/>
      <c r="AL63" s="3">
        <v>367</v>
      </c>
      <c r="AM63" s="3">
        <v>367</v>
      </c>
      <c r="AN63">
        <v>-8.3575382000000005</v>
      </c>
      <c r="AO63">
        <v>116.0414703</v>
      </c>
      <c r="AP63" t="s">
        <v>428</v>
      </c>
      <c r="AT63">
        <v>99.2</v>
      </c>
      <c r="AW63">
        <v>0</v>
      </c>
      <c r="AX63">
        <v>0</v>
      </c>
      <c r="BA63">
        <v>0</v>
      </c>
      <c r="BB63">
        <v>0</v>
      </c>
      <c r="BE63">
        <v>0</v>
      </c>
      <c r="BF63">
        <v>0</v>
      </c>
      <c r="BJ63">
        <v>0</v>
      </c>
      <c r="BL63">
        <v>0</v>
      </c>
      <c r="BN63">
        <v>0</v>
      </c>
      <c r="BO63" s="6">
        <v>0</v>
      </c>
      <c r="BP63">
        <v>0</v>
      </c>
      <c r="BQ63">
        <v>0</v>
      </c>
      <c r="BR63">
        <v>0</v>
      </c>
    </row>
    <row r="64" spans="1:70" ht="15" customHeight="1" x14ac:dyDescent="0.35">
      <c r="A64" s="1" t="str">
        <f t="shared" si="0"/>
        <v>00FU</v>
      </c>
      <c r="B64" t="s">
        <v>429</v>
      </c>
      <c r="C64" t="s">
        <v>430</v>
      </c>
      <c r="D64" t="s">
        <v>431</v>
      </c>
      <c r="E64" t="s">
        <v>432</v>
      </c>
      <c r="F64" t="s">
        <v>239</v>
      </c>
      <c r="G64" t="s">
        <v>240</v>
      </c>
      <c r="H64" t="s">
        <v>241</v>
      </c>
      <c r="I64" t="s">
        <v>178</v>
      </c>
      <c r="J64" t="b">
        <v>0</v>
      </c>
      <c r="K64" t="s">
        <v>78</v>
      </c>
      <c r="L64" t="s">
        <v>79</v>
      </c>
      <c r="N64" t="s">
        <v>81</v>
      </c>
      <c r="O64" t="s">
        <v>82</v>
      </c>
      <c r="P64" t="s">
        <v>83</v>
      </c>
      <c r="Q64" t="s">
        <v>242</v>
      </c>
      <c r="R64">
        <v>24</v>
      </c>
      <c r="S64" t="s">
        <v>121</v>
      </c>
      <c r="T64" t="s">
        <v>85</v>
      </c>
      <c r="U64">
        <v>1111111</v>
      </c>
      <c r="V64" t="s">
        <v>122</v>
      </c>
      <c r="W64" t="s">
        <v>243</v>
      </c>
      <c r="X64" t="s">
        <v>244</v>
      </c>
      <c r="Y64" t="s">
        <v>89</v>
      </c>
      <c r="Z64" t="s">
        <v>90</v>
      </c>
      <c r="AA64" t="s">
        <v>245</v>
      </c>
      <c r="AB64">
        <v>1</v>
      </c>
      <c r="AC64">
        <v>6</v>
      </c>
      <c r="AD64" t="b">
        <v>1</v>
      </c>
      <c r="AE64">
        <v>2023</v>
      </c>
      <c r="AF64" s="3">
        <v>367</v>
      </c>
      <c r="AG64" s="3">
        <v>45104</v>
      </c>
      <c r="AH64" s="3">
        <v>46200</v>
      </c>
      <c r="AJ64" s="4"/>
      <c r="AK64" s="4"/>
      <c r="AL64" s="3">
        <v>367</v>
      </c>
      <c r="AM64" s="3">
        <v>367</v>
      </c>
      <c r="AN64">
        <v>-8.5763406</v>
      </c>
      <c r="AO64">
        <v>116.0810384</v>
      </c>
      <c r="AP64" t="s">
        <v>432</v>
      </c>
      <c r="AT64">
        <v>99.75</v>
      </c>
      <c r="AW64">
        <v>0</v>
      </c>
      <c r="AX64">
        <v>0</v>
      </c>
      <c r="BA64">
        <v>0</v>
      </c>
      <c r="BB64">
        <v>0</v>
      </c>
      <c r="BE64">
        <v>0</v>
      </c>
      <c r="BF64">
        <v>0</v>
      </c>
      <c r="BJ64">
        <v>0</v>
      </c>
      <c r="BL64">
        <v>0</v>
      </c>
      <c r="BN64">
        <v>0</v>
      </c>
      <c r="BO64" s="6">
        <v>0</v>
      </c>
      <c r="BP64">
        <v>0</v>
      </c>
      <c r="BQ64">
        <v>0</v>
      </c>
      <c r="BR64">
        <v>0</v>
      </c>
    </row>
    <row r="65" spans="1:70" ht="15" customHeight="1" x14ac:dyDescent="0.35">
      <c r="A65" s="1" t="str">
        <f t="shared" si="0"/>
        <v>ZQU2</v>
      </c>
      <c r="B65" t="s">
        <v>433</v>
      </c>
      <c r="C65" t="s">
        <v>434</v>
      </c>
      <c r="D65" t="s">
        <v>435</v>
      </c>
      <c r="E65" t="s">
        <v>436</v>
      </c>
      <c r="F65" t="s">
        <v>283</v>
      </c>
      <c r="G65" t="s">
        <v>240</v>
      </c>
      <c r="H65" t="s">
        <v>241</v>
      </c>
      <c r="I65" t="s">
        <v>137</v>
      </c>
      <c r="J65" t="b">
        <v>0</v>
      </c>
      <c r="K65" t="s">
        <v>154</v>
      </c>
      <c r="L65" t="s">
        <v>155</v>
      </c>
      <c r="N65" t="s">
        <v>81</v>
      </c>
      <c r="O65" t="s">
        <v>82</v>
      </c>
      <c r="P65" t="s">
        <v>83</v>
      </c>
      <c r="Q65" t="s">
        <v>242</v>
      </c>
      <c r="R65">
        <v>24</v>
      </c>
      <c r="S65" t="s">
        <v>85</v>
      </c>
      <c r="T65" t="s">
        <v>85</v>
      </c>
      <c r="U65">
        <v>1111111</v>
      </c>
      <c r="V65" t="s">
        <v>122</v>
      </c>
      <c r="W65" t="s">
        <v>252</v>
      </c>
      <c r="X65" t="s">
        <v>253</v>
      </c>
      <c r="Y65" t="s">
        <v>89</v>
      </c>
      <c r="Z65" t="s">
        <v>90</v>
      </c>
      <c r="AA65" t="s">
        <v>245</v>
      </c>
      <c r="AB65">
        <v>1</v>
      </c>
      <c r="AC65">
        <v>6</v>
      </c>
      <c r="AD65" t="b">
        <v>1</v>
      </c>
      <c r="AE65">
        <v>2023</v>
      </c>
      <c r="AF65" s="3">
        <v>367</v>
      </c>
      <c r="AG65" s="3">
        <v>45110</v>
      </c>
      <c r="AH65" s="3">
        <v>46206</v>
      </c>
      <c r="AJ65" s="4"/>
      <c r="AK65" s="4"/>
      <c r="AL65" s="3">
        <v>367</v>
      </c>
      <c r="AM65" s="3">
        <v>367</v>
      </c>
      <c r="AN65">
        <v>-8.6857062000000003</v>
      </c>
      <c r="AO65">
        <v>116.12400239999999</v>
      </c>
      <c r="AP65" t="s">
        <v>437</v>
      </c>
      <c r="AT65">
        <v>99.2</v>
      </c>
      <c r="AW65">
        <v>0</v>
      </c>
      <c r="AX65">
        <v>0</v>
      </c>
      <c r="BA65">
        <v>0</v>
      </c>
      <c r="BB65">
        <v>0</v>
      </c>
      <c r="BE65">
        <v>0</v>
      </c>
      <c r="BF65">
        <v>0</v>
      </c>
      <c r="BJ65">
        <v>0</v>
      </c>
      <c r="BL65">
        <v>0</v>
      </c>
      <c r="BN65">
        <v>0</v>
      </c>
      <c r="BO65" s="6">
        <v>0</v>
      </c>
      <c r="BP65">
        <v>0</v>
      </c>
      <c r="BQ65">
        <v>0</v>
      </c>
      <c r="BR65">
        <v>0</v>
      </c>
    </row>
    <row r="66" spans="1:70" ht="15" customHeight="1" x14ac:dyDescent="0.35">
      <c r="A66" s="1" t="str">
        <f t="shared" si="0"/>
        <v>ZQV2</v>
      </c>
      <c r="B66" t="s">
        <v>438</v>
      </c>
      <c r="C66" t="s">
        <v>439</v>
      </c>
      <c r="D66" t="s">
        <v>440</v>
      </c>
      <c r="E66" t="s">
        <v>441</v>
      </c>
      <c r="F66" t="s">
        <v>283</v>
      </c>
      <c r="G66" t="s">
        <v>240</v>
      </c>
      <c r="H66" t="s">
        <v>241</v>
      </c>
      <c r="I66" t="s">
        <v>137</v>
      </c>
      <c r="J66" t="b">
        <v>0</v>
      </c>
      <c r="K66" t="s">
        <v>154</v>
      </c>
      <c r="L66" t="s">
        <v>155</v>
      </c>
      <c r="N66" t="s">
        <v>81</v>
      </c>
      <c r="O66" t="s">
        <v>82</v>
      </c>
      <c r="P66" t="s">
        <v>83</v>
      </c>
      <c r="Q66" t="s">
        <v>242</v>
      </c>
      <c r="R66">
        <v>24</v>
      </c>
      <c r="S66" t="s">
        <v>85</v>
      </c>
      <c r="T66" t="s">
        <v>121</v>
      </c>
      <c r="U66">
        <v>1111111</v>
      </c>
      <c r="V66" t="s">
        <v>122</v>
      </c>
      <c r="W66" t="s">
        <v>243</v>
      </c>
      <c r="X66" t="s">
        <v>244</v>
      </c>
      <c r="Y66" t="s">
        <v>89</v>
      </c>
      <c r="Z66" t="s">
        <v>90</v>
      </c>
      <c r="AA66" t="s">
        <v>245</v>
      </c>
      <c r="AB66">
        <v>1</v>
      </c>
      <c r="AC66">
        <v>6</v>
      </c>
      <c r="AD66" t="b">
        <v>1</v>
      </c>
      <c r="AE66">
        <v>2023</v>
      </c>
      <c r="AF66" s="3">
        <v>367</v>
      </c>
      <c r="AG66" s="3">
        <v>45110</v>
      </c>
      <c r="AH66" s="3">
        <v>46206</v>
      </c>
      <c r="AJ66" s="4"/>
      <c r="AK66" s="4"/>
      <c r="AL66" s="3">
        <v>367</v>
      </c>
      <c r="AM66" s="3">
        <v>367</v>
      </c>
      <c r="AN66">
        <v>-8.5435327000000001</v>
      </c>
      <c r="AO66">
        <v>116.1072856</v>
      </c>
      <c r="AP66" t="s">
        <v>442</v>
      </c>
      <c r="AT66">
        <v>99.2</v>
      </c>
      <c r="AW66">
        <v>0</v>
      </c>
      <c r="AX66">
        <v>0</v>
      </c>
      <c r="BA66">
        <v>0</v>
      </c>
      <c r="BB66">
        <v>0</v>
      </c>
      <c r="BE66">
        <v>0</v>
      </c>
      <c r="BF66">
        <v>0</v>
      </c>
      <c r="BJ66">
        <v>0</v>
      </c>
      <c r="BL66">
        <v>0</v>
      </c>
      <c r="BN66">
        <v>0</v>
      </c>
      <c r="BO66" s="6">
        <v>0</v>
      </c>
      <c r="BP66">
        <v>0</v>
      </c>
      <c r="BQ66">
        <v>0</v>
      </c>
      <c r="BR66">
        <v>0</v>
      </c>
    </row>
    <row r="67" spans="1:70" ht="15" customHeight="1" x14ac:dyDescent="0.35">
      <c r="A67" s="1" t="str">
        <f t="shared" ref="A67:A130" si="1">LEFT(B67,LEN(B67)-3)</f>
        <v>ZLY2</v>
      </c>
      <c r="B67" t="s">
        <v>443</v>
      </c>
      <c r="C67" t="s">
        <v>444</v>
      </c>
      <c r="D67" t="s">
        <v>445</v>
      </c>
      <c r="E67" t="s">
        <v>446</v>
      </c>
      <c r="F67" t="s">
        <v>239</v>
      </c>
      <c r="G67" t="s">
        <v>240</v>
      </c>
      <c r="H67" t="s">
        <v>241</v>
      </c>
      <c r="I67" t="s">
        <v>137</v>
      </c>
      <c r="J67" t="b">
        <v>0</v>
      </c>
      <c r="K67" t="s">
        <v>154</v>
      </c>
      <c r="L67" t="s">
        <v>155</v>
      </c>
      <c r="N67" t="s">
        <v>81</v>
      </c>
      <c r="O67" t="s">
        <v>82</v>
      </c>
      <c r="P67" t="s">
        <v>83</v>
      </c>
      <c r="Q67" t="s">
        <v>242</v>
      </c>
      <c r="R67">
        <v>24</v>
      </c>
      <c r="S67" t="s">
        <v>85</v>
      </c>
      <c r="T67" t="s">
        <v>121</v>
      </c>
      <c r="U67">
        <v>1111111</v>
      </c>
      <c r="V67" t="s">
        <v>122</v>
      </c>
      <c r="W67" t="s">
        <v>263</v>
      </c>
      <c r="X67" t="s">
        <v>264</v>
      </c>
      <c r="Y67" t="s">
        <v>89</v>
      </c>
      <c r="Z67" t="s">
        <v>90</v>
      </c>
      <c r="AA67" t="s">
        <v>245</v>
      </c>
      <c r="AB67">
        <v>1</v>
      </c>
      <c r="AC67">
        <v>6</v>
      </c>
      <c r="AD67" t="b">
        <v>1</v>
      </c>
      <c r="AE67">
        <v>2023</v>
      </c>
      <c r="AF67" s="3">
        <v>367</v>
      </c>
      <c r="AG67" s="3">
        <v>45136</v>
      </c>
      <c r="AH67" s="3">
        <v>46232</v>
      </c>
      <c r="AJ67" s="4"/>
      <c r="AK67" s="4"/>
      <c r="AL67" s="3">
        <v>367</v>
      </c>
      <c r="AM67" s="3">
        <v>367</v>
      </c>
      <c r="AN67">
        <v>-8.6005109999999991</v>
      </c>
      <c r="AO67">
        <v>116.085781</v>
      </c>
      <c r="AP67" t="s">
        <v>446</v>
      </c>
      <c r="AT67">
        <v>99.2</v>
      </c>
      <c r="AW67">
        <v>0</v>
      </c>
      <c r="AX67">
        <v>0</v>
      </c>
      <c r="BA67">
        <v>0</v>
      </c>
      <c r="BB67">
        <v>0</v>
      </c>
      <c r="BE67">
        <v>0</v>
      </c>
      <c r="BF67">
        <v>0</v>
      </c>
      <c r="BJ67">
        <v>0</v>
      </c>
      <c r="BL67">
        <v>0</v>
      </c>
      <c r="BN67">
        <v>0</v>
      </c>
      <c r="BO67" s="6">
        <v>0</v>
      </c>
      <c r="BP67">
        <v>0</v>
      </c>
      <c r="BQ67">
        <v>0</v>
      </c>
      <c r="BR67">
        <v>0</v>
      </c>
    </row>
    <row r="68" spans="1:70" ht="15" customHeight="1" x14ac:dyDescent="0.35">
      <c r="A68" s="1" t="str">
        <f t="shared" si="1"/>
        <v>Z7RJ</v>
      </c>
      <c r="B68" t="s">
        <v>447</v>
      </c>
      <c r="C68" t="s">
        <v>448</v>
      </c>
      <c r="D68" t="s">
        <v>449</v>
      </c>
      <c r="E68" t="s">
        <v>450</v>
      </c>
      <c r="F68" t="s">
        <v>239</v>
      </c>
      <c r="G68" t="s">
        <v>240</v>
      </c>
      <c r="H68" t="s">
        <v>241</v>
      </c>
      <c r="I68" t="s">
        <v>148</v>
      </c>
      <c r="J68" t="b">
        <v>0</v>
      </c>
      <c r="K68" t="s">
        <v>154</v>
      </c>
      <c r="L68" t="s">
        <v>214</v>
      </c>
      <c r="N68" t="s">
        <v>81</v>
      </c>
      <c r="O68" t="s">
        <v>82</v>
      </c>
      <c r="P68" t="s">
        <v>83</v>
      </c>
      <c r="Q68" t="s">
        <v>242</v>
      </c>
      <c r="R68">
        <v>24</v>
      </c>
      <c r="S68" t="s">
        <v>85</v>
      </c>
      <c r="T68" t="s">
        <v>179</v>
      </c>
      <c r="U68">
        <v>1111111</v>
      </c>
      <c r="V68" t="s">
        <v>122</v>
      </c>
      <c r="W68" t="s">
        <v>263</v>
      </c>
      <c r="X68" t="s">
        <v>264</v>
      </c>
      <c r="Y68" t="s">
        <v>89</v>
      </c>
      <c r="Z68" t="s">
        <v>90</v>
      </c>
      <c r="AA68" t="s">
        <v>245</v>
      </c>
      <c r="AB68">
        <v>1</v>
      </c>
      <c r="AC68">
        <v>6</v>
      </c>
      <c r="AD68" t="b">
        <v>1</v>
      </c>
      <c r="AE68">
        <v>2024</v>
      </c>
      <c r="AF68" s="3">
        <v>367</v>
      </c>
      <c r="AG68" s="3">
        <v>45439</v>
      </c>
      <c r="AH68" s="3">
        <v>46537</v>
      </c>
      <c r="AJ68" s="4"/>
      <c r="AK68" s="4"/>
      <c r="AL68" s="3">
        <v>367</v>
      </c>
      <c r="AM68" s="3">
        <v>367</v>
      </c>
      <c r="AN68">
        <v>-8.5873059999999999</v>
      </c>
      <c r="AO68">
        <v>116.1261666</v>
      </c>
      <c r="AP68" t="s">
        <v>450</v>
      </c>
      <c r="AT68">
        <v>99.2</v>
      </c>
      <c r="AW68">
        <v>0</v>
      </c>
      <c r="AX68">
        <v>0</v>
      </c>
      <c r="BA68">
        <v>0</v>
      </c>
      <c r="BB68">
        <v>0</v>
      </c>
      <c r="BE68">
        <v>0</v>
      </c>
      <c r="BF68">
        <v>0</v>
      </c>
      <c r="BJ68">
        <v>0</v>
      </c>
      <c r="BL68">
        <v>0</v>
      </c>
      <c r="BN68">
        <v>0</v>
      </c>
      <c r="BO68" s="6">
        <v>0</v>
      </c>
      <c r="BP68">
        <v>0</v>
      </c>
      <c r="BQ68">
        <v>0</v>
      </c>
      <c r="BR68">
        <v>0</v>
      </c>
    </row>
    <row r="69" spans="1:70" ht="15" customHeight="1" x14ac:dyDescent="0.35">
      <c r="A69" s="1" t="str">
        <f t="shared" si="1"/>
        <v>Z7RH</v>
      </c>
      <c r="B69" t="s">
        <v>451</v>
      </c>
      <c r="C69" t="s">
        <v>452</v>
      </c>
      <c r="D69" t="s">
        <v>453</v>
      </c>
      <c r="E69" t="s">
        <v>454</v>
      </c>
      <c r="F69" t="s">
        <v>239</v>
      </c>
      <c r="G69" t="s">
        <v>240</v>
      </c>
      <c r="H69" t="s">
        <v>241</v>
      </c>
      <c r="I69" t="s">
        <v>148</v>
      </c>
      <c r="J69" t="b">
        <v>0</v>
      </c>
      <c r="K69" t="s">
        <v>154</v>
      </c>
      <c r="L69" t="s">
        <v>214</v>
      </c>
      <c r="N69" t="s">
        <v>81</v>
      </c>
      <c r="O69" t="s">
        <v>82</v>
      </c>
      <c r="P69" t="s">
        <v>83</v>
      </c>
      <c r="Q69" t="s">
        <v>242</v>
      </c>
      <c r="R69">
        <v>24</v>
      </c>
      <c r="S69" t="s">
        <v>85</v>
      </c>
      <c r="T69" t="s">
        <v>179</v>
      </c>
      <c r="U69">
        <v>1111111</v>
      </c>
      <c r="V69" t="s">
        <v>122</v>
      </c>
      <c r="W69" t="s">
        <v>263</v>
      </c>
      <c r="X69" t="s">
        <v>264</v>
      </c>
      <c r="Y69" t="s">
        <v>89</v>
      </c>
      <c r="Z69" t="s">
        <v>90</v>
      </c>
      <c r="AA69" t="s">
        <v>245</v>
      </c>
      <c r="AB69">
        <v>1</v>
      </c>
      <c r="AC69">
        <v>6</v>
      </c>
      <c r="AD69" t="b">
        <v>1</v>
      </c>
      <c r="AE69">
        <v>2024</v>
      </c>
      <c r="AF69" s="3">
        <v>367</v>
      </c>
      <c r="AG69" s="3">
        <v>45439</v>
      </c>
      <c r="AH69" s="3">
        <v>46537</v>
      </c>
      <c r="AJ69" s="4"/>
      <c r="AK69" s="4"/>
      <c r="AL69" s="3">
        <v>367</v>
      </c>
      <c r="AM69" s="3">
        <v>367</v>
      </c>
      <c r="AN69">
        <v>-8.5870332999999999</v>
      </c>
      <c r="AO69">
        <v>116.126205</v>
      </c>
      <c r="AP69" t="s">
        <v>454</v>
      </c>
      <c r="AT69">
        <v>99.2</v>
      </c>
      <c r="AW69">
        <v>0</v>
      </c>
      <c r="AX69">
        <v>0</v>
      </c>
      <c r="BA69">
        <v>0</v>
      </c>
      <c r="BB69">
        <v>0</v>
      </c>
      <c r="BE69">
        <v>0</v>
      </c>
      <c r="BF69">
        <v>0</v>
      </c>
      <c r="BJ69">
        <v>0</v>
      </c>
      <c r="BL69">
        <v>0</v>
      </c>
      <c r="BN69">
        <v>0</v>
      </c>
      <c r="BO69" s="6">
        <v>0</v>
      </c>
      <c r="BP69">
        <v>0</v>
      </c>
      <c r="BQ69">
        <v>0</v>
      </c>
      <c r="BR69">
        <v>0</v>
      </c>
    </row>
    <row r="70" spans="1:70" ht="15" customHeight="1" x14ac:dyDescent="0.35">
      <c r="A70" s="1" t="str">
        <f t="shared" si="1"/>
        <v>Z2FC</v>
      </c>
      <c r="B70" t="s">
        <v>455</v>
      </c>
      <c r="C70" t="s">
        <v>456</v>
      </c>
      <c r="D70" t="s">
        <v>457</v>
      </c>
      <c r="E70" t="s">
        <v>458</v>
      </c>
      <c r="F70" t="s">
        <v>239</v>
      </c>
      <c r="G70" t="s">
        <v>240</v>
      </c>
      <c r="H70" t="s">
        <v>241</v>
      </c>
      <c r="I70" t="s">
        <v>148</v>
      </c>
      <c r="J70" t="b">
        <v>0</v>
      </c>
      <c r="K70" t="s">
        <v>154</v>
      </c>
      <c r="L70" t="s">
        <v>214</v>
      </c>
      <c r="N70" t="s">
        <v>81</v>
      </c>
      <c r="O70" t="s">
        <v>82</v>
      </c>
      <c r="P70" t="s">
        <v>83</v>
      </c>
      <c r="Q70" t="s">
        <v>242</v>
      </c>
      <c r="R70">
        <v>24</v>
      </c>
      <c r="S70" t="s">
        <v>85</v>
      </c>
      <c r="T70" t="s">
        <v>179</v>
      </c>
      <c r="U70">
        <v>1111111</v>
      </c>
      <c r="V70" t="s">
        <v>122</v>
      </c>
      <c r="W70" t="s">
        <v>252</v>
      </c>
      <c r="X70" t="s">
        <v>253</v>
      </c>
      <c r="Y70" t="s">
        <v>89</v>
      </c>
      <c r="Z70" t="s">
        <v>90</v>
      </c>
      <c r="AA70" t="s">
        <v>245</v>
      </c>
      <c r="AB70">
        <v>1</v>
      </c>
      <c r="AC70">
        <v>6</v>
      </c>
      <c r="AD70" t="b">
        <v>1</v>
      </c>
      <c r="AE70">
        <v>2024</v>
      </c>
      <c r="AF70" s="3">
        <v>367</v>
      </c>
      <c r="AG70" s="3">
        <v>45439</v>
      </c>
      <c r="AH70" s="3">
        <v>46537</v>
      </c>
      <c r="AJ70" s="4"/>
      <c r="AK70" s="4"/>
      <c r="AL70" s="3">
        <v>367</v>
      </c>
      <c r="AM70" s="3">
        <v>367</v>
      </c>
      <c r="AN70">
        <v>-8.7083253000000003</v>
      </c>
      <c r="AO70">
        <v>116.2738279</v>
      </c>
      <c r="AP70" t="s">
        <v>459</v>
      </c>
      <c r="AT70">
        <v>99.2</v>
      </c>
      <c r="AW70">
        <v>0</v>
      </c>
      <c r="AX70">
        <v>0</v>
      </c>
      <c r="BA70">
        <v>0</v>
      </c>
      <c r="BB70">
        <v>0</v>
      </c>
      <c r="BE70">
        <v>0</v>
      </c>
      <c r="BF70">
        <v>0</v>
      </c>
      <c r="BJ70">
        <v>0</v>
      </c>
      <c r="BL70">
        <v>0</v>
      </c>
      <c r="BN70">
        <v>0</v>
      </c>
      <c r="BO70" s="6">
        <v>0</v>
      </c>
      <c r="BP70">
        <v>0</v>
      </c>
      <c r="BQ70">
        <v>0</v>
      </c>
      <c r="BR70">
        <v>0</v>
      </c>
    </row>
    <row r="71" spans="1:70" ht="15" customHeight="1" x14ac:dyDescent="0.35">
      <c r="A71" s="1" t="str">
        <f t="shared" si="1"/>
        <v>Z07V</v>
      </c>
      <c r="B71" t="s">
        <v>460</v>
      </c>
      <c r="C71" t="s">
        <v>461</v>
      </c>
      <c r="D71" t="s">
        <v>462</v>
      </c>
      <c r="E71" t="s">
        <v>450</v>
      </c>
      <c r="F71" t="s">
        <v>239</v>
      </c>
      <c r="G71" t="s">
        <v>240</v>
      </c>
      <c r="H71" t="s">
        <v>241</v>
      </c>
      <c r="I71" t="s">
        <v>148</v>
      </c>
      <c r="J71" t="b">
        <v>0</v>
      </c>
      <c r="K71" t="s">
        <v>154</v>
      </c>
      <c r="L71" t="s">
        <v>214</v>
      </c>
      <c r="N71" t="s">
        <v>81</v>
      </c>
      <c r="O71" t="s">
        <v>82</v>
      </c>
      <c r="P71" t="s">
        <v>83</v>
      </c>
      <c r="Q71" t="s">
        <v>242</v>
      </c>
      <c r="R71">
        <v>24</v>
      </c>
      <c r="S71" t="s">
        <v>85</v>
      </c>
      <c r="T71" t="s">
        <v>179</v>
      </c>
      <c r="U71">
        <v>1111111</v>
      </c>
      <c r="V71" t="s">
        <v>122</v>
      </c>
      <c r="W71" t="s">
        <v>263</v>
      </c>
      <c r="X71" t="s">
        <v>264</v>
      </c>
      <c r="Y71" t="s">
        <v>89</v>
      </c>
      <c r="Z71" t="s">
        <v>90</v>
      </c>
      <c r="AA71" t="s">
        <v>245</v>
      </c>
      <c r="AB71">
        <v>1</v>
      </c>
      <c r="AC71">
        <v>6</v>
      </c>
      <c r="AD71" t="b">
        <v>1</v>
      </c>
      <c r="AE71">
        <v>2024</v>
      </c>
      <c r="AF71" s="3">
        <v>367</v>
      </c>
      <c r="AG71" s="3">
        <v>45439</v>
      </c>
      <c r="AH71" s="3">
        <v>46537</v>
      </c>
      <c r="AJ71" s="4"/>
      <c r="AK71" s="4"/>
      <c r="AL71" s="3">
        <v>367</v>
      </c>
      <c r="AM71" s="3">
        <v>367</v>
      </c>
      <c r="AN71">
        <v>-8.5872840999999998</v>
      </c>
      <c r="AO71">
        <v>116.1261698</v>
      </c>
      <c r="AP71" t="s">
        <v>450</v>
      </c>
      <c r="AT71">
        <v>99.2</v>
      </c>
      <c r="AW71">
        <v>0</v>
      </c>
      <c r="AX71">
        <v>0</v>
      </c>
      <c r="BA71">
        <v>0</v>
      </c>
      <c r="BB71">
        <v>0</v>
      </c>
      <c r="BE71">
        <v>0</v>
      </c>
      <c r="BF71">
        <v>0</v>
      </c>
      <c r="BJ71">
        <v>0</v>
      </c>
      <c r="BL71">
        <v>0</v>
      </c>
      <c r="BN71">
        <v>0</v>
      </c>
      <c r="BO71" s="6">
        <v>0</v>
      </c>
      <c r="BP71">
        <v>0</v>
      </c>
      <c r="BQ71">
        <v>0</v>
      </c>
      <c r="BR71">
        <v>0</v>
      </c>
    </row>
    <row r="72" spans="1:70" ht="15" customHeight="1" x14ac:dyDescent="0.35">
      <c r="A72" s="1" t="str">
        <f t="shared" si="1"/>
        <v>Z07U</v>
      </c>
      <c r="B72" t="s">
        <v>463</v>
      </c>
      <c r="C72" t="s">
        <v>464</v>
      </c>
      <c r="D72" t="s">
        <v>465</v>
      </c>
      <c r="E72" t="s">
        <v>466</v>
      </c>
      <c r="F72" t="s">
        <v>239</v>
      </c>
      <c r="G72" t="s">
        <v>240</v>
      </c>
      <c r="H72" t="s">
        <v>241</v>
      </c>
      <c r="I72" t="s">
        <v>148</v>
      </c>
      <c r="J72" t="b">
        <v>0</v>
      </c>
      <c r="K72" t="s">
        <v>154</v>
      </c>
      <c r="L72" t="s">
        <v>214</v>
      </c>
      <c r="N72" t="s">
        <v>81</v>
      </c>
      <c r="O72" t="s">
        <v>82</v>
      </c>
      <c r="P72" t="s">
        <v>83</v>
      </c>
      <c r="Q72" t="s">
        <v>242</v>
      </c>
      <c r="R72">
        <v>24</v>
      </c>
      <c r="S72" t="s">
        <v>85</v>
      </c>
      <c r="T72" t="s">
        <v>179</v>
      </c>
      <c r="U72">
        <v>1111111</v>
      </c>
      <c r="V72" t="s">
        <v>122</v>
      </c>
      <c r="W72" t="s">
        <v>263</v>
      </c>
      <c r="X72" t="s">
        <v>264</v>
      </c>
      <c r="Y72" t="s">
        <v>89</v>
      </c>
      <c r="Z72" t="s">
        <v>90</v>
      </c>
      <c r="AA72" t="s">
        <v>245</v>
      </c>
      <c r="AB72">
        <v>1</v>
      </c>
      <c r="AC72">
        <v>6</v>
      </c>
      <c r="AD72" t="b">
        <v>1</v>
      </c>
      <c r="AE72">
        <v>2024</v>
      </c>
      <c r="AF72" s="3">
        <v>367</v>
      </c>
      <c r="AG72" s="3">
        <v>45439</v>
      </c>
      <c r="AH72" s="3">
        <v>46537</v>
      </c>
      <c r="AJ72" s="4"/>
      <c r="AK72" s="4"/>
      <c r="AL72" s="3">
        <v>367</v>
      </c>
      <c r="AM72" s="3">
        <v>367</v>
      </c>
      <c r="AN72">
        <v>-8.5870224000000004</v>
      </c>
      <c r="AO72">
        <v>116.1259699</v>
      </c>
      <c r="AP72" t="s">
        <v>466</v>
      </c>
      <c r="AT72">
        <v>99.2</v>
      </c>
      <c r="AW72">
        <v>0</v>
      </c>
      <c r="AX72">
        <v>0</v>
      </c>
      <c r="BA72">
        <v>0</v>
      </c>
      <c r="BB72">
        <v>0</v>
      </c>
      <c r="BE72">
        <v>0</v>
      </c>
      <c r="BF72">
        <v>0</v>
      </c>
      <c r="BJ72">
        <v>0</v>
      </c>
      <c r="BL72">
        <v>0</v>
      </c>
      <c r="BN72">
        <v>0</v>
      </c>
      <c r="BO72" s="6">
        <v>0</v>
      </c>
      <c r="BP72">
        <v>0</v>
      </c>
      <c r="BQ72">
        <v>0</v>
      </c>
      <c r="BR72">
        <v>0</v>
      </c>
    </row>
    <row r="73" spans="1:70" ht="15" customHeight="1" x14ac:dyDescent="0.35">
      <c r="A73" s="1" t="str">
        <f t="shared" si="1"/>
        <v>Z07T</v>
      </c>
      <c r="B73" t="s">
        <v>467</v>
      </c>
      <c r="C73" t="s">
        <v>468</v>
      </c>
      <c r="D73" t="s">
        <v>469</v>
      </c>
      <c r="E73" t="s">
        <v>470</v>
      </c>
      <c r="F73" t="s">
        <v>239</v>
      </c>
      <c r="G73" t="s">
        <v>240</v>
      </c>
      <c r="H73" t="s">
        <v>241</v>
      </c>
      <c r="I73" t="s">
        <v>148</v>
      </c>
      <c r="J73" t="b">
        <v>0</v>
      </c>
      <c r="K73" t="s">
        <v>154</v>
      </c>
      <c r="L73" t="s">
        <v>214</v>
      </c>
      <c r="N73" t="s">
        <v>81</v>
      </c>
      <c r="O73" t="s">
        <v>82</v>
      </c>
      <c r="P73" t="s">
        <v>83</v>
      </c>
      <c r="Q73" t="s">
        <v>242</v>
      </c>
      <c r="R73">
        <v>24</v>
      </c>
      <c r="S73" t="s">
        <v>85</v>
      </c>
      <c r="T73" t="s">
        <v>179</v>
      </c>
      <c r="U73">
        <v>1111111</v>
      </c>
      <c r="V73" t="s">
        <v>122</v>
      </c>
      <c r="W73" t="s">
        <v>263</v>
      </c>
      <c r="X73" t="s">
        <v>264</v>
      </c>
      <c r="Y73" t="s">
        <v>89</v>
      </c>
      <c r="Z73" t="s">
        <v>90</v>
      </c>
      <c r="AA73" t="s">
        <v>245</v>
      </c>
      <c r="AB73">
        <v>1</v>
      </c>
      <c r="AC73">
        <v>6</v>
      </c>
      <c r="AD73" t="b">
        <v>1</v>
      </c>
      <c r="AE73">
        <v>2024</v>
      </c>
      <c r="AF73" s="3">
        <v>367</v>
      </c>
      <c r="AG73" s="3">
        <v>45439</v>
      </c>
      <c r="AH73" s="3">
        <v>46537</v>
      </c>
      <c r="AJ73" s="4"/>
      <c r="AK73" s="4"/>
      <c r="AL73" s="3">
        <v>367</v>
      </c>
      <c r="AM73" s="3">
        <v>367</v>
      </c>
      <c r="AN73">
        <v>-8.5871464</v>
      </c>
      <c r="AO73">
        <v>116.1261511</v>
      </c>
      <c r="AP73" t="s">
        <v>470</v>
      </c>
      <c r="AT73">
        <v>99.2</v>
      </c>
      <c r="AW73">
        <v>0</v>
      </c>
      <c r="AX73">
        <v>0</v>
      </c>
      <c r="BA73">
        <v>0</v>
      </c>
      <c r="BB73">
        <v>0</v>
      </c>
      <c r="BE73">
        <v>0</v>
      </c>
      <c r="BF73">
        <v>0</v>
      </c>
      <c r="BJ73">
        <v>0</v>
      </c>
      <c r="BL73">
        <v>0</v>
      </c>
      <c r="BN73">
        <v>0</v>
      </c>
      <c r="BO73" s="6">
        <v>0</v>
      </c>
      <c r="BP73">
        <v>0</v>
      </c>
      <c r="BQ73">
        <v>0</v>
      </c>
      <c r="BR73">
        <v>0</v>
      </c>
    </row>
    <row r="74" spans="1:70" ht="15" customHeight="1" x14ac:dyDescent="0.35">
      <c r="A74" s="1" t="str">
        <f t="shared" si="1"/>
        <v>Z07R</v>
      </c>
      <c r="B74" t="s">
        <v>471</v>
      </c>
      <c r="C74" t="s">
        <v>472</v>
      </c>
      <c r="D74" t="s">
        <v>473</v>
      </c>
      <c r="E74" t="s">
        <v>474</v>
      </c>
      <c r="F74" t="s">
        <v>239</v>
      </c>
      <c r="G74" t="s">
        <v>240</v>
      </c>
      <c r="H74" t="s">
        <v>241</v>
      </c>
      <c r="I74" t="s">
        <v>148</v>
      </c>
      <c r="J74" t="b">
        <v>0</v>
      </c>
      <c r="K74" t="s">
        <v>154</v>
      </c>
      <c r="L74" t="s">
        <v>214</v>
      </c>
      <c r="N74" t="s">
        <v>81</v>
      </c>
      <c r="O74" t="s">
        <v>82</v>
      </c>
      <c r="P74" t="s">
        <v>83</v>
      </c>
      <c r="Q74" t="s">
        <v>242</v>
      </c>
      <c r="R74">
        <v>24</v>
      </c>
      <c r="S74" t="s">
        <v>85</v>
      </c>
      <c r="T74" t="s">
        <v>179</v>
      </c>
      <c r="U74">
        <v>1111111</v>
      </c>
      <c r="V74" t="s">
        <v>122</v>
      </c>
      <c r="W74" t="s">
        <v>263</v>
      </c>
      <c r="X74" t="s">
        <v>264</v>
      </c>
      <c r="Y74" t="s">
        <v>89</v>
      </c>
      <c r="Z74" t="s">
        <v>90</v>
      </c>
      <c r="AA74" t="s">
        <v>245</v>
      </c>
      <c r="AB74">
        <v>1</v>
      </c>
      <c r="AC74">
        <v>6</v>
      </c>
      <c r="AD74" t="b">
        <v>1</v>
      </c>
      <c r="AE74">
        <v>2024</v>
      </c>
      <c r="AF74" s="3">
        <v>367</v>
      </c>
      <c r="AG74" s="3">
        <v>45439</v>
      </c>
      <c r="AH74" s="3">
        <v>46537</v>
      </c>
      <c r="AJ74" s="4">
        <f>VLOOKUP(A74,'[1]1'!B:Q,16,0)</f>
        <v>1440</v>
      </c>
      <c r="AK74" s="7">
        <f>AJ74/250</f>
        <v>5.76</v>
      </c>
      <c r="AL74" s="3">
        <v>367</v>
      </c>
      <c r="AM74" s="3">
        <v>367</v>
      </c>
      <c r="AN74">
        <v>-8.5871855999999998</v>
      </c>
      <c r="AO74">
        <v>116.1262661</v>
      </c>
      <c r="AP74" t="s">
        <v>474</v>
      </c>
      <c r="AT74">
        <v>99.2</v>
      </c>
      <c r="AW74">
        <v>0</v>
      </c>
      <c r="AX74">
        <v>0</v>
      </c>
      <c r="BA74">
        <v>0</v>
      </c>
      <c r="BB74">
        <v>0</v>
      </c>
      <c r="BE74">
        <v>0</v>
      </c>
      <c r="BF74">
        <v>0</v>
      </c>
      <c r="BJ74">
        <v>0</v>
      </c>
      <c r="BL74">
        <v>0</v>
      </c>
      <c r="BN74">
        <v>0</v>
      </c>
      <c r="BO74" s="6">
        <v>0</v>
      </c>
      <c r="BP74">
        <v>0</v>
      </c>
      <c r="BQ74">
        <v>0</v>
      </c>
      <c r="BR74">
        <v>0</v>
      </c>
    </row>
    <row r="75" spans="1:70" ht="15" customHeight="1" x14ac:dyDescent="0.35">
      <c r="A75" s="1" t="str">
        <f t="shared" si="1"/>
        <v>Z4WB</v>
      </c>
      <c r="B75" t="s">
        <v>475</v>
      </c>
      <c r="C75" t="s">
        <v>476</v>
      </c>
      <c r="D75" t="s">
        <v>477</v>
      </c>
      <c r="E75" t="s">
        <v>478</v>
      </c>
      <c r="F75" t="s">
        <v>239</v>
      </c>
      <c r="G75" t="s">
        <v>240</v>
      </c>
      <c r="H75" t="s">
        <v>241</v>
      </c>
      <c r="I75" t="s">
        <v>148</v>
      </c>
      <c r="J75" t="b">
        <v>0</v>
      </c>
      <c r="K75" t="s">
        <v>154</v>
      </c>
      <c r="L75" t="s">
        <v>214</v>
      </c>
      <c r="N75" t="s">
        <v>81</v>
      </c>
      <c r="O75" t="s">
        <v>82</v>
      </c>
      <c r="P75" t="s">
        <v>83</v>
      </c>
      <c r="Q75" t="s">
        <v>242</v>
      </c>
      <c r="R75">
        <v>24</v>
      </c>
      <c r="S75" t="s">
        <v>85</v>
      </c>
      <c r="T75" t="s">
        <v>179</v>
      </c>
      <c r="U75">
        <v>1111111</v>
      </c>
      <c r="V75" t="s">
        <v>122</v>
      </c>
      <c r="W75" t="s">
        <v>243</v>
      </c>
      <c r="X75" t="s">
        <v>244</v>
      </c>
      <c r="Y75" t="s">
        <v>89</v>
      </c>
      <c r="Z75" t="s">
        <v>90</v>
      </c>
      <c r="AA75" t="s">
        <v>245</v>
      </c>
      <c r="AB75">
        <v>1</v>
      </c>
      <c r="AC75">
        <v>6</v>
      </c>
      <c r="AD75" t="b">
        <v>1</v>
      </c>
      <c r="AE75">
        <v>2024</v>
      </c>
      <c r="AF75" s="3">
        <v>367</v>
      </c>
      <c r="AG75" s="3">
        <v>45442</v>
      </c>
      <c r="AH75" s="3">
        <v>46537</v>
      </c>
      <c r="AJ75" s="4">
        <f>VLOOKUP(A75,'[1]1'!B:Q,16,0)</f>
        <v>1440</v>
      </c>
      <c r="AK75" s="7">
        <f t="shared" ref="AK75:AK82" si="2">AJ75/250</f>
        <v>5.76</v>
      </c>
      <c r="AL75" s="3">
        <v>367</v>
      </c>
      <c r="AM75" s="3">
        <v>367</v>
      </c>
      <c r="AN75">
        <v>-8.5672764000000008</v>
      </c>
      <c r="AO75">
        <v>116.0761882</v>
      </c>
      <c r="AP75" t="s">
        <v>479</v>
      </c>
      <c r="AT75">
        <v>99.2</v>
      </c>
      <c r="AW75">
        <v>0</v>
      </c>
      <c r="AX75">
        <v>0</v>
      </c>
      <c r="BA75">
        <v>0</v>
      </c>
      <c r="BB75">
        <v>0</v>
      </c>
      <c r="BE75">
        <v>0</v>
      </c>
      <c r="BF75">
        <v>0</v>
      </c>
      <c r="BJ75">
        <v>0</v>
      </c>
      <c r="BL75">
        <v>0</v>
      </c>
      <c r="BN75">
        <v>0</v>
      </c>
      <c r="BO75" s="6">
        <v>0</v>
      </c>
      <c r="BP75">
        <v>0</v>
      </c>
      <c r="BQ75">
        <v>0</v>
      </c>
      <c r="BR75">
        <v>0</v>
      </c>
    </row>
    <row r="76" spans="1:70" ht="15" customHeight="1" x14ac:dyDescent="0.35">
      <c r="A76" s="1" t="str">
        <f t="shared" si="1"/>
        <v>Z07Q</v>
      </c>
      <c r="B76" t="s">
        <v>480</v>
      </c>
      <c r="C76" t="s">
        <v>481</v>
      </c>
      <c r="D76" t="s">
        <v>482</v>
      </c>
      <c r="E76" t="s">
        <v>478</v>
      </c>
      <c r="F76" t="s">
        <v>239</v>
      </c>
      <c r="G76" t="s">
        <v>240</v>
      </c>
      <c r="H76" t="s">
        <v>241</v>
      </c>
      <c r="I76" t="s">
        <v>148</v>
      </c>
      <c r="J76" t="b">
        <v>0</v>
      </c>
      <c r="K76" t="s">
        <v>154</v>
      </c>
      <c r="L76" t="s">
        <v>214</v>
      </c>
      <c r="N76" t="s">
        <v>81</v>
      </c>
      <c r="O76" t="s">
        <v>82</v>
      </c>
      <c r="P76" t="s">
        <v>83</v>
      </c>
      <c r="Q76" t="s">
        <v>242</v>
      </c>
      <c r="R76">
        <v>24</v>
      </c>
      <c r="S76" t="s">
        <v>85</v>
      </c>
      <c r="T76" t="s">
        <v>179</v>
      </c>
      <c r="U76">
        <v>1111111</v>
      </c>
      <c r="V76" t="s">
        <v>122</v>
      </c>
      <c r="W76" t="s">
        <v>243</v>
      </c>
      <c r="X76" t="s">
        <v>244</v>
      </c>
      <c r="Y76" t="s">
        <v>89</v>
      </c>
      <c r="Z76" t="s">
        <v>90</v>
      </c>
      <c r="AA76" t="s">
        <v>245</v>
      </c>
      <c r="AB76">
        <v>1</v>
      </c>
      <c r="AC76">
        <v>6</v>
      </c>
      <c r="AD76" t="b">
        <v>1</v>
      </c>
      <c r="AE76">
        <v>2024</v>
      </c>
      <c r="AF76" s="3">
        <v>367</v>
      </c>
      <c r="AG76" s="3">
        <v>45442</v>
      </c>
      <c r="AH76" s="3">
        <v>46537</v>
      </c>
      <c r="AJ76" s="4">
        <f>VLOOKUP(A76,'[1]1'!B:Q,16,0)</f>
        <v>1440</v>
      </c>
      <c r="AK76" s="7">
        <f t="shared" si="2"/>
        <v>5.76</v>
      </c>
      <c r="AL76" s="3">
        <v>367</v>
      </c>
      <c r="AM76" s="3">
        <v>367</v>
      </c>
      <c r="AN76">
        <v>-8.5673964999999992</v>
      </c>
      <c r="AO76">
        <v>116.07624490000001</v>
      </c>
      <c r="AP76" t="s">
        <v>483</v>
      </c>
      <c r="AT76">
        <v>99.2</v>
      </c>
      <c r="AW76">
        <v>0</v>
      </c>
      <c r="AX76">
        <v>0</v>
      </c>
      <c r="BA76">
        <v>0</v>
      </c>
      <c r="BB76">
        <v>0</v>
      </c>
      <c r="BE76">
        <v>0</v>
      </c>
      <c r="BF76">
        <v>0</v>
      </c>
      <c r="BJ76">
        <v>0</v>
      </c>
      <c r="BL76">
        <v>0</v>
      </c>
      <c r="BN76">
        <v>0</v>
      </c>
      <c r="BO76" s="6">
        <v>0</v>
      </c>
      <c r="BP76">
        <v>0</v>
      </c>
      <c r="BQ76">
        <v>0</v>
      </c>
      <c r="BR76">
        <v>0</v>
      </c>
    </row>
    <row r="77" spans="1:70" ht="15" customHeight="1" x14ac:dyDescent="0.35">
      <c r="A77" s="1" t="str">
        <f t="shared" si="1"/>
        <v>Z07P</v>
      </c>
      <c r="B77" t="s">
        <v>484</v>
      </c>
      <c r="C77" t="s">
        <v>485</v>
      </c>
      <c r="D77" t="s">
        <v>486</v>
      </c>
      <c r="E77" t="s">
        <v>478</v>
      </c>
      <c r="F77" t="s">
        <v>239</v>
      </c>
      <c r="G77" t="s">
        <v>240</v>
      </c>
      <c r="H77" t="s">
        <v>241</v>
      </c>
      <c r="I77" t="s">
        <v>148</v>
      </c>
      <c r="J77" t="b">
        <v>0</v>
      </c>
      <c r="K77" t="s">
        <v>154</v>
      </c>
      <c r="L77" t="s">
        <v>214</v>
      </c>
      <c r="N77" t="s">
        <v>81</v>
      </c>
      <c r="O77" t="s">
        <v>82</v>
      </c>
      <c r="P77" t="s">
        <v>83</v>
      </c>
      <c r="Q77" t="s">
        <v>242</v>
      </c>
      <c r="R77">
        <v>24</v>
      </c>
      <c r="S77" t="s">
        <v>85</v>
      </c>
      <c r="T77" t="s">
        <v>179</v>
      </c>
      <c r="U77">
        <v>1111111</v>
      </c>
      <c r="V77" t="s">
        <v>122</v>
      </c>
      <c r="W77" t="s">
        <v>243</v>
      </c>
      <c r="X77" t="s">
        <v>244</v>
      </c>
      <c r="Y77" t="s">
        <v>89</v>
      </c>
      <c r="Z77" t="s">
        <v>90</v>
      </c>
      <c r="AA77" t="s">
        <v>245</v>
      </c>
      <c r="AB77">
        <v>1</v>
      </c>
      <c r="AC77">
        <v>6</v>
      </c>
      <c r="AD77" t="b">
        <v>1</v>
      </c>
      <c r="AE77">
        <v>2024</v>
      </c>
      <c r="AF77" s="3">
        <v>367</v>
      </c>
      <c r="AG77" s="3">
        <v>45442</v>
      </c>
      <c r="AH77" s="3">
        <v>46537</v>
      </c>
      <c r="AJ77" s="4">
        <f>VLOOKUP(A77,'[1]1'!B:Q,16,0)</f>
        <v>1440</v>
      </c>
      <c r="AK77" s="7">
        <f t="shared" si="2"/>
        <v>5.76</v>
      </c>
      <c r="AL77" s="3">
        <v>367</v>
      </c>
      <c r="AM77" s="3">
        <v>367</v>
      </c>
      <c r="AN77">
        <v>-8.5673732000000005</v>
      </c>
      <c r="AO77">
        <v>116.076241</v>
      </c>
      <c r="AP77" t="s">
        <v>483</v>
      </c>
      <c r="AT77">
        <v>99.2</v>
      </c>
      <c r="AW77">
        <v>0</v>
      </c>
      <c r="AX77">
        <v>0</v>
      </c>
      <c r="BA77">
        <v>0</v>
      </c>
      <c r="BB77">
        <v>0</v>
      </c>
      <c r="BE77">
        <v>0</v>
      </c>
      <c r="BF77">
        <v>0</v>
      </c>
      <c r="BJ77">
        <v>0</v>
      </c>
      <c r="BL77">
        <v>0</v>
      </c>
      <c r="BN77">
        <v>0</v>
      </c>
      <c r="BO77" s="6">
        <v>0</v>
      </c>
      <c r="BP77">
        <v>0</v>
      </c>
      <c r="BQ77">
        <v>0</v>
      </c>
      <c r="BR77">
        <v>0</v>
      </c>
    </row>
    <row r="78" spans="1:70" ht="15" customHeight="1" x14ac:dyDescent="0.35">
      <c r="A78" s="1" t="str">
        <f t="shared" si="1"/>
        <v>Z1ZA</v>
      </c>
      <c r="B78" t="s">
        <v>487</v>
      </c>
      <c r="C78" t="s">
        <v>488</v>
      </c>
      <c r="D78" t="s">
        <v>489</v>
      </c>
      <c r="E78" t="s">
        <v>490</v>
      </c>
      <c r="F78" t="s">
        <v>239</v>
      </c>
      <c r="G78" t="s">
        <v>240</v>
      </c>
      <c r="H78" t="s">
        <v>241</v>
      </c>
      <c r="I78" t="s">
        <v>148</v>
      </c>
      <c r="J78" t="b">
        <v>0</v>
      </c>
      <c r="K78" t="s">
        <v>154</v>
      </c>
      <c r="L78" t="s">
        <v>214</v>
      </c>
      <c r="N78" t="s">
        <v>81</v>
      </c>
      <c r="O78" t="s">
        <v>82</v>
      </c>
      <c r="P78" t="s">
        <v>83</v>
      </c>
      <c r="Q78" t="s">
        <v>242</v>
      </c>
      <c r="R78">
        <v>24</v>
      </c>
      <c r="S78" t="s">
        <v>85</v>
      </c>
      <c r="T78" t="s">
        <v>179</v>
      </c>
      <c r="U78">
        <v>1111111</v>
      </c>
      <c r="V78" t="s">
        <v>122</v>
      </c>
      <c r="W78" t="s">
        <v>252</v>
      </c>
      <c r="X78" t="s">
        <v>253</v>
      </c>
      <c r="Y78" t="s">
        <v>89</v>
      </c>
      <c r="Z78" t="s">
        <v>90</v>
      </c>
      <c r="AA78" t="s">
        <v>245</v>
      </c>
      <c r="AB78">
        <v>1</v>
      </c>
      <c r="AC78">
        <v>6</v>
      </c>
      <c r="AD78" t="b">
        <v>1</v>
      </c>
      <c r="AE78">
        <v>2024</v>
      </c>
      <c r="AF78" s="3">
        <v>367</v>
      </c>
      <c r="AG78" s="3">
        <v>45442</v>
      </c>
      <c r="AH78" s="3">
        <v>46537</v>
      </c>
      <c r="AJ78" s="4">
        <f>VLOOKUP(A78,'[1]1'!B:Q,16,0)</f>
        <v>1440</v>
      </c>
      <c r="AK78" s="7">
        <f t="shared" si="2"/>
        <v>5.76</v>
      </c>
      <c r="AL78" s="3">
        <v>367</v>
      </c>
      <c r="AM78" s="3">
        <v>367</v>
      </c>
      <c r="AN78">
        <v>-8.5974184000000005</v>
      </c>
      <c r="AO78">
        <v>116.12416639999999</v>
      </c>
      <c r="AP78" t="s">
        <v>491</v>
      </c>
      <c r="AT78">
        <v>99.2</v>
      </c>
      <c r="AW78">
        <v>0</v>
      </c>
      <c r="AX78">
        <v>0</v>
      </c>
      <c r="BA78">
        <v>0</v>
      </c>
      <c r="BB78">
        <v>0</v>
      </c>
      <c r="BE78">
        <v>0</v>
      </c>
      <c r="BF78">
        <v>0</v>
      </c>
      <c r="BJ78">
        <v>0</v>
      </c>
      <c r="BL78">
        <v>0</v>
      </c>
      <c r="BN78">
        <v>0</v>
      </c>
      <c r="BO78" s="6">
        <v>0</v>
      </c>
      <c r="BP78">
        <v>0</v>
      </c>
      <c r="BQ78">
        <v>0</v>
      </c>
      <c r="BR78">
        <v>0</v>
      </c>
    </row>
    <row r="79" spans="1:70" ht="15" customHeight="1" x14ac:dyDescent="0.35">
      <c r="A79" s="1" t="str">
        <f t="shared" si="1"/>
        <v>00DP</v>
      </c>
      <c r="B79" t="s">
        <v>492</v>
      </c>
      <c r="C79" t="s">
        <v>493</v>
      </c>
      <c r="D79" t="s">
        <v>494</v>
      </c>
      <c r="E79" t="s">
        <v>495</v>
      </c>
      <c r="F79" t="s">
        <v>239</v>
      </c>
      <c r="G79" t="s">
        <v>240</v>
      </c>
      <c r="H79" t="s">
        <v>241</v>
      </c>
      <c r="I79" t="s">
        <v>77</v>
      </c>
      <c r="J79" t="b">
        <v>0</v>
      </c>
      <c r="K79" t="s">
        <v>78</v>
      </c>
      <c r="L79" t="s">
        <v>79</v>
      </c>
      <c r="N79" t="s">
        <v>81</v>
      </c>
      <c r="O79" t="s">
        <v>82</v>
      </c>
      <c r="P79" t="s">
        <v>83</v>
      </c>
      <c r="Q79" t="s">
        <v>242</v>
      </c>
      <c r="R79">
        <v>24</v>
      </c>
      <c r="S79" t="s">
        <v>85</v>
      </c>
      <c r="T79" t="s">
        <v>179</v>
      </c>
      <c r="U79">
        <v>1111111</v>
      </c>
      <c r="V79" t="s">
        <v>122</v>
      </c>
      <c r="W79" t="s">
        <v>252</v>
      </c>
      <c r="X79" t="s">
        <v>253</v>
      </c>
      <c r="Y79" t="s">
        <v>89</v>
      </c>
      <c r="Z79" t="s">
        <v>90</v>
      </c>
      <c r="AA79" t="s">
        <v>245</v>
      </c>
      <c r="AB79">
        <v>1</v>
      </c>
      <c r="AC79">
        <v>6</v>
      </c>
      <c r="AD79" t="b">
        <v>1</v>
      </c>
      <c r="AE79">
        <v>2023</v>
      </c>
      <c r="AF79" s="3">
        <v>367</v>
      </c>
      <c r="AG79" s="3">
        <v>45496</v>
      </c>
      <c r="AH79" s="3">
        <v>46598</v>
      </c>
      <c r="AJ79" s="4">
        <f>VLOOKUP(A79,'[1]1'!B:Q,16,0)</f>
        <v>1440</v>
      </c>
      <c r="AK79" s="7">
        <f t="shared" si="2"/>
        <v>5.76</v>
      </c>
      <c r="AL79" s="3">
        <v>367</v>
      </c>
      <c r="AM79" s="3">
        <v>367</v>
      </c>
      <c r="AN79">
        <v>-8.6096141999999993</v>
      </c>
      <c r="AO79">
        <v>116.11471299999999</v>
      </c>
      <c r="AP79" t="s">
        <v>496</v>
      </c>
      <c r="AT79">
        <v>99.75</v>
      </c>
      <c r="AW79">
        <v>0</v>
      </c>
      <c r="AX79">
        <v>0</v>
      </c>
      <c r="BA79">
        <v>0</v>
      </c>
      <c r="BB79">
        <v>0</v>
      </c>
      <c r="BE79">
        <v>0</v>
      </c>
      <c r="BF79">
        <v>0</v>
      </c>
      <c r="BJ79">
        <v>0</v>
      </c>
      <c r="BL79">
        <v>0</v>
      </c>
      <c r="BN79">
        <v>0</v>
      </c>
      <c r="BO79" s="6">
        <v>0</v>
      </c>
      <c r="BP79">
        <v>0</v>
      </c>
      <c r="BQ79">
        <v>0</v>
      </c>
      <c r="BR79">
        <v>0</v>
      </c>
    </row>
    <row r="80" spans="1:70" ht="15" customHeight="1" x14ac:dyDescent="0.35">
      <c r="A80" s="1" t="str">
        <f t="shared" si="1"/>
        <v>01KC</v>
      </c>
      <c r="B80" t="s">
        <v>497</v>
      </c>
      <c r="C80" t="s">
        <v>498</v>
      </c>
      <c r="D80" t="s">
        <v>499</v>
      </c>
      <c r="E80" t="s">
        <v>500</v>
      </c>
      <c r="F80" t="s">
        <v>501</v>
      </c>
      <c r="G80" t="s">
        <v>502</v>
      </c>
      <c r="H80" t="s">
        <v>502</v>
      </c>
      <c r="I80" t="s">
        <v>148</v>
      </c>
      <c r="J80" t="b">
        <v>0</v>
      </c>
      <c r="K80" t="s">
        <v>78</v>
      </c>
      <c r="L80" t="s">
        <v>79</v>
      </c>
      <c r="M80" t="s">
        <v>80</v>
      </c>
      <c r="N80" t="s">
        <v>81</v>
      </c>
      <c r="O80" t="s">
        <v>82</v>
      </c>
      <c r="P80" t="s">
        <v>83</v>
      </c>
      <c r="Q80" t="s">
        <v>503</v>
      </c>
      <c r="R80">
        <v>24</v>
      </c>
      <c r="S80" t="s">
        <v>85</v>
      </c>
      <c r="T80" t="s">
        <v>85</v>
      </c>
      <c r="U80">
        <v>1111111</v>
      </c>
      <c r="V80" t="s">
        <v>86</v>
      </c>
      <c r="W80" t="s">
        <v>504</v>
      </c>
      <c r="X80" t="s">
        <v>505</v>
      </c>
      <c r="Y80" t="s">
        <v>89</v>
      </c>
      <c r="Z80" t="s">
        <v>90</v>
      </c>
      <c r="AA80" t="s">
        <v>506</v>
      </c>
      <c r="AB80">
        <v>1</v>
      </c>
      <c r="AC80">
        <v>6</v>
      </c>
      <c r="AD80" t="b">
        <v>1</v>
      </c>
      <c r="AE80">
        <v>2019</v>
      </c>
      <c r="AF80" s="3">
        <v>41212</v>
      </c>
      <c r="AG80" s="3">
        <v>43578</v>
      </c>
      <c r="AH80" s="3">
        <v>44681</v>
      </c>
      <c r="AJ80" s="4">
        <f>VLOOKUP(A80,'[1]1'!B:Q,16,0)</f>
        <v>1440</v>
      </c>
      <c r="AK80" s="7">
        <f t="shared" si="2"/>
        <v>5.76</v>
      </c>
      <c r="AL80" s="3">
        <v>44256</v>
      </c>
      <c r="AM80" s="3">
        <v>45443</v>
      </c>
      <c r="AN80">
        <v>-8.7989086000000007</v>
      </c>
      <c r="AO80">
        <v>115.2321532</v>
      </c>
      <c r="AP80" t="s">
        <v>500</v>
      </c>
      <c r="AQ80" s="5" t="s">
        <v>93</v>
      </c>
      <c r="AR80" s="5" t="s">
        <v>94</v>
      </c>
      <c r="AS80" t="s">
        <v>80</v>
      </c>
      <c r="AT80">
        <v>99.75</v>
      </c>
      <c r="AU80" t="s">
        <v>95</v>
      </c>
      <c r="AV80" t="s">
        <v>96</v>
      </c>
      <c r="AW80">
        <v>-8.6991940000000003</v>
      </c>
      <c r="AX80">
        <v>115.216222</v>
      </c>
      <c r="AY80" t="s">
        <v>506</v>
      </c>
      <c r="AZ80" t="s">
        <v>507</v>
      </c>
      <c r="BA80">
        <v>-8.7120160000000002</v>
      </c>
      <c r="BB80">
        <v>115.19033400000001</v>
      </c>
      <c r="BC80" t="s">
        <v>508</v>
      </c>
      <c r="BD80" t="s">
        <v>509</v>
      </c>
      <c r="BE80">
        <v>-8.6992445000000007</v>
      </c>
      <c r="BF80">
        <v>115.2139979</v>
      </c>
      <c r="BG80" t="s">
        <v>510</v>
      </c>
      <c r="BH80" t="s">
        <v>101</v>
      </c>
      <c r="BI80" t="s">
        <v>511</v>
      </c>
      <c r="BJ80">
        <v>3</v>
      </c>
      <c r="BL80">
        <v>1</v>
      </c>
      <c r="BM80" t="s">
        <v>103</v>
      </c>
      <c r="BN80">
        <v>4.0999999999999996</v>
      </c>
      <c r="BO80" s="6">
        <v>6.2500000000000003E-3</v>
      </c>
      <c r="BP80">
        <v>5.98</v>
      </c>
      <c r="BQ80">
        <v>3.16</v>
      </c>
      <c r="BR80">
        <v>5.81</v>
      </c>
    </row>
    <row r="81" spans="1:70" ht="15" customHeight="1" x14ac:dyDescent="0.35">
      <c r="A81" s="1" t="str">
        <f t="shared" si="1"/>
        <v>686M</v>
      </c>
      <c r="B81" t="s">
        <v>512</v>
      </c>
      <c r="C81" t="s">
        <v>513</v>
      </c>
      <c r="D81" t="s">
        <v>514</v>
      </c>
      <c r="E81" t="s">
        <v>515</v>
      </c>
      <c r="F81" t="s">
        <v>516</v>
      </c>
      <c r="G81" t="s">
        <v>502</v>
      </c>
      <c r="H81" t="s">
        <v>502</v>
      </c>
      <c r="I81" t="s">
        <v>137</v>
      </c>
      <c r="J81" t="b">
        <v>0</v>
      </c>
      <c r="K81" t="s">
        <v>78</v>
      </c>
      <c r="L81" t="s">
        <v>79</v>
      </c>
      <c r="M81" t="s">
        <v>80</v>
      </c>
      <c r="N81" t="s">
        <v>81</v>
      </c>
      <c r="O81" t="s">
        <v>82</v>
      </c>
      <c r="P81" t="s">
        <v>83</v>
      </c>
      <c r="Q81" t="s">
        <v>503</v>
      </c>
      <c r="R81">
        <v>24</v>
      </c>
      <c r="S81" t="s">
        <v>85</v>
      </c>
      <c r="T81" t="s">
        <v>85</v>
      </c>
      <c r="U81">
        <v>1111111</v>
      </c>
      <c r="V81" t="s">
        <v>86</v>
      </c>
      <c r="W81" t="s">
        <v>517</v>
      </c>
      <c r="X81" t="s">
        <v>518</v>
      </c>
      <c r="Y81" t="s">
        <v>89</v>
      </c>
      <c r="Z81" t="s">
        <v>90</v>
      </c>
      <c r="AA81" t="s">
        <v>506</v>
      </c>
      <c r="AB81">
        <v>1</v>
      </c>
      <c r="AC81">
        <v>6</v>
      </c>
      <c r="AD81" t="b">
        <v>1</v>
      </c>
      <c r="AE81">
        <v>2019</v>
      </c>
      <c r="AF81" s="3">
        <v>41224</v>
      </c>
      <c r="AG81" s="3">
        <v>43580</v>
      </c>
      <c r="AH81" s="3">
        <v>44681</v>
      </c>
      <c r="AJ81" s="4">
        <f>VLOOKUP(A81,'[1]1'!B:Q,16,0)</f>
        <v>1440</v>
      </c>
      <c r="AK81" s="7">
        <f t="shared" si="2"/>
        <v>5.76</v>
      </c>
      <c r="AL81" s="3">
        <v>44256</v>
      </c>
      <c r="AM81" s="3">
        <v>45443</v>
      </c>
      <c r="AN81">
        <v>-8.6398402000000001</v>
      </c>
      <c r="AO81">
        <v>115.1516343</v>
      </c>
      <c r="AP81" t="s">
        <v>515</v>
      </c>
      <c r="AQ81" s="5" t="s">
        <v>93</v>
      </c>
      <c r="AR81" s="5" t="s">
        <v>94</v>
      </c>
      <c r="AS81" t="s">
        <v>80</v>
      </c>
      <c r="AT81">
        <v>99.75</v>
      </c>
      <c r="AU81" t="s">
        <v>95</v>
      </c>
      <c r="AV81" t="s">
        <v>96</v>
      </c>
      <c r="AW81">
        <v>-8.6991940000000003</v>
      </c>
      <c r="AX81">
        <v>115.216222</v>
      </c>
      <c r="AY81" t="s">
        <v>506</v>
      </c>
      <c r="AZ81" t="s">
        <v>507</v>
      </c>
      <c r="BA81">
        <v>-8.7120160000000002</v>
      </c>
      <c r="BB81">
        <v>115.19033400000001</v>
      </c>
      <c r="BC81" t="s">
        <v>508</v>
      </c>
      <c r="BD81" t="s">
        <v>509</v>
      </c>
      <c r="BE81">
        <v>-8.6992445000000007</v>
      </c>
      <c r="BF81">
        <v>115.2139979</v>
      </c>
      <c r="BG81" t="s">
        <v>510</v>
      </c>
      <c r="BH81" t="s">
        <v>101</v>
      </c>
      <c r="BI81" t="s">
        <v>511</v>
      </c>
      <c r="BJ81">
        <v>3</v>
      </c>
      <c r="BL81">
        <v>1</v>
      </c>
      <c r="BM81" t="s">
        <v>103</v>
      </c>
      <c r="BN81">
        <v>5</v>
      </c>
      <c r="BO81" s="6">
        <v>1.0416666666666666E-2</v>
      </c>
      <c r="BP81">
        <v>12776.98</v>
      </c>
      <c r="BQ81">
        <v>12774.04</v>
      </c>
      <c r="BR81">
        <v>12776.73</v>
      </c>
    </row>
    <row r="82" spans="1:70" ht="15" customHeight="1" x14ac:dyDescent="0.35">
      <c r="A82" s="1" t="str">
        <f t="shared" si="1"/>
        <v>139P</v>
      </c>
      <c r="B82" t="s">
        <v>519</v>
      </c>
      <c r="C82" t="s">
        <v>520</v>
      </c>
      <c r="D82" t="s">
        <v>521</v>
      </c>
      <c r="E82" t="s">
        <v>522</v>
      </c>
      <c r="F82" t="s">
        <v>516</v>
      </c>
      <c r="G82" t="s">
        <v>502</v>
      </c>
      <c r="H82" t="s">
        <v>502</v>
      </c>
      <c r="I82" t="s">
        <v>137</v>
      </c>
      <c r="J82" t="b">
        <v>0</v>
      </c>
      <c r="K82" t="s">
        <v>78</v>
      </c>
      <c r="L82" t="s">
        <v>79</v>
      </c>
      <c r="M82" t="s">
        <v>80</v>
      </c>
      <c r="N82" t="s">
        <v>81</v>
      </c>
      <c r="O82" t="s">
        <v>82</v>
      </c>
      <c r="P82" t="s">
        <v>83</v>
      </c>
      <c r="Q82" t="s">
        <v>503</v>
      </c>
      <c r="R82">
        <v>24</v>
      </c>
      <c r="S82" t="s">
        <v>85</v>
      </c>
      <c r="T82" t="s">
        <v>85</v>
      </c>
      <c r="U82">
        <v>1111111</v>
      </c>
      <c r="V82" t="s">
        <v>86</v>
      </c>
      <c r="W82" t="s">
        <v>523</v>
      </c>
      <c r="X82" t="s">
        <v>524</v>
      </c>
      <c r="Y82" t="s">
        <v>89</v>
      </c>
      <c r="Z82" t="s">
        <v>90</v>
      </c>
      <c r="AA82" t="s">
        <v>506</v>
      </c>
      <c r="AB82">
        <v>1</v>
      </c>
      <c r="AC82">
        <v>6</v>
      </c>
      <c r="AD82" t="b">
        <v>1</v>
      </c>
      <c r="AE82">
        <v>2019</v>
      </c>
      <c r="AF82" s="3">
        <v>41244</v>
      </c>
      <c r="AG82" s="3">
        <v>43580</v>
      </c>
      <c r="AH82" s="3">
        <v>44681</v>
      </c>
      <c r="AJ82" s="4">
        <f>VLOOKUP(A82,'[1]1'!B:Q,16,0)</f>
        <v>1440</v>
      </c>
      <c r="AK82" s="7">
        <f t="shared" si="2"/>
        <v>5.76</v>
      </c>
      <c r="AL82" s="3">
        <v>44256</v>
      </c>
      <c r="AM82" s="3">
        <v>45443</v>
      </c>
      <c r="AN82">
        <v>-8.7087340999999991</v>
      </c>
      <c r="AO82">
        <v>115.16931940000001</v>
      </c>
      <c r="AP82" t="s">
        <v>522</v>
      </c>
      <c r="AQ82" s="5" t="s">
        <v>93</v>
      </c>
      <c r="AR82" s="5" t="s">
        <v>94</v>
      </c>
      <c r="AS82" t="s">
        <v>80</v>
      </c>
      <c r="AT82">
        <v>99.75</v>
      </c>
      <c r="AU82" t="s">
        <v>95</v>
      </c>
      <c r="AV82" t="s">
        <v>96</v>
      </c>
      <c r="AW82">
        <v>-8.6991940000000003</v>
      </c>
      <c r="AX82">
        <v>115.216222</v>
      </c>
      <c r="AY82" t="s">
        <v>506</v>
      </c>
      <c r="AZ82" t="s">
        <v>507</v>
      </c>
      <c r="BA82">
        <v>-8.7120160000000002</v>
      </c>
      <c r="BB82">
        <v>115.19033400000001</v>
      </c>
      <c r="BC82" t="s">
        <v>508</v>
      </c>
      <c r="BD82" t="s">
        <v>509</v>
      </c>
      <c r="BE82">
        <v>-8.6992445000000007</v>
      </c>
      <c r="BF82">
        <v>115.2139979</v>
      </c>
      <c r="BG82" t="s">
        <v>510</v>
      </c>
      <c r="BH82" t="s">
        <v>101</v>
      </c>
      <c r="BI82" t="s">
        <v>511</v>
      </c>
      <c r="BJ82">
        <v>3</v>
      </c>
      <c r="BL82">
        <v>1</v>
      </c>
      <c r="BM82" t="s">
        <v>103</v>
      </c>
      <c r="BN82">
        <v>5.5</v>
      </c>
      <c r="BO82" s="6">
        <v>7.6388888888888886E-3</v>
      </c>
      <c r="BP82">
        <v>5.26</v>
      </c>
      <c r="BQ82">
        <v>2.34</v>
      </c>
      <c r="BR82">
        <v>5.0199999999999996</v>
      </c>
    </row>
    <row r="83" spans="1:70" ht="15" customHeight="1" x14ac:dyDescent="0.35">
      <c r="A83" s="1" t="str">
        <f t="shared" si="1"/>
        <v>139T</v>
      </c>
      <c r="B83" t="s">
        <v>525</v>
      </c>
      <c r="C83" t="s">
        <v>526</v>
      </c>
      <c r="D83" t="s">
        <v>527</v>
      </c>
      <c r="E83" t="s">
        <v>528</v>
      </c>
      <c r="F83" t="s">
        <v>516</v>
      </c>
      <c r="G83" t="s">
        <v>502</v>
      </c>
      <c r="H83" t="s">
        <v>502</v>
      </c>
      <c r="I83" t="s">
        <v>137</v>
      </c>
      <c r="J83" t="b">
        <v>0</v>
      </c>
      <c r="K83" t="s">
        <v>78</v>
      </c>
      <c r="L83" t="s">
        <v>79</v>
      </c>
      <c r="M83" t="s">
        <v>80</v>
      </c>
      <c r="N83" t="s">
        <v>81</v>
      </c>
      <c r="O83" t="s">
        <v>82</v>
      </c>
      <c r="P83" t="s">
        <v>83</v>
      </c>
      <c r="Q83" t="s">
        <v>503</v>
      </c>
      <c r="R83">
        <v>24</v>
      </c>
      <c r="S83" t="s">
        <v>85</v>
      </c>
      <c r="T83" t="s">
        <v>85</v>
      </c>
      <c r="U83">
        <v>1111111</v>
      </c>
      <c r="V83" t="s">
        <v>86</v>
      </c>
      <c r="W83" t="s">
        <v>529</v>
      </c>
      <c r="X83" t="s">
        <v>530</v>
      </c>
      <c r="Y83" t="s">
        <v>89</v>
      </c>
      <c r="Z83" t="s">
        <v>90</v>
      </c>
      <c r="AA83" t="s">
        <v>506</v>
      </c>
      <c r="AB83">
        <v>1</v>
      </c>
      <c r="AC83">
        <v>6</v>
      </c>
      <c r="AD83" t="b">
        <v>1</v>
      </c>
      <c r="AE83">
        <v>2019</v>
      </c>
      <c r="AF83" s="3">
        <v>41247</v>
      </c>
      <c r="AG83" s="3">
        <v>43585</v>
      </c>
      <c r="AH83" s="3">
        <v>44681</v>
      </c>
      <c r="AJ83" s="4"/>
      <c r="AK83" s="4"/>
      <c r="AL83" s="3">
        <v>44256</v>
      </c>
      <c r="AM83" s="3">
        <v>45443</v>
      </c>
      <c r="AN83">
        <v>-8.6605626000000004</v>
      </c>
      <c r="AO83">
        <v>115.1637376</v>
      </c>
      <c r="AP83" t="s">
        <v>531</v>
      </c>
      <c r="AQ83" s="5" t="s">
        <v>93</v>
      </c>
      <c r="AR83" s="5" t="s">
        <v>94</v>
      </c>
      <c r="AS83" t="s">
        <v>80</v>
      </c>
      <c r="AT83">
        <v>99.75</v>
      </c>
      <c r="AU83" t="s">
        <v>95</v>
      </c>
      <c r="AV83" t="s">
        <v>96</v>
      </c>
      <c r="AW83">
        <v>-8.6991940000000003</v>
      </c>
      <c r="AX83">
        <v>115.216222</v>
      </c>
      <c r="AY83" t="s">
        <v>506</v>
      </c>
      <c r="AZ83" t="s">
        <v>532</v>
      </c>
      <c r="BA83">
        <v>-8.6221666999999993</v>
      </c>
      <c r="BB83">
        <v>115.17478029999999</v>
      </c>
      <c r="BC83" t="s">
        <v>508</v>
      </c>
      <c r="BD83" t="s">
        <v>509</v>
      </c>
      <c r="BE83">
        <v>-8.6992445000000007</v>
      </c>
      <c r="BF83">
        <v>115.2139979</v>
      </c>
      <c r="BG83" t="s">
        <v>510</v>
      </c>
      <c r="BH83" t="s">
        <v>101</v>
      </c>
      <c r="BI83" t="s">
        <v>511</v>
      </c>
      <c r="BJ83">
        <v>3</v>
      </c>
      <c r="BL83">
        <v>1</v>
      </c>
      <c r="BM83" t="s">
        <v>103</v>
      </c>
      <c r="BN83">
        <v>6.1</v>
      </c>
      <c r="BO83" s="6">
        <v>1.0416666666666666E-2</v>
      </c>
      <c r="BP83">
        <v>7.19</v>
      </c>
      <c r="BQ83">
        <v>4.4400000000000004</v>
      </c>
      <c r="BR83">
        <v>7</v>
      </c>
    </row>
    <row r="84" spans="1:70" ht="15" customHeight="1" x14ac:dyDescent="0.35">
      <c r="A84" s="1" t="str">
        <f t="shared" si="1"/>
        <v>00H8</v>
      </c>
      <c r="B84" t="s">
        <v>533</v>
      </c>
      <c r="C84" t="s">
        <v>534</v>
      </c>
      <c r="D84" t="s">
        <v>535</v>
      </c>
      <c r="E84" t="s">
        <v>536</v>
      </c>
      <c r="F84" t="s">
        <v>537</v>
      </c>
      <c r="G84" t="s">
        <v>502</v>
      </c>
      <c r="H84" t="s">
        <v>502</v>
      </c>
      <c r="I84" t="s">
        <v>137</v>
      </c>
      <c r="J84" t="b">
        <v>0</v>
      </c>
      <c r="K84" t="s">
        <v>78</v>
      </c>
      <c r="L84" t="s">
        <v>79</v>
      </c>
      <c r="M84" t="s">
        <v>80</v>
      </c>
      <c r="N84" t="s">
        <v>81</v>
      </c>
      <c r="O84" t="s">
        <v>82</v>
      </c>
      <c r="P84" t="s">
        <v>83</v>
      </c>
      <c r="Q84" t="s">
        <v>503</v>
      </c>
      <c r="R84">
        <v>24</v>
      </c>
      <c r="S84" t="s">
        <v>85</v>
      </c>
      <c r="T84" t="s">
        <v>85</v>
      </c>
      <c r="U84">
        <v>1111111</v>
      </c>
      <c r="V84" t="s">
        <v>86</v>
      </c>
      <c r="W84" t="s">
        <v>504</v>
      </c>
      <c r="X84" t="s">
        <v>505</v>
      </c>
      <c r="Y84" t="s">
        <v>89</v>
      </c>
      <c r="Z84" t="s">
        <v>90</v>
      </c>
      <c r="AA84" t="s">
        <v>506</v>
      </c>
      <c r="AB84">
        <v>1</v>
      </c>
      <c r="AC84">
        <v>6</v>
      </c>
      <c r="AD84" t="b">
        <v>1</v>
      </c>
      <c r="AE84">
        <v>2019</v>
      </c>
      <c r="AF84" s="3">
        <v>41459</v>
      </c>
      <c r="AG84" s="3">
        <v>43579</v>
      </c>
      <c r="AH84" s="3">
        <v>44681</v>
      </c>
      <c r="AJ84" s="4">
        <f>VLOOKUP(A84,'[1]1'!B:Q,16,0)</f>
        <v>1440</v>
      </c>
      <c r="AK84" s="7">
        <f t="shared" ref="AK84:AK87" si="3">AJ84/250</f>
        <v>5.76</v>
      </c>
      <c r="AL84" s="3">
        <v>44256</v>
      </c>
      <c r="AM84" s="3">
        <v>45443</v>
      </c>
      <c r="AN84">
        <v>-8.8246619000000006</v>
      </c>
      <c r="AO84">
        <v>115.14152420000001</v>
      </c>
      <c r="AP84" t="s">
        <v>538</v>
      </c>
      <c r="AQ84" s="5" t="s">
        <v>93</v>
      </c>
      <c r="AR84" s="5" t="s">
        <v>94</v>
      </c>
      <c r="AS84" t="s">
        <v>80</v>
      </c>
      <c r="AT84">
        <v>99.75</v>
      </c>
      <c r="AU84" t="s">
        <v>95</v>
      </c>
      <c r="AV84" t="s">
        <v>96</v>
      </c>
      <c r="AW84">
        <v>-8.6991940000000003</v>
      </c>
      <c r="AX84">
        <v>115.216222</v>
      </c>
      <c r="AY84" t="s">
        <v>506</v>
      </c>
      <c r="AZ84" t="s">
        <v>507</v>
      </c>
      <c r="BA84">
        <v>-8.7120160000000002</v>
      </c>
      <c r="BB84">
        <v>115.19033400000001</v>
      </c>
      <c r="BC84" t="s">
        <v>508</v>
      </c>
      <c r="BD84" t="s">
        <v>509</v>
      </c>
      <c r="BE84">
        <v>-8.6992445000000007</v>
      </c>
      <c r="BF84">
        <v>115.2139979</v>
      </c>
      <c r="BG84" t="s">
        <v>510</v>
      </c>
      <c r="BH84" t="s">
        <v>101</v>
      </c>
      <c r="BI84" t="s">
        <v>511</v>
      </c>
      <c r="BJ84">
        <v>3</v>
      </c>
      <c r="BL84">
        <v>1</v>
      </c>
      <c r="BM84" t="s">
        <v>103</v>
      </c>
      <c r="BN84">
        <v>5.4</v>
      </c>
      <c r="BO84" s="6">
        <v>6.9444444444444441E-3</v>
      </c>
      <c r="BP84">
        <v>5.49</v>
      </c>
      <c r="BQ84">
        <v>2.88</v>
      </c>
      <c r="BR84">
        <v>5.24</v>
      </c>
    </row>
    <row r="85" spans="1:70" ht="15" customHeight="1" x14ac:dyDescent="0.35">
      <c r="A85" s="1" t="str">
        <f t="shared" si="1"/>
        <v>139U</v>
      </c>
      <c r="B85" t="s">
        <v>539</v>
      </c>
      <c r="C85" t="s">
        <v>540</v>
      </c>
      <c r="D85" t="s">
        <v>541</v>
      </c>
      <c r="E85" t="s">
        <v>542</v>
      </c>
      <c r="F85" t="s">
        <v>516</v>
      </c>
      <c r="G85" t="s">
        <v>502</v>
      </c>
      <c r="H85" t="s">
        <v>502</v>
      </c>
      <c r="I85" t="s">
        <v>137</v>
      </c>
      <c r="J85" t="b">
        <v>0</v>
      </c>
      <c r="K85" t="s">
        <v>78</v>
      </c>
      <c r="L85" t="s">
        <v>79</v>
      </c>
      <c r="M85" t="s">
        <v>80</v>
      </c>
      <c r="N85" t="s">
        <v>81</v>
      </c>
      <c r="O85" t="s">
        <v>82</v>
      </c>
      <c r="P85" t="s">
        <v>83</v>
      </c>
      <c r="Q85" t="s">
        <v>503</v>
      </c>
      <c r="R85">
        <v>24</v>
      </c>
      <c r="S85" t="s">
        <v>85</v>
      </c>
      <c r="T85" t="s">
        <v>85</v>
      </c>
      <c r="U85">
        <v>1111111</v>
      </c>
      <c r="V85" t="s">
        <v>86</v>
      </c>
      <c r="W85" t="s">
        <v>504</v>
      </c>
      <c r="X85" t="s">
        <v>505</v>
      </c>
      <c r="Y85" t="s">
        <v>89</v>
      </c>
      <c r="Z85" t="s">
        <v>90</v>
      </c>
      <c r="AA85" t="s">
        <v>506</v>
      </c>
      <c r="AB85">
        <v>1</v>
      </c>
      <c r="AC85">
        <v>6</v>
      </c>
      <c r="AD85" t="b">
        <v>1</v>
      </c>
      <c r="AE85">
        <v>2019</v>
      </c>
      <c r="AF85" s="3">
        <v>41250</v>
      </c>
      <c r="AG85" s="3">
        <v>43573</v>
      </c>
      <c r="AH85" s="3">
        <v>44681</v>
      </c>
      <c r="AJ85" s="4">
        <f>VLOOKUP(A85,'[1]1'!B:Q,16,0)</f>
        <v>1440</v>
      </c>
      <c r="AK85" s="7">
        <f t="shared" si="3"/>
        <v>5.76</v>
      </c>
      <c r="AL85" s="3">
        <v>44256</v>
      </c>
      <c r="AM85" s="3">
        <v>45443</v>
      </c>
      <c r="AN85">
        <v>-8.7961904999999998</v>
      </c>
      <c r="AO85">
        <v>115.2185712</v>
      </c>
      <c r="AP85" t="s">
        <v>543</v>
      </c>
      <c r="AQ85" s="5" t="s">
        <v>93</v>
      </c>
      <c r="AR85" s="5" t="s">
        <v>94</v>
      </c>
      <c r="AS85" t="s">
        <v>80</v>
      </c>
      <c r="AT85">
        <v>99.75</v>
      </c>
      <c r="AU85" t="s">
        <v>95</v>
      </c>
      <c r="AV85" t="s">
        <v>96</v>
      </c>
      <c r="AW85">
        <v>-8.6991940000000003</v>
      </c>
      <c r="AX85">
        <v>115.216222</v>
      </c>
      <c r="AY85" t="s">
        <v>506</v>
      </c>
      <c r="AZ85" t="s">
        <v>544</v>
      </c>
      <c r="BA85">
        <v>-8.6697652999999999</v>
      </c>
      <c r="BB85">
        <v>115.2459451</v>
      </c>
      <c r="BC85" t="s">
        <v>508</v>
      </c>
      <c r="BD85" t="s">
        <v>509</v>
      </c>
      <c r="BE85">
        <v>-8.6992445000000007</v>
      </c>
      <c r="BF85">
        <v>115.2139979</v>
      </c>
      <c r="BG85" t="s">
        <v>510</v>
      </c>
      <c r="BH85" t="s">
        <v>101</v>
      </c>
      <c r="BI85" t="s">
        <v>511</v>
      </c>
      <c r="BJ85">
        <v>3</v>
      </c>
      <c r="BL85">
        <v>1</v>
      </c>
      <c r="BM85" t="s">
        <v>103</v>
      </c>
      <c r="BN85">
        <v>26.3</v>
      </c>
      <c r="BO85" s="6">
        <v>2.7083333333333334E-2</v>
      </c>
      <c r="BP85">
        <v>10.79</v>
      </c>
      <c r="BQ85">
        <v>14.38</v>
      </c>
      <c r="BR85">
        <v>10.79</v>
      </c>
    </row>
    <row r="86" spans="1:70" ht="15" customHeight="1" x14ac:dyDescent="0.35">
      <c r="A86" s="1" t="str">
        <f t="shared" si="1"/>
        <v>143J</v>
      </c>
      <c r="B86" t="s">
        <v>545</v>
      </c>
      <c r="C86" t="s">
        <v>546</v>
      </c>
      <c r="D86" t="s">
        <v>547</v>
      </c>
      <c r="E86" s="5" t="s">
        <v>548</v>
      </c>
      <c r="F86" t="s">
        <v>501</v>
      </c>
      <c r="G86" t="s">
        <v>502</v>
      </c>
      <c r="H86" t="s">
        <v>502</v>
      </c>
      <c r="I86" t="s">
        <v>137</v>
      </c>
      <c r="J86" t="b">
        <v>0</v>
      </c>
      <c r="K86" t="s">
        <v>78</v>
      </c>
      <c r="L86" t="s">
        <v>79</v>
      </c>
      <c r="M86" t="s">
        <v>80</v>
      </c>
      <c r="N86" t="s">
        <v>81</v>
      </c>
      <c r="O86" t="s">
        <v>82</v>
      </c>
      <c r="P86" t="s">
        <v>83</v>
      </c>
      <c r="Q86" t="s">
        <v>549</v>
      </c>
      <c r="R86">
        <v>24</v>
      </c>
      <c r="S86" t="s">
        <v>85</v>
      </c>
      <c r="T86" t="s">
        <v>85</v>
      </c>
      <c r="U86">
        <v>1111111</v>
      </c>
      <c r="V86" t="s">
        <v>86</v>
      </c>
      <c r="W86" t="s">
        <v>550</v>
      </c>
      <c r="X86" t="s">
        <v>551</v>
      </c>
      <c r="Y86" t="s">
        <v>89</v>
      </c>
      <c r="Z86" t="s">
        <v>90</v>
      </c>
      <c r="AA86" t="s">
        <v>506</v>
      </c>
      <c r="AB86">
        <v>1</v>
      </c>
      <c r="AC86">
        <v>6</v>
      </c>
      <c r="AD86" t="b">
        <v>1</v>
      </c>
      <c r="AE86">
        <v>2019</v>
      </c>
      <c r="AF86" s="3">
        <v>41529</v>
      </c>
      <c r="AG86" s="3">
        <v>43584</v>
      </c>
      <c r="AH86" s="3">
        <v>44681</v>
      </c>
      <c r="AJ86" s="4">
        <f>VLOOKUP(A86,'[1]1'!B:Q,16,0)</f>
        <v>1440</v>
      </c>
      <c r="AK86" s="7">
        <f t="shared" si="3"/>
        <v>5.76</v>
      </c>
      <c r="AL86" s="3">
        <v>44256</v>
      </c>
      <c r="AM86" s="3">
        <v>45443</v>
      </c>
      <c r="AN86">
        <v>-8.6492568999999992</v>
      </c>
      <c r="AO86">
        <v>115.2282519</v>
      </c>
      <c r="AP86" t="s">
        <v>552</v>
      </c>
      <c r="AQ86" s="5" t="s">
        <v>93</v>
      </c>
      <c r="AR86" s="5" t="s">
        <v>94</v>
      </c>
      <c r="AS86" t="s">
        <v>80</v>
      </c>
      <c r="AT86">
        <v>99.75</v>
      </c>
      <c r="AU86" t="s">
        <v>95</v>
      </c>
      <c r="AV86" t="s">
        <v>96</v>
      </c>
      <c r="AW86">
        <v>-8.6991940000000003</v>
      </c>
      <c r="AX86">
        <v>115.216222</v>
      </c>
      <c r="AY86" t="s">
        <v>506</v>
      </c>
      <c r="AZ86" t="s">
        <v>553</v>
      </c>
      <c r="BA86">
        <v>-8.7005730999999997</v>
      </c>
      <c r="BB86">
        <v>115.2196565</v>
      </c>
      <c r="BC86" t="s">
        <v>508</v>
      </c>
      <c r="BD86" t="s">
        <v>509</v>
      </c>
      <c r="BE86">
        <v>-8.6992445000000007</v>
      </c>
      <c r="BF86">
        <v>115.2139979</v>
      </c>
      <c r="BG86" t="s">
        <v>510</v>
      </c>
      <c r="BH86" t="s">
        <v>101</v>
      </c>
      <c r="BI86" t="s">
        <v>511</v>
      </c>
      <c r="BJ86">
        <v>3</v>
      </c>
      <c r="BL86">
        <v>1</v>
      </c>
      <c r="BM86" t="s">
        <v>103</v>
      </c>
      <c r="BN86">
        <v>7.2</v>
      </c>
      <c r="BO86" s="6">
        <v>1.3888888888888888E-2</v>
      </c>
      <c r="BP86">
        <v>5.71</v>
      </c>
      <c r="BQ86">
        <v>5.78</v>
      </c>
      <c r="BR86">
        <v>5.77</v>
      </c>
    </row>
    <row r="87" spans="1:70" ht="15" customHeight="1" x14ac:dyDescent="0.35">
      <c r="A87" s="1" t="str">
        <f t="shared" si="1"/>
        <v>032O</v>
      </c>
      <c r="B87" t="s">
        <v>554</v>
      </c>
      <c r="C87" t="s">
        <v>555</v>
      </c>
      <c r="D87" t="s">
        <v>556</v>
      </c>
      <c r="E87" t="s">
        <v>557</v>
      </c>
      <c r="F87" t="s">
        <v>501</v>
      </c>
      <c r="G87" t="s">
        <v>502</v>
      </c>
      <c r="H87" t="s">
        <v>502</v>
      </c>
      <c r="I87" t="s">
        <v>137</v>
      </c>
      <c r="J87" t="b">
        <v>0</v>
      </c>
      <c r="K87" t="s">
        <v>78</v>
      </c>
      <c r="L87" t="s">
        <v>79</v>
      </c>
      <c r="M87" t="s">
        <v>80</v>
      </c>
      <c r="N87" t="s">
        <v>81</v>
      </c>
      <c r="O87" t="s">
        <v>82</v>
      </c>
      <c r="P87" t="s">
        <v>83</v>
      </c>
      <c r="Q87" t="s">
        <v>503</v>
      </c>
      <c r="R87">
        <v>24</v>
      </c>
      <c r="S87" t="s">
        <v>85</v>
      </c>
      <c r="T87" t="s">
        <v>85</v>
      </c>
      <c r="U87">
        <v>1111111</v>
      </c>
      <c r="V87" t="s">
        <v>86</v>
      </c>
      <c r="W87" t="s">
        <v>529</v>
      </c>
      <c r="X87" t="s">
        <v>530</v>
      </c>
      <c r="Y87" t="s">
        <v>89</v>
      </c>
      <c r="Z87" t="s">
        <v>90</v>
      </c>
      <c r="AA87" t="s">
        <v>506</v>
      </c>
      <c r="AB87">
        <v>1</v>
      </c>
      <c r="AC87">
        <v>6</v>
      </c>
      <c r="AD87" t="b">
        <v>1</v>
      </c>
      <c r="AE87">
        <v>2019</v>
      </c>
      <c r="AF87" s="3">
        <v>41466</v>
      </c>
      <c r="AG87" s="3">
        <v>43581</v>
      </c>
      <c r="AH87" s="3">
        <v>44681</v>
      </c>
      <c r="AJ87" s="4">
        <f>VLOOKUP(A87,'[1]1'!B:Q,16,0)</f>
        <v>1440</v>
      </c>
      <c r="AK87" s="7">
        <f t="shared" si="3"/>
        <v>5.76</v>
      </c>
      <c r="AL87" s="3">
        <v>44256</v>
      </c>
      <c r="AM87" s="3">
        <v>45443</v>
      </c>
      <c r="AN87">
        <v>-8.7415620000000001</v>
      </c>
      <c r="AO87">
        <v>115.2094282</v>
      </c>
      <c r="AP87" t="s">
        <v>557</v>
      </c>
      <c r="AQ87" s="5" t="s">
        <v>93</v>
      </c>
      <c r="AR87" s="5" t="s">
        <v>94</v>
      </c>
      <c r="AS87" t="s">
        <v>80</v>
      </c>
      <c r="AT87">
        <v>99.75</v>
      </c>
      <c r="AU87" t="s">
        <v>95</v>
      </c>
      <c r="AV87" t="s">
        <v>96</v>
      </c>
      <c r="AW87">
        <v>-8.6991940000000003</v>
      </c>
      <c r="AX87">
        <v>115.216222</v>
      </c>
      <c r="AY87" t="s">
        <v>506</v>
      </c>
      <c r="AZ87" t="s">
        <v>558</v>
      </c>
      <c r="BA87">
        <v>-8.6819210000000009</v>
      </c>
      <c r="BB87">
        <v>115.2439892</v>
      </c>
      <c r="BC87" t="s">
        <v>508</v>
      </c>
      <c r="BD87" t="s">
        <v>509</v>
      </c>
      <c r="BE87">
        <v>-8.6992445000000007</v>
      </c>
      <c r="BF87">
        <v>115.2139979</v>
      </c>
      <c r="BG87" t="s">
        <v>510</v>
      </c>
      <c r="BH87" t="s">
        <v>101</v>
      </c>
      <c r="BI87" t="s">
        <v>511</v>
      </c>
      <c r="BJ87">
        <v>3</v>
      </c>
      <c r="BL87">
        <v>1</v>
      </c>
      <c r="BM87" t="s">
        <v>103</v>
      </c>
      <c r="BN87">
        <v>10.199999999999999</v>
      </c>
      <c r="BO87" s="6">
        <v>1.8749999999999999E-2</v>
      </c>
      <c r="BP87">
        <v>4.7699999999999996</v>
      </c>
      <c r="BQ87">
        <v>7.64</v>
      </c>
      <c r="BR87">
        <v>4.7300000000000004</v>
      </c>
    </row>
    <row r="88" spans="1:70" ht="15" customHeight="1" x14ac:dyDescent="0.35">
      <c r="A88" s="1" t="str">
        <f t="shared" si="1"/>
        <v>651M</v>
      </c>
      <c r="B88" t="s">
        <v>559</v>
      </c>
      <c r="C88" t="s">
        <v>560</v>
      </c>
      <c r="D88" t="s">
        <v>561</v>
      </c>
      <c r="E88" t="s">
        <v>562</v>
      </c>
      <c r="F88" t="s">
        <v>501</v>
      </c>
      <c r="G88" t="s">
        <v>502</v>
      </c>
      <c r="H88" t="s">
        <v>502</v>
      </c>
      <c r="I88" t="s">
        <v>563</v>
      </c>
      <c r="J88" t="b">
        <v>0</v>
      </c>
      <c r="K88" t="s">
        <v>78</v>
      </c>
      <c r="L88" t="s">
        <v>79</v>
      </c>
      <c r="M88" t="s">
        <v>80</v>
      </c>
      <c r="N88" t="s">
        <v>81</v>
      </c>
      <c r="O88" t="s">
        <v>82</v>
      </c>
      <c r="P88" t="s">
        <v>83</v>
      </c>
      <c r="Q88" t="s">
        <v>503</v>
      </c>
      <c r="R88">
        <v>24</v>
      </c>
      <c r="S88" t="s">
        <v>85</v>
      </c>
      <c r="T88" t="s">
        <v>85</v>
      </c>
      <c r="U88">
        <v>1111111</v>
      </c>
      <c r="V88" t="s">
        <v>86</v>
      </c>
      <c r="W88" t="s">
        <v>550</v>
      </c>
      <c r="X88" t="s">
        <v>551</v>
      </c>
      <c r="Y88" t="s">
        <v>89</v>
      </c>
      <c r="Z88" t="s">
        <v>90</v>
      </c>
      <c r="AA88" t="s">
        <v>506</v>
      </c>
      <c r="AB88">
        <v>1</v>
      </c>
      <c r="AC88">
        <v>6</v>
      </c>
      <c r="AD88" t="b">
        <v>1</v>
      </c>
      <c r="AE88">
        <v>2019</v>
      </c>
      <c r="AF88" s="3">
        <v>41594</v>
      </c>
      <c r="AG88" s="3">
        <v>43579</v>
      </c>
      <c r="AH88" s="3">
        <v>44681</v>
      </c>
      <c r="AJ88" s="4"/>
      <c r="AK88" s="4"/>
      <c r="AL88" s="3">
        <v>44256</v>
      </c>
      <c r="AM88" s="3">
        <v>45443</v>
      </c>
      <c r="AN88">
        <v>-8.6372605999999994</v>
      </c>
      <c r="AO88">
        <v>115.2550079</v>
      </c>
      <c r="AP88" t="s">
        <v>564</v>
      </c>
      <c r="AQ88" s="5" t="s">
        <v>93</v>
      </c>
      <c r="AR88" s="5" t="s">
        <v>94</v>
      </c>
      <c r="AS88" t="s">
        <v>80</v>
      </c>
      <c r="AT88">
        <v>99.75</v>
      </c>
      <c r="AU88" t="s">
        <v>95</v>
      </c>
      <c r="AV88" t="s">
        <v>96</v>
      </c>
      <c r="AW88">
        <v>-8.6991940000000003</v>
      </c>
      <c r="AX88">
        <v>115.216222</v>
      </c>
      <c r="AY88" t="s">
        <v>506</v>
      </c>
      <c r="AZ88" t="s">
        <v>553</v>
      </c>
      <c r="BA88">
        <v>-8.7005730999999997</v>
      </c>
      <c r="BB88">
        <v>115.2196565</v>
      </c>
      <c r="BC88" t="s">
        <v>508</v>
      </c>
      <c r="BD88" t="s">
        <v>509</v>
      </c>
      <c r="BE88">
        <v>-8.6992445000000007</v>
      </c>
      <c r="BF88">
        <v>115.2139979</v>
      </c>
      <c r="BG88" t="s">
        <v>510</v>
      </c>
      <c r="BH88" t="s">
        <v>101</v>
      </c>
      <c r="BI88" t="s">
        <v>511</v>
      </c>
      <c r="BJ88">
        <v>3</v>
      </c>
      <c r="BL88">
        <v>1</v>
      </c>
      <c r="BM88" t="s">
        <v>103</v>
      </c>
      <c r="BN88">
        <v>12.4</v>
      </c>
      <c r="BO88" s="6">
        <v>2.0833333333333332E-2</v>
      </c>
      <c r="BP88">
        <v>8.1</v>
      </c>
      <c r="BQ88">
        <v>8.0399999999999991</v>
      </c>
      <c r="BR88">
        <v>8.24</v>
      </c>
    </row>
    <row r="89" spans="1:70" ht="15" customHeight="1" x14ac:dyDescent="0.35">
      <c r="A89" s="1" t="str">
        <f t="shared" si="1"/>
        <v>353D</v>
      </c>
      <c r="B89" t="s">
        <v>565</v>
      </c>
      <c r="C89" t="s">
        <v>566</v>
      </c>
      <c r="D89" t="s">
        <v>567</v>
      </c>
      <c r="E89" t="s">
        <v>568</v>
      </c>
      <c r="F89" t="s">
        <v>501</v>
      </c>
      <c r="G89" t="s">
        <v>502</v>
      </c>
      <c r="H89" t="s">
        <v>502</v>
      </c>
      <c r="I89" t="s">
        <v>569</v>
      </c>
      <c r="J89" t="b">
        <v>1</v>
      </c>
      <c r="K89" t="s">
        <v>78</v>
      </c>
      <c r="L89" t="s">
        <v>79</v>
      </c>
      <c r="M89" t="s">
        <v>80</v>
      </c>
      <c r="N89" t="s">
        <v>81</v>
      </c>
      <c r="O89" t="s">
        <v>82</v>
      </c>
      <c r="P89" t="s">
        <v>83</v>
      </c>
      <c r="Q89" t="s">
        <v>549</v>
      </c>
      <c r="R89">
        <v>9</v>
      </c>
      <c r="S89" t="s">
        <v>570</v>
      </c>
      <c r="T89" t="s">
        <v>570</v>
      </c>
      <c r="U89">
        <v>1111111</v>
      </c>
      <c r="V89" t="s">
        <v>86</v>
      </c>
      <c r="W89" t="s">
        <v>571</v>
      </c>
      <c r="X89" t="s">
        <v>572</v>
      </c>
      <c r="Y89" t="s">
        <v>89</v>
      </c>
      <c r="Z89" t="s">
        <v>90</v>
      </c>
      <c r="AA89" t="s">
        <v>506</v>
      </c>
      <c r="AB89">
        <v>1</v>
      </c>
      <c r="AC89">
        <v>6</v>
      </c>
      <c r="AD89" t="b">
        <v>1</v>
      </c>
      <c r="AE89">
        <v>2019</v>
      </c>
      <c r="AF89" s="3">
        <v>41653</v>
      </c>
      <c r="AG89" s="3">
        <v>43571</v>
      </c>
      <c r="AH89" s="3">
        <v>44681</v>
      </c>
      <c r="AJ89" s="4">
        <f>VLOOKUP(A89,'[1]1'!B:Q,16,0)</f>
        <v>540</v>
      </c>
      <c r="AK89" s="7">
        <f t="shared" ref="AK89:AK102" si="4">AJ89/250</f>
        <v>2.16</v>
      </c>
      <c r="AL89" s="3">
        <v>44256</v>
      </c>
      <c r="AM89" s="3">
        <v>45443</v>
      </c>
      <c r="AN89">
        <v>-8.6679379999999995</v>
      </c>
      <c r="AO89">
        <v>115.22211919999999</v>
      </c>
      <c r="AP89" t="s">
        <v>573</v>
      </c>
      <c r="AQ89" s="5" t="s">
        <v>93</v>
      </c>
      <c r="AR89" s="5" t="s">
        <v>94</v>
      </c>
      <c r="AS89" t="s">
        <v>80</v>
      </c>
      <c r="AT89">
        <v>99.75</v>
      </c>
      <c r="AU89" t="s">
        <v>95</v>
      </c>
      <c r="AV89" t="s">
        <v>96</v>
      </c>
      <c r="AW89">
        <v>-8.6991940000000003</v>
      </c>
      <c r="AX89">
        <v>115.216222</v>
      </c>
      <c r="AY89" t="s">
        <v>506</v>
      </c>
      <c r="AZ89" t="s">
        <v>553</v>
      </c>
      <c r="BA89">
        <v>-8.7005730999999997</v>
      </c>
      <c r="BB89">
        <v>115.2196565</v>
      </c>
      <c r="BC89" t="s">
        <v>508</v>
      </c>
      <c r="BD89" t="s">
        <v>509</v>
      </c>
      <c r="BE89">
        <v>-8.6992445000000007</v>
      </c>
      <c r="BF89">
        <v>115.2139979</v>
      </c>
      <c r="BG89" t="s">
        <v>510</v>
      </c>
      <c r="BH89" t="s">
        <v>101</v>
      </c>
      <c r="BI89" t="s">
        <v>511</v>
      </c>
      <c r="BJ89">
        <v>3</v>
      </c>
      <c r="BL89">
        <v>1</v>
      </c>
      <c r="BM89" t="s">
        <v>103</v>
      </c>
      <c r="BN89">
        <v>5.5</v>
      </c>
      <c r="BO89" s="6">
        <v>1.1805555555555555E-2</v>
      </c>
      <c r="BP89">
        <v>3.54</v>
      </c>
      <c r="BQ89">
        <v>3.64</v>
      </c>
      <c r="BR89">
        <v>3.59</v>
      </c>
    </row>
    <row r="90" spans="1:70" ht="15" customHeight="1" x14ac:dyDescent="0.35">
      <c r="A90" s="1" t="str">
        <f t="shared" si="1"/>
        <v>494J</v>
      </c>
      <c r="B90" t="s">
        <v>574</v>
      </c>
      <c r="C90" t="s">
        <v>575</v>
      </c>
      <c r="D90" t="s">
        <v>576</v>
      </c>
      <c r="E90" t="s">
        <v>577</v>
      </c>
      <c r="F90" t="s">
        <v>516</v>
      </c>
      <c r="G90" t="s">
        <v>502</v>
      </c>
      <c r="H90" t="s">
        <v>502</v>
      </c>
      <c r="I90" t="s">
        <v>137</v>
      </c>
      <c r="J90" t="b">
        <v>0</v>
      </c>
      <c r="K90" t="s">
        <v>78</v>
      </c>
      <c r="L90" t="s">
        <v>79</v>
      </c>
      <c r="M90" t="s">
        <v>80</v>
      </c>
      <c r="N90" t="s">
        <v>81</v>
      </c>
      <c r="O90" t="s">
        <v>82</v>
      </c>
      <c r="P90" t="s">
        <v>83</v>
      </c>
      <c r="Q90" t="s">
        <v>503</v>
      </c>
      <c r="R90">
        <v>15</v>
      </c>
      <c r="S90" t="s">
        <v>121</v>
      </c>
      <c r="T90" t="s">
        <v>121</v>
      </c>
      <c r="U90">
        <v>1111111</v>
      </c>
      <c r="V90" t="s">
        <v>86</v>
      </c>
      <c r="W90" t="s">
        <v>504</v>
      </c>
      <c r="X90" t="s">
        <v>505</v>
      </c>
      <c r="Y90" t="s">
        <v>89</v>
      </c>
      <c r="Z90" t="s">
        <v>90</v>
      </c>
      <c r="AA90" t="s">
        <v>506</v>
      </c>
      <c r="AB90">
        <v>1</v>
      </c>
      <c r="AC90">
        <v>6</v>
      </c>
      <c r="AD90" t="b">
        <v>1</v>
      </c>
      <c r="AE90">
        <v>2019</v>
      </c>
      <c r="AF90" s="3">
        <v>41381</v>
      </c>
      <c r="AG90" s="3">
        <v>43581</v>
      </c>
      <c r="AH90" s="3">
        <v>44681</v>
      </c>
      <c r="AJ90" s="4">
        <f>VLOOKUP(A90,'[1]1'!B:Q,16,0)</f>
        <v>900</v>
      </c>
      <c r="AK90" s="7">
        <f t="shared" si="4"/>
        <v>3.6</v>
      </c>
      <c r="AL90" s="3">
        <v>44256</v>
      </c>
      <c r="AM90" s="3">
        <v>45443</v>
      </c>
      <c r="AN90">
        <v>-8.8089936000000009</v>
      </c>
      <c r="AO90">
        <v>115.1676186</v>
      </c>
      <c r="AP90" t="s">
        <v>578</v>
      </c>
      <c r="AQ90" s="5" t="s">
        <v>93</v>
      </c>
      <c r="AR90" s="5" t="s">
        <v>94</v>
      </c>
      <c r="AS90" t="s">
        <v>80</v>
      </c>
      <c r="AT90">
        <v>99.75</v>
      </c>
      <c r="AU90" t="s">
        <v>95</v>
      </c>
      <c r="AV90" t="s">
        <v>96</v>
      </c>
      <c r="AW90">
        <v>-8.6991940000000003</v>
      </c>
      <c r="AX90">
        <v>115.216222</v>
      </c>
      <c r="AY90" t="s">
        <v>506</v>
      </c>
      <c r="AZ90" t="s">
        <v>544</v>
      </c>
      <c r="BA90">
        <v>-8.6697652999999999</v>
      </c>
      <c r="BB90">
        <v>115.2459451</v>
      </c>
      <c r="BC90" t="s">
        <v>508</v>
      </c>
      <c r="BD90" t="s">
        <v>509</v>
      </c>
      <c r="BE90">
        <v>-8.6992445000000007</v>
      </c>
      <c r="BF90">
        <v>115.2139979</v>
      </c>
      <c r="BG90" t="s">
        <v>510</v>
      </c>
      <c r="BH90" t="s">
        <v>101</v>
      </c>
      <c r="BI90" t="s">
        <v>511</v>
      </c>
      <c r="BJ90">
        <v>3</v>
      </c>
      <c r="BL90">
        <v>1</v>
      </c>
      <c r="BM90" t="s">
        <v>103</v>
      </c>
      <c r="BN90">
        <v>27</v>
      </c>
      <c r="BO90" s="6">
        <v>3.4722222222222224E-2</v>
      </c>
      <c r="BP90">
        <v>12776.98</v>
      </c>
      <c r="BQ90">
        <v>12780.47</v>
      </c>
      <c r="BR90">
        <v>12776.73</v>
      </c>
    </row>
    <row r="91" spans="1:70" ht="15" customHeight="1" x14ac:dyDescent="0.35">
      <c r="A91" s="1" t="str">
        <f t="shared" si="1"/>
        <v>194Y</v>
      </c>
      <c r="B91" t="s">
        <v>579</v>
      </c>
      <c r="C91" t="s">
        <v>580</v>
      </c>
      <c r="D91" t="s">
        <v>581</v>
      </c>
      <c r="E91" t="s">
        <v>582</v>
      </c>
      <c r="F91" t="s">
        <v>583</v>
      </c>
      <c r="G91" t="s">
        <v>502</v>
      </c>
      <c r="H91" t="s">
        <v>502</v>
      </c>
      <c r="I91" t="s">
        <v>584</v>
      </c>
      <c r="J91" t="b">
        <v>1</v>
      </c>
      <c r="K91" t="s">
        <v>78</v>
      </c>
      <c r="L91" t="s">
        <v>79</v>
      </c>
      <c r="M91" t="s">
        <v>80</v>
      </c>
      <c r="N91" t="s">
        <v>81</v>
      </c>
      <c r="O91" t="s">
        <v>82</v>
      </c>
      <c r="P91" t="s">
        <v>83</v>
      </c>
      <c r="Q91" t="s">
        <v>503</v>
      </c>
      <c r="R91">
        <v>24</v>
      </c>
      <c r="S91" t="s">
        <v>85</v>
      </c>
      <c r="T91" t="s">
        <v>85</v>
      </c>
      <c r="U91">
        <v>1111111</v>
      </c>
      <c r="V91" t="s">
        <v>86</v>
      </c>
      <c r="W91" t="s">
        <v>550</v>
      </c>
      <c r="X91" t="s">
        <v>551</v>
      </c>
      <c r="Y91" t="s">
        <v>89</v>
      </c>
      <c r="Z91" t="s">
        <v>90</v>
      </c>
      <c r="AA91" t="s">
        <v>506</v>
      </c>
      <c r="AB91">
        <v>2</v>
      </c>
      <c r="AC91">
        <v>6</v>
      </c>
      <c r="AD91" t="b">
        <v>1</v>
      </c>
      <c r="AE91">
        <v>2021</v>
      </c>
      <c r="AF91" s="3">
        <v>41604</v>
      </c>
      <c r="AG91" s="3">
        <v>44457</v>
      </c>
      <c r="AH91" s="3">
        <v>45565</v>
      </c>
      <c r="AJ91" s="4">
        <f>VLOOKUP(A91,'[1]1'!B:Q,16,0)</f>
        <v>1440</v>
      </c>
      <c r="AK91" s="7">
        <f t="shared" si="4"/>
        <v>5.76</v>
      </c>
      <c r="AL91" s="3">
        <v>44256</v>
      </c>
      <c r="AM91" s="3">
        <v>45443</v>
      </c>
      <c r="AN91">
        <v>-8.5317352999999994</v>
      </c>
      <c r="AO91">
        <v>115.50658799999999</v>
      </c>
      <c r="AP91" t="s">
        <v>585</v>
      </c>
      <c r="AQ91" s="5" t="s">
        <v>93</v>
      </c>
      <c r="AR91" s="5" t="s">
        <v>94</v>
      </c>
      <c r="AS91" t="s">
        <v>80</v>
      </c>
      <c r="AT91">
        <v>99.75</v>
      </c>
      <c r="AU91" t="s">
        <v>95</v>
      </c>
      <c r="AV91" t="s">
        <v>96</v>
      </c>
      <c r="AW91">
        <v>-8.6991940000000003</v>
      </c>
      <c r="AX91">
        <v>115.216222</v>
      </c>
      <c r="AY91" t="s">
        <v>506</v>
      </c>
      <c r="AZ91" t="s">
        <v>558</v>
      </c>
      <c r="BA91">
        <v>-8.6819210000000009</v>
      </c>
      <c r="BB91">
        <v>115.2439892</v>
      </c>
      <c r="BC91" t="s">
        <v>508</v>
      </c>
      <c r="BD91" t="s">
        <v>509</v>
      </c>
      <c r="BE91">
        <v>-8.6992445000000007</v>
      </c>
      <c r="BF91">
        <v>115.2139979</v>
      </c>
      <c r="BG91" t="s">
        <v>285</v>
      </c>
      <c r="BH91" t="s">
        <v>101</v>
      </c>
      <c r="BI91" t="s">
        <v>102</v>
      </c>
      <c r="BJ91">
        <v>3</v>
      </c>
      <c r="BL91">
        <v>2</v>
      </c>
      <c r="BM91" t="s">
        <v>586</v>
      </c>
      <c r="BN91">
        <v>48</v>
      </c>
      <c r="BO91" s="6">
        <v>4.9305555555555554E-2</v>
      </c>
      <c r="BP91">
        <v>36.96</v>
      </c>
      <c r="BQ91">
        <v>33.35</v>
      </c>
      <c r="BR91">
        <v>37.17</v>
      </c>
    </row>
    <row r="92" spans="1:70" ht="15" customHeight="1" x14ac:dyDescent="0.35">
      <c r="A92" s="1" t="str">
        <f t="shared" si="1"/>
        <v>614Y</v>
      </c>
      <c r="B92" t="s">
        <v>587</v>
      </c>
      <c r="C92" t="s">
        <v>588</v>
      </c>
      <c r="D92" t="s">
        <v>589</v>
      </c>
      <c r="E92" t="s">
        <v>590</v>
      </c>
      <c r="F92" t="s">
        <v>501</v>
      </c>
      <c r="G92" t="s">
        <v>502</v>
      </c>
      <c r="H92" t="s">
        <v>502</v>
      </c>
      <c r="I92" t="s">
        <v>137</v>
      </c>
      <c r="J92" t="b">
        <v>0</v>
      </c>
      <c r="K92" t="s">
        <v>78</v>
      </c>
      <c r="L92" t="s">
        <v>79</v>
      </c>
      <c r="M92" t="s">
        <v>80</v>
      </c>
      <c r="N92" t="s">
        <v>81</v>
      </c>
      <c r="O92" t="s">
        <v>82</v>
      </c>
      <c r="P92" t="s">
        <v>83</v>
      </c>
      <c r="Q92" t="s">
        <v>549</v>
      </c>
      <c r="R92">
        <v>24</v>
      </c>
      <c r="S92" t="s">
        <v>85</v>
      </c>
      <c r="T92" t="s">
        <v>85</v>
      </c>
      <c r="U92">
        <v>1111111</v>
      </c>
      <c r="V92" t="s">
        <v>86</v>
      </c>
      <c r="W92" t="s">
        <v>550</v>
      </c>
      <c r="X92" t="s">
        <v>551</v>
      </c>
      <c r="Y92" t="s">
        <v>89</v>
      </c>
      <c r="Z92" t="s">
        <v>90</v>
      </c>
      <c r="AA92" t="s">
        <v>506</v>
      </c>
      <c r="AB92">
        <v>1</v>
      </c>
      <c r="AC92">
        <v>6</v>
      </c>
      <c r="AD92" t="b">
        <v>1</v>
      </c>
      <c r="AE92">
        <v>2019</v>
      </c>
      <c r="AF92" s="3">
        <v>41576</v>
      </c>
      <c r="AG92" s="3">
        <v>43573</v>
      </c>
      <c r="AH92" s="3">
        <v>44681</v>
      </c>
      <c r="AJ92" s="4">
        <f>VLOOKUP(A92,'[1]1'!B:Q,16,0)</f>
        <v>1440</v>
      </c>
      <c r="AK92" s="7">
        <f t="shared" si="4"/>
        <v>5.76</v>
      </c>
      <c r="AL92" s="3">
        <v>44256</v>
      </c>
      <c r="AM92" s="3">
        <v>45443</v>
      </c>
      <c r="AN92">
        <v>-8.6509242999999998</v>
      </c>
      <c r="AO92">
        <v>115.2246313</v>
      </c>
      <c r="AP92" t="s">
        <v>590</v>
      </c>
      <c r="AQ92" s="5" t="s">
        <v>93</v>
      </c>
      <c r="AR92" s="5" t="s">
        <v>94</v>
      </c>
      <c r="AS92" t="s">
        <v>80</v>
      </c>
      <c r="AT92">
        <v>99.75</v>
      </c>
      <c r="AU92" t="s">
        <v>95</v>
      </c>
      <c r="AV92" t="s">
        <v>96</v>
      </c>
      <c r="AW92">
        <v>-8.6991940000000003</v>
      </c>
      <c r="AX92">
        <v>115.216222</v>
      </c>
      <c r="AY92" t="s">
        <v>506</v>
      </c>
      <c r="AZ92" t="s">
        <v>553</v>
      </c>
      <c r="BA92">
        <v>-8.7005730999999997</v>
      </c>
      <c r="BB92">
        <v>115.2196565</v>
      </c>
      <c r="BC92" t="s">
        <v>508</v>
      </c>
      <c r="BD92" t="s">
        <v>509</v>
      </c>
      <c r="BE92">
        <v>-8.6992445000000007</v>
      </c>
      <c r="BF92">
        <v>115.2139979</v>
      </c>
      <c r="BG92" t="s">
        <v>510</v>
      </c>
      <c r="BH92" t="s">
        <v>101</v>
      </c>
      <c r="BI92" t="s">
        <v>511</v>
      </c>
      <c r="BJ92">
        <v>3</v>
      </c>
      <c r="BL92">
        <v>1</v>
      </c>
      <c r="BM92" t="s">
        <v>103</v>
      </c>
      <c r="BN92">
        <v>7</v>
      </c>
      <c r="BO92" s="6">
        <v>1.6666666666666666E-2</v>
      </c>
      <c r="BP92">
        <v>5.45</v>
      </c>
      <c r="BQ92">
        <v>5.55</v>
      </c>
      <c r="BR92">
        <v>5.5</v>
      </c>
    </row>
    <row r="93" spans="1:70" ht="15" customHeight="1" x14ac:dyDescent="0.35">
      <c r="A93" s="1" t="str">
        <f t="shared" si="1"/>
        <v>665M</v>
      </c>
      <c r="B93" t="s">
        <v>591</v>
      </c>
      <c r="C93" t="s">
        <v>592</v>
      </c>
      <c r="D93" t="s">
        <v>593</v>
      </c>
      <c r="E93" t="s">
        <v>594</v>
      </c>
      <c r="F93" t="s">
        <v>501</v>
      </c>
      <c r="G93" t="s">
        <v>502</v>
      </c>
      <c r="H93" t="s">
        <v>502</v>
      </c>
      <c r="I93" t="s">
        <v>137</v>
      </c>
      <c r="J93" t="b">
        <v>0</v>
      </c>
      <c r="K93" t="s">
        <v>78</v>
      </c>
      <c r="L93" t="s">
        <v>79</v>
      </c>
      <c r="N93" t="s">
        <v>81</v>
      </c>
      <c r="O93" t="s">
        <v>82</v>
      </c>
      <c r="P93" t="s">
        <v>83</v>
      </c>
      <c r="Q93" t="s">
        <v>503</v>
      </c>
      <c r="R93">
        <v>24</v>
      </c>
      <c r="S93" t="s">
        <v>85</v>
      </c>
      <c r="T93" t="s">
        <v>85</v>
      </c>
      <c r="U93">
        <v>1111111</v>
      </c>
      <c r="V93" t="s">
        <v>86</v>
      </c>
      <c r="W93" t="s">
        <v>523</v>
      </c>
      <c r="X93" t="s">
        <v>524</v>
      </c>
      <c r="Y93" t="s">
        <v>89</v>
      </c>
      <c r="Z93" t="s">
        <v>90</v>
      </c>
      <c r="AA93" t="s">
        <v>506</v>
      </c>
      <c r="AB93">
        <v>1</v>
      </c>
      <c r="AC93">
        <v>6</v>
      </c>
      <c r="AD93" t="b">
        <v>1</v>
      </c>
      <c r="AE93">
        <v>2020</v>
      </c>
      <c r="AF93" s="3">
        <v>367</v>
      </c>
      <c r="AG93" s="3">
        <v>44054</v>
      </c>
      <c r="AH93" s="3">
        <v>45169</v>
      </c>
      <c r="AJ93" s="4">
        <f>VLOOKUP(A93,'[1]1'!B:Q,16,0)</f>
        <v>1440</v>
      </c>
      <c r="AK93" s="7">
        <f t="shared" si="4"/>
        <v>5.76</v>
      </c>
      <c r="AL93" s="3">
        <v>44256</v>
      </c>
      <c r="AM93" s="3">
        <v>45443</v>
      </c>
      <c r="AN93">
        <v>-8.6954452</v>
      </c>
      <c r="AO93">
        <v>115.1904183</v>
      </c>
      <c r="AP93" t="s">
        <v>595</v>
      </c>
      <c r="AQ93" s="5" t="s">
        <v>93</v>
      </c>
      <c r="AR93" s="5" t="s">
        <v>94</v>
      </c>
      <c r="AS93" t="s">
        <v>80</v>
      </c>
      <c r="AT93">
        <v>99.75</v>
      </c>
      <c r="AU93" t="s">
        <v>95</v>
      </c>
      <c r="AV93" t="s">
        <v>96</v>
      </c>
      <c r="AW93">
        <v>-8.6991940000000003</v>
      </c>
      <c r="AX93">
        <v>115.216222</v>
      </c>
      <c r="AY93" t="s">
        <v>506</v>
      </c>
      <c r="AZ93" t="s">
        <v>507</v>
      </c>
      <c r="BA93">
        <v>-8.7120160000000002</v>
      </c>
      <c r="BB93">
        <v>115.19033400000001</v>
      </c>
      <c r="BC93" t="s">
        <v>508</v>
      </c>
      <c r="BD93" t="s">
        <v>509</v>
      </c>
      <c r="BE93">
        <v>-8.6992445000000007</v>
      </c>
      <c r="BF93">
        <v>115.2139979</v>
      </c>
      <c r="BG93" t="s">
        <v>100</v>
      </c>
      <c r="BH93" t="s">
        <v>101</v>
      </c>
      <c r="BI93" t="s">
        <v>102</v>
      </c>
      <c r="BJ93">
        <v>3</v>
      </c>
      <c r="BL93">
        <v>1</v>
      </c>
      <c r="BM93" t="s">
        <v>103</v>
      </c>
      <c r="BN93">
        <v>2.9</v>
      </c>
      <c r="BO93" s="6">
        <v>3.472222222222222E-3</v>
      </c>
      <c r="BP93">
        <v>2.87</v>
      </c>
      <c r="BQ93">
        <v>1.84</v>
      </c>
      <c r="BR93">
        <v>2.63</v>
      </c>
    </row>
    <row r="94" spans="1:70" ht="15" customHeight="1" x14ac:dyDescent="0.35">
      <c r="A94" s="1" t="str">
        <f t="shared" si="1"/>
        <v>0169</v>
      </c>
      <c r="B94" t="s">
        <v>596</v>
      </c>
      <c r="C94" t="s">
        <v>597</v>
      </c>
      <c r="D94" t="s">
        <v>598</v>
      </c>
      <c r="E94" t="s">
        <v>599</v>
      </c>
      <c r="F94" t="s">
        <v>516</v>
      </c>
      <c r="G94" t="s">
        <v>502</v>
      </c>
      <c r="H94" t="s">
        <v>502</v>
      </c>
      <c r="I94" t="s">
        <v>113</v>
      </c>
      <c r="J94" t="b">
        <v>1</v>
      </c>
      <c r="K94" t="s">
        <v>78</v>
      </c>
      <c r="L94" t="s">
        <v>79</v>
      </c>
      <c r="N94" t="s">
        <v>81</v>
      </c>
      <c r="O94" t="s">
        <v>82</v>
      </c>
      <c r="P94" t="s">
        <v>83</v>
      </c>
      <c r="Q94" t="s">
        <v>503</v>
      </c>
      <c r="R94">
        <v>24</v>
      </c>
      <c r="S94" t="s">
        <v>85</v>
      </c>
      <c r="T94" t="s">
        <v>85</v>
      </c>
      <c r="U94">
        <v>1111111</v>
      </c>
      <c r="V94" t="s">
        <v>86</v>
      </c>
      <c r="W94" t="s">
        <v>504</v>
      </c>
      <c r="X94" t="s">
        <v>505</v>
      </c>
      <c r="Y94" t="s">
        <v>89</v>
      </c>
      <c r="Z94" t="s">
        <v>90</v>
      </c>
      <c r="AA94" t="s">
        <v>506</v>
      </c>
      <c r="AB94">
        <v>1</v>
      </c>
      <c r="AC94">
        <v>6</v>
      </c>
      <c r="AD94" t="b">
        <v>1</v>
      </c>
      <c r="AE94">
        <v>2020</v>
      </c>
      <c r="AF94" s="3">
        <v>367</v>
      </c>
      <c r="AG94" s="3">
        <v>44067</v>
      </c>
      <c r="AH94" s="3">
        <v>45169</v>
      </c>
      <c r="AJ94" s="4">
        <f>VLOOKUP(A94,'[1]1'!B:Q,16,0)</f>
        <v>1440</v>
      </c>
      <c r="AK94" s="7">
        <f t="shared" si="4"/>
        <v>5.76</v>
      </c>
      <c r="AL94" s="3">
        <v>44256</v>
      </c>
      <c r="AM94" s="3">
        <v>45443</v>
      </c>
      <c r="AN94">
        <v>-8.7903816999999993</v>
      </c>
      <c r="AO94">
        <v>115.2292818</v>
      </c>
      <c r="AP94" t="s">
        <v>600</v>
      </c>
      <c r="AQ94" s="5" t="s">
        <v>93</v>
      </c>
      <c r="AR94" s="5" t="s">
        <v>94</v>
      </c>
      <c r="AS94" t="s">
        <v>80</v>
      </c>
      <c r="AT94">
        <v>99.75</v>
      </c>
      <c r="AU94" t="s">
        <v>95</v>
      </c>
      <c r="AV94" t="s">
        <v>96</v>
      </c>
      <c r="AW94">
        <v>-8.6991940000000003</v>
      </c>
      <c r="AX94">
        <v>115.216222</v>
      </c>
      <c r="AY94" t="s">
        <v>506</v>
      </c>
      <c r="AZ94" t="s">
        <v>507</v>
      </c>
      <c r="BA94">
        <v>-8.7120160000000002</v>
      </c>
      <c r="BB94">
        <v>115.19033400000001</v>
      </c>
      <c r="BC94" t="s">
        <v>508</v>
      </c>
      <c r="BD94" t="s">
        <v>509</v>
      </c>
      <c r="BE94">
        <v>-8.6992445000000007</v>
      </c>
      <c r="BF94">
        <v>115.2139979</v>
      </c>
      <c r="BG94" t="s">
        <v>100</v>
      </c>
      <c r="BH94" t="s">
        <v>101</v>
      </c>
      <c r="BI94" t="s">
        <v>102</v>
      </c>
      <c r="BJ94">
        <v>3</v>
      </c>
      <c r="BL94">
        <v>1</v>
      </c>
      <c r="BM94" t="s">
        <v>103</v>
      </c>
      <c r="BN94">
        <v>3.4</v>
      </c>
      <c r="BO94" s="6">
        <v>3.472222222222222E-3</v>
      </c>
      <c r="BP94">
        <v>5.27</v>
      </c>
      <c r="BQ94">
        <v>2.29</v>
      </c>
      <c r="BR94">
        <v>5.08</v>
      </c>
    </row>
    <row r="95" spans="1:70" ht="15" customHeight="1" x14ac:dyDescent="0.35">
      <c r="A95" s="1" t="str">
        <f t="shared" si="1"/>
        <v>00F5</v>
      </c>
      <c r="B95" t="s">
        <v>601</v>
      </c>
      <c r="C95" t="s">
        <v>602</v>
      </c>
      <c r="D95" t="s">
        <v>603</v>
      </c>
      <c r="E95" t="s">
        <v>604</v>
      </c>
      <c r="F95" t="s">
        <v>537</v>
      </c>
      <c r="G95" t="s">
        <v>502</v>
      </c>
      <c r="H95" t="s">
        <v>502</v>
      </c>
      <c r="I95" t="s">
        <v>113</v>
      </c>
      <c r="J95" t="b">
        <v>0</v>
      </c>
      <c r="K95" t="s">
        <v>78</v>
      </c>
      <c r="L95" t="s">
        <v>79</v>
      </c>
      <c r="N95" t="s">
        <v>81</v>
      </c>
      <c r="O95" t="s">
        <v>82</v>
      </c>
      <c r="P95" t="s">
        <v>83</v>
      </c>
      <c r="Q95" t="s">
        <v>503</v>
      </c>
      <c r="R95">
        <v>24</v>
      </c>
      <c r="S95" t="s">
        <v>85</v>
      </c>
      <c r="T95" t="s">
        <v>85</v>
      </c>
      <c r="U95">
        <v>1111111</v>
      </c>
      <c r="V95" t="s">
        <v>86</v>
      </c>
      <c r="W95" t="s">
        <v>529</v>
      </c>
      <c r="X95" t="s">
        <v>530</v>
      </c>
      <c r="Y95" t="s">
        <v>89</v>
      </c>
      <c r="Z95" t="s">
        <v>90</v>
      </c>
      <c r="AA95" t="s">
        <v>506</v>
      </c>
      <c r="AB95">
        <v>2</v>
      </c>
      <c r="AC95">
        <v>6</v>
      </c>
      <c r="AD95" t="b">
        <v>1</v>
      </c>
      <c r="AE95">
        <v>2021</v>
      </c>
      <c r="AF95" s="3">
        <v>367</v>
      </c>
      <c r="AG95" s="3">
        <v>44457</v>
      </c>
      <c r="AH95" s="3">
        <v>45565</v>
      </c>
      <c r="AJ95" s="4">
        <f>VLOOKUP(A95,'[1]1'!B:Q,16,0)</f>
        <v>1440</v>
      </c>
      <c r="AK95" s="7">
        <f t="shared" si="4"/>
        <v>5.76</v>
      </c>
      <c r="AL95" s="3">
        <v>44256</v>
      </c>
      <c r="AM95" s="3">
        <v>45443</v>
      </c>
      <c r="AN95">
        <v>-8.5041898000000007</v>
      </c>
      <c r="AO95">
        <v>115.24511339999999</v>
      </c>
      <c r="AP95" t="s">
        <v>605</v>
      </c>
      <c r="AQ95" s="5" t="s">
        <v>93</v>
      </c>
      <c r="AR95" s="5" t="s">
        <v>94</v>
      </c>
      <c r="AS95" t="s">
        <v>80</v>
      </c>
      <c r="AT95">
        <v>99.75</v>
      </c>
      <c r="AU95" t="s">
        <v>95</v>
      </c>
      <c r="AV95" t="s">
        <v>96</v>
      </c>
      <c r="AW95">
        <v>-8.6991940000000003</v>
      </c>
      <c r="AX95">
        <v>115.216222</v>
      </c>
      <c r="AY95" t="s">
        <v>506</v>
      </c>
      <c r="AZ95" t="s">
        <v>558</v>
      </c>
      <c r="BA95">
        <v>-8.6819210000000009</v>
      </c>
      <c r="BB95">
        <v>115.2439892</v>
      </c>
      <c r="BC95" t="s">
        <v>508</v>
      </c>
      <c r="BD95" t="s">
        <v>509</v>
      </c>
      <c r="BE95">
        <v>-8.6992445000000007</v>
      </c>
      <c r="BF95">
        <v>115.2139979</v>
      </c>
      <c r="BG95" t="s">
        <v>285</v>
      </c>
      <c r="BH95" t="s">
        <v>101</v>
      </c>
      <c r="BI95" t="s">
        <v>102</v>
      </c>
      <c r="BJ95">
        <v>3</v>
      </c>
      <c r="BL95">
        <v>2</v>
      </c>
      <c r="BM95" t="s">
        <v>103</v>
      </c>
      <c r="BN95">
        <v>31.6</v>
      </c>
      <c r="BO95" s="6">
        <v>4.2361111111111113E-2</v>
      </c>
      <c r="BP95">
        <v>21.93</v>
      </c>
      <c r="BQ95">
        <v>18.62</v>
      </c>
      <c r="BR95">
        <v>22.09</v>
      </c>
    </row>
    <row r="96" spans="1:70" ht="15" customHeight="1" x14ac:dyDescent="0.35">
      <c r="A96" s="1" t="str">
        <f t="shared" si="1"/>
        <v>619E</v>
      </c>
      <c r="B96" t="s">
        <v>606</v>
      </c>
      <c r="C96" t="s">
        <v>607</v>
      </c>
      <c r="D96" t="s">
        <v>608</v>
      </c>
      <c r="E96" t="s">
        <v>609</v>
      </c>
      <c r="F96" t="s">
        <v>501</v>
      </c>
      <c r="G96" t="s">
        <v>502</v>
      </c>
      <c r="H96" t="s">
        <v>502</v>
      </c>
      <c r="I96" t="s">
        <v>137</v>
      </c>
      <c r="J96" t="b">
        <v>0</v>
      </c>
      <c r="K96" t="s">
        <v>78</v>
      </c>
      <c r="L96" t="s">
        <v>79</v>
      </c>
      <c r="N96" t="s">
        <v>81</v>
      </c>
      <c r="O96" t="s">
        <v>82</v>
      </c>
      <c r="P96" t="s">
        <v>83</v>
      </c>
      <c r="Q96" t="s">
        <v>503</v>
      </c>
      <c r="R96">
        <v>24</v>
      </c>
      <c r="S96" t="s">
        <v>85</v>
      </c>
      <c r="T96" t="s">
        <v>85</v>
      </c>
      <c r="U96">
        <v>1111111</v>
      </c>
      <c r="V96" t="s">
        <v>86</v>
      </c>
      <c r="W96" t="s">
        <v>529</v>
      </c>
      <c r="X96" t="s">
        <v>530</v>
      </c>
      <c r="Y96" t="s">
        <v>89</v>
      </c>
      <c r="Z96" t="s">
        <v>90</v>
      </c>
      <c r="AA96" t="s">
        <v>506</v>
      </c>
      <c r="AB96">
        <v>1</v>
      </c>
      <c r="AC96">
        <v>6</v>
      </c>
      <c r="AD96" t="b">
        <v>1</v>
      </c>
      <c r="AE96">
        <v>2021</v>
      </c>
      <c r="AF96" s="3">
        <v>367</v>
      </c>
      <c r="AG96" s="3">
        <v>44459</v>
      </c>
      <c r="AH96" s="3">
        <v>45565</v>
      </c>
      <c r="AJ96" s="4">
        <f>VLOOKUP(A96,'[1]1'!B:Q,16,0)</f>
        <v>1440</v>
      </c>
      <c r="AK96" s="7">
        <f t="shared" si="4"/>
        <v>5.76</v>
      </c>
      <c r="AL96" s="3">
        <v>44256</v>
      </c>
      <c r="AM96" s="3">
        <v>45443</v>
      </c>
      <c r="AN96">
        <v>-8.6836886</v>
      </c>
      <c r="AO96">
        <v>115.1826141</v>
      </c>
      <c r="AP96" t="s">
        <v>610</v>
      </c>
      <c r="AQ96" s="5" t="s">
        <v>93</v>
      </c>
      <c r="AR96" s="5" t="s">
        <v>94</v>
      </c>
      <c r="AS96" t="s">
        <v>80</v>
      </c>
      <c r="AT96">
        <v>99.75</v>
      </c>
      <c r="AU96" t="s">
        <v>95</v>
      </c>
      <c r="AV96" t="s">
        <v>96</v>
      </c>
      <c r="AW96">
        <v>-8.6991940000000003</v>
      </c>
      <c r="AX96">
        <v>115.216222</v>
      </c>
      <c r="AY96" t="s">
        <v>506</v>
      </c>
      <c r="AZ96" t="s">
        <v>507</v>
      </c>
      <c r="BA96">
        <v>-8.7120160000000002</v>
      </c>
      <c r="BB96">
        <v>115.19033400000001</v>
      </c>
      <c r="BC96" t="s">
        <v>508</v>
      </c>
      <c r="BD96" t="s">
        <v>509</v>
      </c>
      <c r="BE96">
        <v>-8.6992445000000007</v>
      </c>
      <c r="BF96">
        <v>115.2139979</v>
      </c>
      <c r="BG96" t="s">
        <v>285</v>
      </c>
      <c r="BH96" t="s">
        <v>101</v>
      </c>
      <c r="BI96" t="s">
        <v>102</v>
      </c>
      <c r="BJ96">
        <v>3</v>
      </c>
      <c r="BL96">
        <v>1</v>
      </c>
      <c r="BM96" t="s">
        <v>103</v>
      </c>
      <c r="BN96">
        <v>6.7</v>
      </c>
      <c r="BO96" s="6">
        <v>1.3888888888888888E-2</v>
      </c>
      <c r="BP96">
        <v>4.08</v>
      </c>
      <c r="BQ96">
        <v>3.26</v>
      </c>
      <c r="BR96">
        <v>3.86</v>
      </c>
    </row>
    <row r="97" spans="1:70" ht="15" customHeight="1" x14ac:dyDescent="0.35">
      <c r="A97" s="1" t="str">
        <f t="shared" si="1"/>
        <v>664B</v>
      </c>
      <c r="B97" t="s">
        <v>611</v>
      </c>
      <c r="C97" t="s">
        <v>607</v>
      </c>
      <c r="D97" t="s">
        <v>612</v>
      </c>
      <c r="E97" t="s">
        <v>609</v>
      </c>
      <c r="F97" t="s">
        <v>501</v>
      </c>
      <c r="G97" t="s">
        <v>502</v>
      </c>
      <c r="H97" t="s">
        <v>502</v>
      </c>
      <c r="I97" t="s">
        <v>137</v>
      </c>
      <c r="J97" t="b">
        <v>0</v>
      </c>
      <c r="K97" t="s">
        <v>78</v>
      </c>
      <c r="L97" t="s">
        <v>79</v>
      </c>
      <c r="N97" t="s">
        <v>81</v>
      </c>
      <c r="O97" t="s">
        <v>82</v>
      </c>
      <c r="P97" t="s">
        <v>83</v>
      </c>
      <c r="Q97" t="s">
        <v>503</v>
      </c>
      <c r="R97">
        <v>24</v>
      </c>
      <c r="S97" t="s">
        <v>85</v>
      </c>
      <c r="T97" t="s">
        <v>85</v>
      </c>
      <c r="U97">
        <v>1111111</v>
      </c>
      <c r="V97" t="s">
        <v>86</v>
      </c>
      <c r="W97" t="s">
        <v>529</v>
      </c>
      <c r="X97" t="s">
        <v>530</v>
      </c>
      <c r="Y97" t="s">
        <v>89</v>
      </c>
      <c r="Z97" t="s">
        <v>90</v>
      </c>
      <c r="AA97" t="s">
        <v>506</v>
      </c>
      <c r="AB97">
        <v>1</v>
      </c>
      <c r="AC97">
        <v>6</v>
      </c>
      <c r="AD97" t="b">
        <v>1</v>
      </c>
      <c r="AE97">
        <v>2021</v>
      </c>
      <c r="AF97" s="3">
        <v>367</v>
      </c>
      <c r="AG97" s="3">
        <v>44459</v>
      </c>
      <c r="AH97" s="3">
        <v>45565</v>
      </c>
      <c r="AJ97" s="4">
        <f>VLOOKUP(A97,'[1]1'!B:Q,16,0)</f>
        <v>1440</v>
      </c>
      <c r="AK97" s="7">
        <f t="shared" si="4"/>
        <v>5.76</v>
      </c>
      <c r="AL97" s="3">
        <v>44256</v>
      </c>
      <c r="AM97" s="3">
        <v>45443</v>
      </c>
      <c r="AN97">
        <v>-8.6837877999999993</v>
      </c>
      <c r="AO97">
        <v>115.1826026</v>
      </c>
      <c r="AP97" t="s">
        <v>613</v>
      </c>
      <c r="AQ97" s="5" t="s">
        <v>93</v>
      </c>
      <c r="AR97" s="5" t="s">
        <v>94</v>
      </c>
      <c r="AS97" t="s">
        <v>80</v>
      </c>
      <c r="AT97">
        <v>99.75</v>
      </c>
      <c r="AU97" t="s">
        <v>95</v>
      </c>
      <c r="AV97" t="s">
        <v>96</v>
      </c>
      <c r="AW97">
        <v>-8.6991940000000003</v>
      </c>
      <c r="AX97">
        <v>115.216222</v>
      </c>
      <c r="AY97" t="s">
        <v>506</v>
      </c>
      <c r="AZ97" t="s">
        <v>507</v>
      </c>
      <c r="BA97">
        <v>-8.7120160000000002</v>
      </c>
      <c r="BB97">
        <v>115.19033400000001</v>
      </c>
      <c r="BC97" t="s">
        <v>508</v>
      </c>
      <c r="BD97" t="s">
        <v>509</v>
      </c>
      <c r="BE97">
        <v>-8.6992445000000007</v>
      </c>
      <c r="BF97">
        <v>115.2139979</v>
      </c>
      <c r="BG97" t="s">
        <v>285</v>
      </c>
      <c r="BH97" t="s">
        <v>101</v>
      </c>
      <c r="BI97" t="s">
        <v>102</v>
      </c>
      <c r="BJ97">
        <v>3</v>
      </c>
      <c r="BL97">
        <v>1</v>
      </c>
      <c r="BM97" t="s">
        <v>103</v>
      </c>
      <c r="BN97">
        <v>6.7</v>
      </c>
      <c r="BO97" s="6">
        <v>1.3888888888888888E-2</v>
      </c>
      <c r="BP97">
        <v>4.07</v>
      </c>
      <c r="BQ97">
        <v>3.25</v>
      </c>
      <c r="BR97">
        <v>3.86</v>
      </c>
    </row>
    <row r="98" spans="1:70" ht="15" customHeight="1" x14ac:dyDescent="0.35">
      <c r="A98" s="1" t="str">
        <f t="shared" si="1"/>
        <v>032L</v>
      </c>
      <c r="B98" t="s">
        <v>614</v>
      </c>
      <c r="C98" t="s">
        <v>615</v>
      </c>
      <c r="D98" t="s">
        <v>616</v>
      </c>
      <c r="E98" t="s">
        <v>617</v>
      </c>
      <c r="F98" t="s">
        <v>516</v>
      </c>
      <c r="G98" t="s">
        <v>502</v>
      </c>
      <c r="H98" t="s">
        <v>502</v>
      </c>
      <c r="I98" t="s">
        <v>148</v>
      </c>
      <c r="J98" t="b">
        <v>0</v>
      </c>
      <c r="K98" t="s">
        <v>78</v>
      </c>
      <c r="L98" t="s">
        <v>79</v>
      </c>
      <c r="N98" t="s">
        <v>81</v>
      </c>
      <c r="O98" t="s">
        <v>82</v>
      </c>
      <c r="P98" t="s">
        <v>83</v>
      </c>
      <c r="Q98" t="s">
        <v>503</v>
      </c>
      <c r="R98">
        <v>24</v>
      </c>
      <c r="S98" t="s">
        <v>85</v>
      </c>
      <c r="T98" t="s">
        <v>121</v>
      </c>
      <c r="U98">
        <v>1111111</v>
      </c>
      <c r="V98" t="s">
        <v>122</v>
      </c>
      <c r="W98" t="s">
        <v>523</v>
      </c>
      <c r="X98" t="s">
        <v>524</v>
      </c>
      <c r="Y98" t="s">
        <v>89</v>
      </c>
      <c r="Z98" t="s">
        <v>90</v>
      </c>
      <c r="AA98" t="s">
        <v>506</v>
      </c>
      <c r="AB98">
        <v>1</v>
      </c>
      <c r="AC98">
        <v>6</v>
      </c>
      <c r="AD98" t="b">
        <v>1</v>
      </c>
      <c r="AE98">
        <v>2022</v>
      </c>
      <c r="AF98" s="3">
        <v>367</v>
      </c>
      <c r="AG98" s="3">
        <v>44715</v>
      </c>
      <c r="AH98" s="3">
        <v>45818</v>
      </c>
      <c r="AJ98" s="4">
        <f>VLOOKUP(A98,'[1]1'!B:Q,16,0)</f>
        <v>1440</v>
      </c>
      <c r="AK98" s="7">
        <f t="shared" si="4"/>
        <v>5.76</v>
      </c>
      <c r="AL98" s="3">
        <v>367</v>
      </c>
      <c r="AM98" s="3">
        <v>367</v>
      </c>
      <c r="AN98">
        <v>-8.7430035999999998</v>
      </c>
      <c r="AO98">
        <v>115.18220289999999</v>
      </c>
      <c r="AP98" t="s">
        <v>618</v>
      </c>
      <c r="AT98">
        <v>99.75</v>
      </c>
      <c r="AW98">
        <v>0</v>
      </c>
      <c r="AX98">
        <v>0</v>
      </c>
      <c r="BA98">
        <v>0</v>
      </c>
      <c r="BB98">
        <v>0</v>
      </c>
      <c r="BE98">
        <v>0</v>
      </c>
      <c r="BF98">
        <v>0</v>
      </c>
      <c r="BJ98">
        <v>0</v>
      </c>
      <c r="BL98">
        <v>0</v>
      </c>
      <c r="BN98">
        <v>0</v>
      </c>
      <c r="BO98" s="6">
        <v>0</v>
      </c>
      <c r="BP98">
        <v>0</v>
      </c>
      <c r="BQ98">
        <v>0</v>
      </c>
      <c r="BR98">
        <v>0</v>
      </c>
    </row>
    <row r="99" spans="1:70" ht="15" customHeight="1" x14ac:dyDescent="0.35">
      <c r="A99" s="1" t="str">
        <f t="shared" si="1"/>
        <v>334R</v>
      </c>
      <c r="B99" t="s">
        <v>619</v>
      </c>
      <c r="C99" t="s">
        <v>620</v>
      </c>
      <c r="D99" t="s">
        <v>621</v>
      </c>
      <c r="E99" t="s">
        <v>622</v>
      </c>
      <c r="F99" t="s">
        <v>516</v>
      </c>
      <c r="G99" t="s">
        <v>502</v>
      </c>
      <c r="H99" t="s">
        <v>502</v>
      </c>
      <c r="I99" t="s">
        <v>148</v>
      </c>
      <c r="J99" t="b">
        <v>0</v>
      </c>
      <c r="K99" t="s">
        <v>78</v>
      </c>
      <c r="L99" t="s">
        <v>79</v>
      </c>
      <c r="N99" t="s">
        <v>81</v>
      </c>
      <c r="O99" t="s">
        <v>82</v>
      </c>
      <c r="P99" t="s">
        <v>83</v>
      </c>
      <c r="Q99" t="s">
        <v>503</v>
      </c>
      <c r="R99">
        <v>24</v>
      </c>
      <c r="S99" t="s">
        <v>85</v>
      </c>
      <c r="T99" t="s">
        <v>121</v>
      </c>
      <c r="U99">
        <v>1111111</v>
      </c>
      <c r="V99" t="s">
        <v>122</v>
      </c>
      <c r="W99" t="s">
        <v>504</v>
      </c>
      <c r="X99" t="s">
        <v>505</v>
      </c>
      <c r="Y99" t="s">
        <v>89</v>
      </c>
      <c r="Z99" t="s">
        <v>90</v>
      </c>
      <c r="AA99" t="s">
        <v>506</v>
      </c>
      <c r="AB99">
        <v>1</v>
      </c>
      <c r="AC99">
        <v>6</v>
      </c>
      <c r="AD99" t="b">
        <v>1</v>
      </c>
      <c r="AE99">
        <v>2022</v>
      </c>
      <c r="AF99" s="3">
        <v>367</v>
      </c>
      <c r="AG99" s="3">
        <v>44725</v>
      </c>
      <c r="AH99" s="3">
        <v>45818</v>
      </c>
      <c r="AJ99" s="4">
        <f>VLOOKUP(A99,'[1]1'!B:Q,16,0)</f>
        <v>1440</v>
      </c>
      <c r="AK99" s="7">
        <f t="shared" si="4"/>
        <v>5.76</v>
      </c>
      <c r="AL99" s="3">
        <v>367</v>
      </c>
      <c r="AM99" s="3">
        <v>367</v>
      </c>
      <c r="AN99">
        <v>-8.8198609999999995</v>
      </c>
      <c r="AO99">
        <v>115.1524161</v>
      </c>
      <c r="AP99" t="s">
        <v>622</v>
      </c>
      <c r="AT99">
        <v>99.75</v>
      </c>
      <c r="AW99">
        <v>0</v>
      </c>
      <c r="AX99">
        <v>0</v>
      </c>
      <c r="BA99">
        <v>0</v>
      </c>
      <c r="BB99">
        <v>0</v>
      </c>
      <c r="BE99">
        <v>0</v>
      </c>
      <c r="BF99">
        <v>0</v>
      </c>
      <c r="BJ99">
        <v>0</v>
      </c>
      <c r="BL99">
        <v>0</v>
      </c>
      <c r="BN99">
        <v>0</v>
      </c>
      <c r="BO99" s="6">
        <v>0</v>
      </c>
      <c r="BP99">
        <v>0</v>
      </c>
      <c r="BQ99">
        <v>0</v>
      </c>
      <c r="BR99">
        <v>0</v>
      </c>
    </row>
    <row r="100" spans="1:70" ht="15" customHeight="1" x14ac:dyDescent="0.35">
      <c r="A100" s="1" t="str">
        <f t="shared" si="1"/>
        <v>305P</v>
      </c>
      <c r="B100" t="s">
        <v>623</v>
      </c>
      <c r="C100" t="s">
        <v>624</v>
      </c>
      <c r="D100" t="s">
        <v>625</v>
      </c>
      <c r="E100" t="s">
        <v>626</v>
      </c>
      <c r="F100" t="s">
        <v>516</v>
      </c>
      <c r="G100" t="s">
        <v>502</v>
      </c>
      <c r="H100" t="s">
        <v>502</v>
      </c>
      <c r="I100" t="s">
        <v>137</v>
      </c>
      <c r="J100" t="b">
        <v>0</v>
      </c>
      <c r="K100" t="s">
        <v>78</v>
      </c>
      <c r="L100" t="s">
        <v>79</v>
      </c>
      <c r="N100" t="s">
        <v>81</v>
      </c>
      <c r="O100" t="s">
        <v>82</v>
      </c>
      <c r="P100" t="s">
        <v>83</v>
      </c>
      <c r="Q100" t="s">
        <v>503</v>
      </c>
      <c r="R100">
        <v>24</v>
      </c>
      <c r="S100" t="s">
        <v>85</v>
      </c>
      <c r="T100" t="s">
        <v>121</v>
      </c>
      <c r="U100">
        <v>1111111</v>
      </c>
      <c r="V100" t="s">
        <v>122</v>
      </c>
      <c r="W100" t="s">
        <v>571</v>
      </c>
      <c r="X100" t="s">
        <v>572</v>
      </c>
      <c r="Y100" t="s">
        <v>89</v>
      </c>
      <c r="Z100" t="s">
        <v>90</v>
      </c>
      <c r="AA100" t="s">
        <v>506</v>
      </c>
      <c r="AB100">
        <v>1</v>
      </c>
      <c r="AC100">
        <v>6</v>
      </c>
      <c r="AD100" t="b">
        <v>1</v>
      </c>
      <c r="AE100">
        <v>2022</v>
      </c>
      <c r="AF100" s="3">
        <v>367</v>
      </c>
      <c r="AG100" s="3">
        <v>44725</v>
      </c>
      <c r="AH100" s="3">
        <v>45818</v>
      </c>
      <c r="AJ100" s="4">
        <f>VLOOKUP(A100,'[1]1'!B:Q,16,0)</f>
        <v>1440</v>
      </c>
      <c r="AK100" s="7">
        <f t="shared" si="4"/>
        <v>5.76</v>
      </c>
      <c r="AL100" s="3">
        <v>367</v>
      </c>
      <c r="AM100" s="3">
        <v>367</v>
      </c>
      <c r="AN100">
        <v>-8.6464964999999996</v>
      </c>
      <c r="AO100">
        <v>115.17350020000001</v>
      </c>
      <c r="AP100" t="s">
        <v>627</v>
      </c>
      <c r="AT100">
        <v>99.75</v>
      </c>
      <c r="AW100">
        <v>0</v>
      </c>
      <c r="AX100">
        <v>0</v>
      </c>
      <c r="BA100">
        <v>0</v>
      </c>
      <c r="BB100">
        <v>0</v>
      </c>
      <c r="BE100">
        <v>0</v>
      </c>
      <c r="BF100">
        <v>0</v>
      </c>
      <c r="BJ100">
        <v>0</v>
      </c>
      <c r="BL100">
        <v>0</v>
      </c>
      <c r="BN100">
        <v>0</v>
      </c>
      <c r="BO100" s="6">
        <v>0</v>
      </c>
      <c r="BP100">
        <v>0</v>
      </c>
      <c r="BQ100">
        <v>0</v>
      </c>
      <c r="BR100">
        <v>0</v>
      </c>
    </row>
    <row r="101" spans="1:70" ht="15" customHeight="1" x14ac:dyDescent="0.35">
      <c r="A101" s="1" t="str">
        <f t="shared" si="1"/>
        <v>305Q</v>
      </c>
      <c r="B101" t="s">
        <v>628</v>
      </c>
      <c r="C101" t="s">
        <v>629</v>
      </c>
      <c r="D101" t="s">
        <v>630</v>
      </c>
      <c r="E101" t="s">
        <v>631</v>
      </c>
      <c r="F101" t="s">
        <v>516</v>
      </c>
      <c r="G101" t="s">
        <v>502</v>
      </c>
      <c r="H101" t="s">
        <v>502</v>
      </c>
      <c r="I101" t="s">
        <v>137</v>
      </c>
      <c r="J101" t="b">
        <v>0</v>
      </c>
      <c r="K101" t="s">
        <v>78</v>
      </c>
      <c r="L101" t="s">
        <v>79</v>
      </c>
      <c r="N101" t="s">
        <v>81</v>
      </c>
      <c r="O101" t="s">
        <v>82</v>
      </c>
      <c r="P101" t="s">
        <v>83</v>
      </c>
      <c r="Q101" t="s">
        <v>503</v>
      </c>
      <c r="R101">
        <v>15</v>
      </c>
      <c r="S101" t="s">
        <v>85</v>
      </c>
      <c r="T101" t="s">
        <v>121</v>
      </c>
      <c r="U101">
        <v>1111111</v>
      </c>
      <c r="V101" t="s">
        <v>122</v>
      </c>
      <c r="W101" t="s">
        <v>517</v>
      </c>
      <c r="X101" t="s">
        <v>518</v>
      </c>
      <c r="Y101" t="s">
        <v>89</v>
      </c>
      <c r="Z101" t="s">
        <v>90</v>
      </c>
      <c r="AA101" t="s">
        <v>506</v>
      </c>
      <c r="AB101">
        <v>1</v>
      </c>
      <c r="AC101">
        <v>6</v>
      </c>
      <c r="AD101" t="b">
        <v>1</v>
      </c>
      <c r="AE101">
        <v>2022</v>
      </c>
      <c r="AF101" s="3">
        <v>367</v>
      </c>
      <c r="AG101" s="3">
        <v>44725</v>
      </c>
      <c r="AH101" s="3">
        <v>45818</v>
      </c>
      <c r="AJ101" s="4">
        <f>VLOOKUP(A101,'[1]1'!B:Q,16,0)</f>
        <v>1440</v>
      </c>
      <c r="AK101" s="7">
        <f t="shared" si="4"/>
        <v>5.76</v>
      </c>
      <c r="AL101" s="3">
        <v>367</v>
      </c>
      <c r="AM101" s="3">
        <v>367</v>
      </c>
      <c r="AN101">
        <v>-8.6239790999999997</v>
      </c>
      <c r="AO101">
        <v>115.12293510000001</v>
      </c>
      <c r="AP101" t="s">
        <v>632</v>
      </c>
      <c r="AT101">
        <v>99.75</v>
      </c>
      <c r="AW101">
        <v>0</v>
      </c>
      <c r="AX101">
        <v>0</v>
      </c>
      <c r="BA101">
        <v>0</v>
      </c>
      <c r="BB101">
        <v>0</v>
      </c>
      <c r="BE101">
        <v>0</v>
      </c>
      <c r="BF101">
        <v>0</v>
      </c>
      <c r="BJ101">
        <v>0</v>
      </c>
      <c r="BL101">
        <v>0</v>
      </c>
      <c r="BN101">
        <v>0</v>
      </c>
      <c r="BO101" s="6">
        <v>0</v>
      </c>
      <c r="BP101">
        <v>0</v>
      </c>
      <c r="BQ101">
        <v>0</v>
      </c>
      <c r="BR101">
        <v>0</v>
      </c>
    </row>
    <row r="102" spans="1:70" ht="15" customHeight="1" x14ac:dyDescent="0.35">
      <c r="A102" s="1" t="str">
        <f t="shared" si="1"/>
        <v>320T</v>
      </c>
      <c r="B102" t="s">
        <v>633</v>
      </c>
      <c r="C102" t="s">
        <v>634</v>
      </c>
      <c r="D102" t="s">
        <v>635</v>
      </c>
      <c r="E102" t="s">
        <v>636</v>
      </c>
      <c r="F102" t="s">
        <v>516</v>
      </c>
      <c r="G102" t="s">
        <v>502</v>
      </c>
      <c r="H102" t="s">
        <v>502</v>
      </c>
      <c r="I102" t="s">
        <v>113</v>
      </c>
      <c r="J102" t="b">
        <v>1</v>
      </c>
      <c r="K102" t="s">
        <v>78</v>
      </c>
      <c r="L102" t="s">
        <v>79</v>
      </c>
      <c r="N102" t="s">
        <v>81</v>
      </c>
      <c r="O102" t="s">
        <v>82</v>
      </c>
      <c r="P102" t="s">
        <v>83</v>
      </c>
      <c r="Q102" t="s">
        <v>503</v>
      </c>
      <c r="R102">
        <v>24</v>
      </c>
      <c r="S102" t="s">
        <v>85</v>
      </c>
      <c r="T102" t="s">
        <v>121</v>
      </c>
      <c r="U102">
        <v>1111111</v>
      </c>
      <c r="V102" t="s">
        <v>122</v>
      </c>
      <c r="W102" t="s">
        <v>637</v>
      </c>
      <c r="X102" t="s">
        <v>638</v>
      </c>
      <c r="Y102" t="s">
        <v>89</v>
      </c>
      <c r="Z102" t="s">
        <v>90</v>
      </c>
      <c r="AA102" t="s">
        <v>506</v>
      </c>
      <c r="AB102">
        <v>1</v>
      </c>
      <c r="AC102">
        <v>6</v>
      </c>
      <c r="AD102" t="b">
        <v>1</v>
      </c>
      <c r="AE102">
        <v>2022</v>
      </c>
      <c r="AF102" s="3">
        <v>367</v>
      </c>
      <c r="AG102" s="3">
        <v>44726</v>
      </c>
      <c r="AH102" s="3">
        <v>45818</v>
      </c>
      <c r="AJ102" s="4">
        <f>VLOOKUP(A102,'[1]1'!B:Q,16,0)</f>
        <v>1440</v>
      </c>
      <c r="AK102" s="7">
        <f t="shared" si="4"/>
        <v>5.76</v>
      </c>
      <c r="AL102" s="3">
        <v>367</v>
      </c>
      <c r="AM102" s="3">
        <v>367</v>
      </c>
      <c r="AN102">
        <v>-8.7863051999999993</v>
      </c>
      <c r="AO102">
        <v>115.1390686</v>
      </c>
      <c r="AP102" t="s">
        <v>639</v>
      </c>
      <c r="AT102">
        <v>99.75</v>
      </c>
      <c r="AW102">
        <v>0</v>
      </c>
      <c r="AX102">
        <v>0</v>
      </c>
      <c r="BA102">
        <v>0</v>
      </c>
      <c r="BB102">
        <v>0</v>
      </c>
      <c r="BE102">
        <v>0</v>
      </c>
      <c r="BF102">
        <v>0</v>
      </c>
      <c r="BJ102">
        <v>0</v>
      </c>
      <c r="BL102">
        <v>0</v>
      </c>
      <c r="BN102">
        <v>0</v>
      </c>
      <c r="BO102" s="6">
        <v>0</v>
      </c>
      <c r="BP102">
        <v>0</v>
      </c>
      <c r="BQ102">
        <v>0</v>
      </c>
      <c r="BR102">
        <v>0</v>
      </c>
    </row>
    <row r="103" spans="1:70" ht="15" customHeight="1" x14ac:dyDescent="0.35">
      <c r="A103" s="1" t="str">
        <f t="shared" si="1"/>
        <v>355T</v>
      </c>
      <c r="B103" t="s">
        <v>640</v>
      </c>
      <c r="C103" t="s">
        <v>641</v>
      </c>
      <c r="D103" t="s">
        <v>642</v>
      </c>
      <c r="E103" t="s">
        <v>643</v>
      </c>
      <c r="F103" t="s">
        <v>516</v>
      </c>
      <c r="G103" t="s">
        <v>502</v>
      </c>
      <c r="H103" t="s">
        <v>502</v>
      </c>
      <c r="I103" t="s">
        <v>137</v>
      </c>
      <c r="J103" t="b">
        <v>0</v>
      </c>
      <c r="K103" t="s">
        <v>78</v>
      </c>
      <c r="L103" t="s">
        <v>79</v>
      </c>
      <c r="N103" t="s">
        <v>81</v>
      </c>
      <c r="O103" t="s">
        <v>82</v>
      </c>
      <c r="P103" t="s">
        <v>83</v>
      </c>
      <c r="Q103" t="s">
        <v>503</v>
      </c>
      <c r="R103">
        <v>15</v>
      </c>
      <c r="S103" t="s">
        <v>121</v>
      </c>
      <c r="T103" t="s">
        <v>121</v>
      </c>
      <c r="U103">
        <v>1111111</v>
      </c>
      <c r="V103" t="s">
        <v>122</v>
      </c>
      <c r="W103" t="s">
        <v>517</v>
      </c>
      <c r="X103" t="s">
        <v>518</v>
      </c>
      <c r="Y103" t="s">
        <v>89</v>
      </c>
      <c r="Z103" t="s">
        <v>90</v>
      </c>
      <c r="AA103" t="s">
        <v>506</v>
      </c>
      <c r="AB103">
        <v>1</v>
      </c>
      <c r="AC103">
        <v>6</v>
      </c>
      <c r="AD103" t="b">
        <v>1</v>
      </c>
      <c r="AE103">
        <v>2022</v>
      </c>
      <c r="AF103" s="3">
        <v>367</v>
      </c>
      <c r="AG103" s="3">
        <v>44726</v>
      </c>
      <c r="AH103" s="3">
        <v>45818</v>
      </c>
      <c r="AJ103" s="4"/>
      <c r="AK103" s="4"/>
      <c r="AL103" s="3">
        <v>367</v>
      </c>
      <c r="AM103" s="3">
        <v>367</v>
      </c>
      <c r="AN103">
        <v>-8.6458542999999999</v>
      </c>
      <c r="AO103">
        <v>115.16843609999999</v>
      </c>
      <c r="AP103" t="s">
        <v>644</v>
      </c>
      <c r="AT103">
        <v>99.75</v>
      </c>
      <c r="AW103">
        <v>0</v>
      </c>
      <c r="AX103">
        <v>0</v>
      </c>
      <c r="BA103">
        <v>0</v>
      </c>
      <c r="BB103">
        <v>0</v>
      </c>
      <c r="BE103">
        <v>0</v>
      </c>
      <c r="BF103">
        <v>0</v>
      </c>
      <c r="BJ103">
        <v>0</v>
      </c>
      <c r="BL103">
        <v>0</v>
      </c>
      <c r="BN103">
        <v>0</v>
      </c>
      <c r="BO103" s="6">
        <v>0</v>
      </c>
      <c r="BP103">
        <v>0</v>
      </c>
      <c r="BQ103">
        <v>0</v>
      </c>
      <c r="BR103">
        <v>0</v>
      </c>
    </row>
    <row r="104" spans="1:70" ht="15" customHeight="1" x14ac:dyDescent="0.35">
      <c r="A104" s="1" t="str">
        <f t="shared" si="1"/>
        <v>355U</v>
      </c>
      <c r="B104" t="s">
        <v>645</v>
      </c>
      <c r="C104" t="s">
        <v>646</v>
      </c>
      <c r="D104" t="s">
        <v>647</v>
      </c>
      <c r="E104" t="s">
        <v>648</v>
      </c>
      <c r="F104" t="s">
        <v>516</v>
      </c>
      <c r="G104" t="s">
        <v>502</v>
      </c>
      <c r="H104" t="s">
        <v>502</v>
      </c>
      <c r="I104" t="s">
        <v>137</v>
      </c>
      <c r="J104" t="b">
        <v>0</v>
      </c>
      <c r="K104" t="s">
        <v>78</v>
      </c>
      <c r="L104" t="s">
        <v>79</v>
      </c>
      <c r="N104" t="s">
        <v>81</v>
      </c>
      <c r="O104" t="s">
        <v>82</v>
      </c>
      <c r="P104" t="s">
        <v>83</v>
      </c>
      <c r="Q104" t="s">
        <v>503</v>
      </c>
      <c r="R104">
        <v>15</v>
      </c>
      <c r="S104" t="s">
        <v>121</v>
      </c>
      <c r="T104" t="s">
        <v>121</v>
      </c>
      <c r="U104">
        <v>1111111</v>
      </c>
      <c r="V104" t="s">
        <v>122</v>
      </c>
      <c r="W104" t="s">
        <v>529</v>
      </c>
      <c r="X104" t="s">
        <v>530</v>
      </c>
      <c r="Y104" t="s">
        <v>89</v>
      </c>
      <c r="Z104" t="s">
        <v>90</v>
      </c>
      <c r="AA104" t="s">
        <v>506</v>
      </c>
      <c r="AB104">
        <v>1</v>
      </c>
      <c r="AC104">
        <v>6</v>
      </c>
      <c r="AD104" t="b">
        <v>1</v>
      </c>
      <c r="AE104">
        <v>2022</v>
      </c>
      <c r="AF104" s="3">
        <v>367</v>
      </c>
      <c r="AG104" s="3">
        <v>44726</v>
      </c>
      <c r="AH104" s="3">
        <v>45818</v>
      </c>
      <c r="AJ104" s="4"/>
      <c r="AK104" s="4"/>
      <c r="AL104" s="3">
        <v>367</v>
      </c>
      <c r="AM104" s="3">
        <v>367</v>
      </c>
      <c r="AN104">
        <v>-8.6705108000000006</v>
      </c>
      <c r="AO104">
        <v>115.1735383</v>
      </c>
      <c r="AP104" t="s">
        <v>649</v>
      </c>
      <c r="AT104">
        <v>99.75</v>
      </c>
      <c r="AW104">
        <v>0</v>
      </c>
      <c r="AX104">
        <v>0</v>
      </c>
      <c r="BA104">
        <v>0</v>
      </c>
      <c r="BB104">
        <v>0</v>
      </c>
      <c r="BE104">
        <v>0</v>
      </c>
      <c r="BF104">
        <v>0</v>
      </c>
      <c r="BJ104">
        <v>0</v>
      </c>
      <c r="BL104">
        <v>0</v>
      </c>
      <c r="BN104">
        <v>0</v>
      </c>
      <c r="BO104" s="6">
        <v>0</v>
      </c>
      <c r="BP104">
        <v>0</v>
      </c>
      <c r="BQ104">
        <v>0</v>
      </c>
      <c r="BR104">
        <v>0</v>
      </c>
    </row>
    <row r="105" spans="1:70" ht="15" customHeight="1" x14ac:dyDescent="0.35">
      <c r="A105" s="1" t="str">
        <f t="shared" si="1"/>
        <v>355V</v>
      </c>
      <c r="B105" t="s">
        <v>650</v>
      </c>
      <c r="C105" t="s">
        <v>651</v>
      </c>
      <c r="D105" t="s">
        <v>652</v>
      </c>
      <c r="E105" t="s">
        <v>653</v>
      </c>
      <c r="F105" t="s">
        <v>516</v>
      </c>
      <c r="G105" t="s">
        <v>502</v>
      </c>
      <c r="H105" t="s">
        <v>502</v>
      </c>
      <c r="I105" t="s">
        <v>137</v>
      </c>
      <c r="J105" t="b">
        <v>0</v>
      </c>
      <c r="K105" t="s">
        <v>78</v>
      </c>
      <c r="L105" t="s">
        <v>79</v>
      </c>
      <c r="N105" t="s">
        <v>81</v>
      </c>
      <c r="O105" t="s">
        <v>82</v>
      </c>
      <c r="P105" t="s">
        <v>83</v>
      </c>
      <c r="Q105" t="s">
        <v>503</v>
      </c>
      <c r="R105">
        <v>24</v>
      </c>
      <c r="S105" t="s">
        <v>85</v>
      </c>
      <c r="T105" t="s">
        <v>121</v>
      </c>
      <c r="U105">
        <v>1111111</v>
      </c>
      <c r="V105" t="s">
        <v>122</v>
      </c>
      <c r="W105" t="s">
        <v>571</v>
      </c>
      <c r="X105" t="s">
        <v>572</v>
      </c>
      <c r="Y105" t="s">
        <v>89</v>
      </c>
      <c r="Z105" t="s">
        <v>90</v>
      </c>
      <c r="AA105" t="s">
        <v>506</v>
      </c>
      <c r="AB105">
        <v>1</v>
      </c>
      <c r="AC105">
        <v>6</v>
      </c>
      <c r="AD105" t="b">
        <v>1</v>
      </c>
      <c r="AE105">
        <v>2022</v>
      </c>
      <c r="AF105" s="3">
        <v>367</v>
      </c>
      <c r="AG105" s="3">
        <v>44726</v>
      </c>
      <c r="AH105" s="3">
        <v>45818</v>
      </c>
      <c r="AJ105" s="4"/>
      <c r="AK105" s="4"/>
      <c r="AL105" s="3">
        <v>367</v>
      </c>
      <c r="AM105" s="3">
        <v>367</v>
      </c>
      <c r="AN105">
        <v>-8.5513314999999999</v>
      </c>
      <c r="AO105">
        <v>115.219572</v>
      </c>
      <c r="AP105" t="s">
        <v>654</v>
      </c>
      <c r="AT105">
        <v>99.75</v>
      </c>
      <c r="AW105">
        <v>0</v>
      </c>
      <c r="AX105">
        <v>0</v>
      </c>
      <c r="BA105">
        <v>0</v>
      </c>
      <c r="BB105">
        <v>0</v>
      </c>
      <c r="BE105">
        <v>0</v>
      </c>
      <c r="BF105">
        <v>0</v>
      </c>
      <c r="BJ105">
        <v>0</v>
      </c>
      <c r="BL105">
        <v>0</v>
      </c>
      <c r="BN105">
        <v>0</v>
      </c>
      <c r="BO105" s="6">
        <v>0</v>
      </c>
      <c r="BP105">
        <v>0</v>
      </c>
      <c r="BQ105">
        <v>0</v>
      </c>
      <c r="BR105">
        <v>0</v>
      </c>
    </row>
    <row r="106" spans="1:70" ht="15" customHeight="1" x14ac:dyDescent="0.35">
      <c r="A106" s="1" t="str">
        <f t="shared" si="1"/>
        <v>355X</v>
      </c>
      <c r="B106" t="s">
        <v>655</v>
      </c>
      <c r="C106" t="s">
        <v>656</v>
      </c>
      <c r="D106" t="s">
        <v>657</v>
      </c>
      <c r="E106" t="s">
        <v>658</v>
      </c>
      <c r="F106" t="s">
        <v>516</v>
      </c>
      <c r="G106" t="s">
        <v>502</v>
      </c>
      <c r="H106" t="s">
        <v>502</v>
      </c>
      <c r="I106" t="s">
        <v>137</v>
      </c>
      <c r="J106" t="b">
        <v>0</v>
      </c>
      <c r="K106" t="s">
        <v>78</v>
      </c>
      <c r="L106" t="s">
        <v>79</v>
      </c>
      <c r="N106" t="s">
        <v>81</v>
      </c>
      <c r="O106" t="s">
        <v>82</v>
      </c>
      <c r="P106" t="s">
        <v>83</v>
      </c>
      <c r="Q106" t="s">
        <v>503</v>
      </c>
      <c r="R106">
        <v>24</v>
      </c>
      <c r="S106" t="s">
        <v>85</v>
      </c>
      <c r="T106" t="s">
        <v>121</v>
      </c>
      <c r="U106">
        <v>1111111</v>
      </c>
      <c r="V106" t="s">
        <v>122</v>
      </c>
      <c r="W106" t="s">
        <v>571</v>
      </c>
      <c r="X106" t="s">
        <v>572</v>
      </c>
      <c r="Y106" t="s">
        <v>89</v>
      </c>
      <c r="Z106" t="s">
        <v>90</v>
      </c>
      <c r="AA106" t="s">
        <v>506</v>
      </c>
      <c r="AB106">
        <v>1</v>
      </c>
      <c r="AC106">
        <v>6</v>
      </c>
      <c r="AD106" t="b">
        <v>1</v>
      </c>
      <c r="AE106">
        <v>2022</v>
      </c>
      <c r="AF106" s="3">
        <v>367</v>
      </c>
      <c r="AG106" s="3">
        <v>44727</v>
      </c>
      <c r="AH106" s="3">
        <v>45818</v>
      </c>
      <c r="AJ106" s="4"/>
      <c r="AK106" s="4"/>
      <c r="AL106" s="3">
        <v>367</v>
      </c>
      <c r="AM106" s="3">
        <v>367</v>
      </c>
      <c r="AN106">
        <v>-8.5866834999999995</v>
      </c>
      <c r="AO106">
        <v>115.21184100000001</v>
      </c>
      <c r="AP106" t="s">
        <v>659</v>
      </c>
      <c r="AT106">
        <v>99.75</v>
      </c>
      <c r="AW106">
        <v>0</v>
      </c>
      <c r="AX106">
        <v>0</v>
      </c>
      <c r="BA106">
        <v>0</v>
      </c>
      <c r="BB106">
        <v>0</v>
      </c>
      <c r="BE106">
        <v>0</v>
      </c>
      <c r="BF106">
        <v>0</v>
      </c>
      <c r="BJ106">
        <v>0</v>
      </c>
      <c r="BL106">
        <v>0</v>
      </c>
      <c r="BN106">
        <v>0</v>
      </c>
      <c r="BO106" s="6">
        <v>0</v>
      </c>
      <c r="BP106">
        <v>0</v>
      </c>
      <c r="BQ106">
        <v>0</v>
      </c>
      <c r="BR106">
        <v>0</v>
      </c>
    </row>
    <row r="107" spans="1:70" ht="15" customHeight="1" x14ac:dyDescent="0.35">
      <c r="A107" s="1" t="str">
        <f t="shared" si="1"/>
        <v>356A</v>
      </c>
      <c r="B107" t="s">
        <v>660</v>
      </c>
      <c r="C107" t="s">
        <v>661</v>
      </c>
      <c r="D107" t="s">
        <v>662</v>
      </c>
      <c r="E107" t="s">
        <v>663</v>
      </c>
      <c r="F107" t="s">
        <v>516</v>
      </c>
      <c r="G107" t="s">
        <v>502</v>
      </c>
      <c r="H107" t="s">
        <v>502</v>
      </c>
      <c r="I107" t="s">
        <v>137</v>
      </c>
      <c r="J107" t="b">
        <v>0</v>
      </c>
      <c r="K107" t="s">
        <v>78</v>
      </c>
      <c r="L107" t="s">
        <v>79</v>
      </c>
      <c r="N107" t="s">
        <v>81</v>
      </c>
      <c r="O107" t="s">
        <v>82</v>
      </c>
      <c r="P107" t="s">
        <v>83</v>
      </c>
      <c r="Q107" t="s">
        <v>503</v>
      </c>
      <c r="R107">
        <v>15</v>
      </c>
      <c r="S107" t="s">
        <v>162</v>
      </c>
      <c r="T107" t="s">
        <v>121</v>
      </c>
      <c r="U107">
        <v>1111111</v>
      </c>
      <c r="V107" t="s">
        <v>122</v>
      </c>
      <c r="W107" t="s">
        <v>517</v>
      </c>
      <c r="X107" t="s">
        <v>518</v>
      </c>
      <c r="Y107" t="s">
        <v>89</v>
      </c>
      <c r="Z107" t="s">
        <v>90</v>
      </c>
      <c r="AA107" t="s">
        <v>506</v>
      </c>
      <c r="AB107">
        <v>1</v>
      </c>
      <c r="AC107">
        <v>6</v>
      </c>
      <c r="AD107" t="b">
        <v>1</v>
      </c>
      <c r="AE107">
        <v>2022</v>
      </c>
      <c r="AF107" s="3">
        <v>367</v>
      </c>
      <c r="AG107" s="3">
        <v>44727</v>
      </c>
      <c r="AH107" s="3">
        <v>45818</v>
      </c>
      <c r="AJ107" s="4"/>
      <c r="AK107" s="4"/>
      <c r="AL107" s="3">
        <v>367</v>
      </c>
      <c r="AM107" s="3">
        <v>367</v>
      </c>
      <c r="AN107">
        <v>-8.6227289000000003</v>
      </c>
      <c r="AO107">
        <v>115.18070179999999</v>
      </c>
      <c r="AP107" t="s">
        <v>664</v>
      </c>
      <c r="AT107">
        <v>99.75</v>
      </c>
      <c r="AW107">
        <v>0</v>
      </c>
      <c r="AX107">
        <v>0</v>
      </c>
      <c r="BA107">
        <v>0</v>
      </c>
      <c r="BB107">
        <v>0</v>
      </c>
      <c r="BE107">
        <v>0</v>
      </c>
      <c r="BF107">
        <v>0</v>
      </c>
      <c r="BJ107">
        <v>0</v>
      </c>
      <c r="BL107">
        <v>0</v>
      </c>
      <c r="BN107">
        <v>0</v>
      </c>
      <c r="BO107" s="6">
        <v>0</v>
      </c>
      <c r="BP107">
        <v>0</v>
      </c>
      <c r="BQ107">
        <v>0</v>
      </c>
      <c r="BR107">
        <v>0</v>
      </c>
    </row>
    <row r="108" spans="1:70" ht="15" customHeight="1" x14ac:dyDescent="0.35">
      <c r="A108" s="1" t="str">
        <f t="shared" si="1"/>
        <v>365K</v>
      </c>
      <c r="B108" t="s">
        <v>665</v>
      </c>
      <c r="C108" t="s">
        <v>666</v>
      </c>
      <c r="D108" t="s">
        <v>667</v>
      </c>
      <c r="E108" t="s">
        <v>668</v>
      </c>
      <c r="F108" t="s">
        <v>516</v>
      </c>
      <c r="G108" t="s">
        <v>502</v>
      </c>
      <c r="H108" t="s">
        <v>502</v>
      </c>
      <c r="I108" t="s">
        <v>137</v>
      </c>
      <c r="J108" t="b">
        <v>0</v>
      </c>
      <c r="K108" t="s">
        <v>78</v>
      </c>
      <c r="L108" t="s">
        <v>79</v>
      </c>
      <c r="N108" t="s">
        <v>81</v>
      </c>
      <c r="O108" t="s">
        <v>82</v>
      </c>
      <c r="P108" t="s">
        <v>83</v>
      </c>
      <c r="Q108" t="s">
        <v>503</v>
      </c>
      <c r="R108">
        <v>24</v>
      </c>
      <c r="S108" t="s">
        <v>85</v>
      </c>
      <c r="T108" t="s">
        <v>121</v>
      </c>
      <c r="U108">
        <v>1111111</v>
      </c>
      <c r="V108" t="s">
        <v>122</v>
      </c>
      <c r="W108" t="s">
        <v>637</v>
      </c>
      <c r="X108" t="s">
        <v>638</v>
      </c>
      <c r="Y108" t="s">
        <v>89</v>
      </c>
      <c r="Z108" t="s">
        <v>90</v>
      </c>
      <c r="AA108" t="s">
        <v>506</v>
      </c>
      <c r="AB108">
        <v>1</v>
      </c>
      <c r="AC108">
        <v>6</v>
      </c>
      <c r="AD108" t="b">
        <v>1</v>
      </c>
      <c r="AE108">
        <v>2022</v>
      </c>
      <c r="AF108" s="3">
        <v>367</v>
      </c>
      <c r="AG108" s="3">
        <v>44727</v>
      </c>
      <c r="AH108" s="3">
        <v>45818</v>
      </c>
      <c r="AJ108" s="4"/>
      <c r="AK108" s="4"/>
      <c r="AL108" s="3">
        <v>367</v>
      </c>
      <c r="AM108" s="3">
        <v>367</v>
      </c>
      <c r="AN108">
        <v>-8.7389048000000003</v>
      </c>
      <c r="AO108">
        <v>115.1683506</v>
      </c>
      <c r="AP108" t="s">
        <v>669</v>
      </c>
      <c r="AT108">
        <v>99.75</v>
      </c>
      <c r="AW108">
        <v>0</v>
      </c>
      <c r="AX108">
        <v>0</v>
      </c>
      <c r="BA108">
        <v>0</v>
      </c>
      <c r="BB108">
        <v>0</v>
      </c>
      <c r="BE108">
        <v>0</v>
      </c>
      <c r="BF108">
        <v>0</v>
      </c>
      <c r="BJ108">
        <v>0</v>
      </c>
      <c r="BL108">
        <v>0</v>
      </c>
      <c r="BN108">
        <v>0</v>
      </c>
      <c r="BO108" s="6">
        <v>0</v>
      </c>
      <c r="BP108">
        <v>0</v>
      </c>
      <c r="BQ108">
        <v>0</v>
      </c>
      <c r="BR108">
        <v>0</v>
      </c>
    </row>
    <row r="109" spans="1:70" ht="15" customHeight="1" x14ac:dyDescent="0.35">
      <c r="A109" s="1" t="str">
        <f t="shared" si="1"/>
        <v>365L</v>
      </c>
      <c r="B109" t="s">
        <v>670</v>
      </c>
      <c r="C109" t="s">
        <v>671</v>
      </c>
      <c r="D109" t="s">
        <v>672</v>
      </c>
      <c r="E109" t="s">
        <v>673</v>
      </c>
      <c r="F109" t="s">
        <v>516</v>
      </c>
      <c r="G109" t="s">
        <v>502</v>
      </c>
      <c r="H109" t="s">
        <v>502</v>
      </c>
      <c r="I109" t="s">
        <v>137</v>
      </c>
      <c r="J109" t="b">
        <v>0</v>
      </c>
      <c r="K109" t="s">
        <v>78</v>
      </c>
      <c r="L109" t="s">
        <v>79</v>
      </c>
      <c r="N109" t="s">
        <v>81</v>
      </c>
      <c r="O109" t="s">
        <v>82</v>
      </c>
      <c r="P109" t="s">
        <v>83</v>
      </c>
      <c r="Q109" t="s">
        <v>503</v>
      </c>
      <c r="R109">
        <v>15</v>
      </c>
      <c r="S109" t="s">
        <v>85</v>
      </c>
      <c r="T109" t="s">
        <v>121</v>
      </c>
      <c r="U109">
        <v>1111111</v>
      </c>
      <c r="V109" t="s">
        <v>122</v>
      </c>
      <c r="W109" t="s">
        <v>529</v>
      </c>
      <c r="X109" t="s">
        <v>530</v>
      </c>
      <c r="Y109" t="s">
        <v>89</v>
      </c>
      <c r="Z109" t="s">
        <v>90</v>
      </c>
      <c r="AA109" t="s">
        <v>506</v>
      </c>
      <c r="AB109">
        <v>1</v>
      </c>
      <c r="AC109">
        <v>6</v>
      </c>
      <c r="AD109" t="b">
        <v>1</v>
      </c>
      <c r="AE109">
        <v>2022</v>
      </c>
      <c r="AF109" s="3">
        <v>367</v>
      </c>
      <c r="AG109" s="3">
        <v>44727</v>
      </c>
      <c r="AH109" s="3">
        <v>45818</v>
      </c>
      <c r="AJ109" s="4"/>
      <c r="AK109" s="4"/>
      <c r="AL109" s="3">
        <v>367</v>
      </c>
      <c r="AM109" s="3">
        <v>367</v>
      </c>
      <c r="AN109">
        <v>-8.7173183999999999</v>
      </c>
      <c r="AO109">
        <v>115.1743283</v>
      </c>
      <c r="AP109" t="s">
        <v>674</v>
      </c>
      <c r="AT109">
        <v>99.75</v>
      </c>
      <c r="AW109">
        <v>0</v>
      </c>
      <c r="AX109">
        <v>0</v>
      </c>
      <c r="BA109">
        <v>0</v>
      </c>
      <c r="BB109">
        <v>0</v>
      </c>
      <c r="BE109">
        <v>0</v>
      </c>
      <c r="BF109">
        <v>0</v>
      </c>
      <c r="BJ109">
        <v>0</v>
      </c>
      <c r="BL109">
        <v>0</v>
      </c>
      <c r="BN109">
        <v>0</v>
      </c>
      <c r="BO109" s="6">
        <v>0</v>
      </c>
      <c r="BP109">
        <v>0</v>
      </c>
      <c r="BQ109">
        <v>0</v>
      </c>
      <c r="BR109">
        <v>0</v>
      </c>
    </row>
    <row r="110" spans="1:70" ht="15" customHeight="1" x14ac:dyDescent="0.35">
      <c r="A110" s="1" t="str">
        <f t="shared" si="1"/>
        <v>00VC</v>
      </c>
      <c r="B110" t="s">
        <v>675</v>
      </c>
      <c r="C110" t="s">
        <v>676</v>
      </c>
      <c r="D110" t="s">
        <v>677</v>
      </c>
      <c r="E110" t="s">
        <v>678</v>
      </c>
      <c r="F110" t="s">
        <v>516</v>
      </c>
      <c r="G110" t="s">
        <v>502</v>
      </c>
      <c r="H110" t="s">
        <v>502</v>
      </c>
      <c r="I110" t="s">
        <v>132</v>
      </c>
      <c r="J110" t="b">
        <v>1</v>
      </c>
      <c r="K110" t="s">
        <v>78</v>
      </c>
      <c r="L110" t="s">
        <v>79</v>
      </c>
      <c r="N110" t="s">
        <v>81</v>
      </c>
      <c r="O110" t="s">
        <v>82</v>
      </c>
      <c r="P110" t="s">
        <v>83</v>
      </c>
      <c r="Q110" t="s">
        <v>503</v>
      </c>
      <c r="R110">
        <v>24</v>
      </c>
      <c r="S110" t="s">
        <v>85</v>
      </c>
      <c r="T110" t="s">
        <v>85</v>
      </c>
      <c r="U110">
        <v>1111111</v>
      </c>
      <c r="V110" t="s">
        <v>122</v>
      </c>
      <c r="W110" t="s">
        <v>637</v>
      </c>
      <c r="X110" t="s">
        <v>638</v>
      </c>
      <c r="Y110" t="s">
        <v>89</v>
      </c>
      <c r="Z110" t="s">
        <v>90</v>
      </c>
      <c r="AA110" t="s">
        <v>506</v>
      </c>
      <c r="AB110">
        <v>1</v>
      </c>
      <c r="AC110">
        <v>6</v>
      </c>
      <c r="AD110" t="b">
        <v>1</v>
      </c>
      <c r="AE110">
        <v>2022</v>
      </c>
      <c r="AF110" s="3">
        <v>367</v>
      </c>
      <c r="AG110" s="3">
        <v>44728</v>
      </c>
      <c r="AH110" s="3">
        <v>45818</v>
      </c>
      <c r="AJ110" s="4"/>
      <c r="AK110" s="4"/>
      <c r="AL110" s="3">
        <v>367</v>
      </c>
      <c r="AM110" s="3">
        <v>367</v>
      </c>
      <c r="AN110">
        <v>-8.7437722000000004</v>
      </c>
      <c r="AO110">
        <v>115.1639162</v>
      </c>
      <c r="AP110" t="s">
        <v>679</v>
      </c>
      <c r="AT110">
        <v>99.75</v>
      </c>
      <c r="AW110">
        <v>0</v>
      </c>
      <c r="AX110">
        <v>0</v>
      </c>
      <c r="BA110">
        <v>0</v>
      </c>
      <c r="BB110">
        <v>0</v>
      </c>
      <c r="BE110">
        <v>0</v>
      </c>
      <c r="BF110">
        <v>0</v>
      </c>
      <c r="BJ110">
        <v>0</v>
      </c>
      <c r="BL110">
        <v>0</v>
      </c>
      <c r="BN110">
        <v>0</v>
      </c>
      <c r="BO110" s="6">
        <v>0</v>
      </c>
      <c r="BP110">
        <v>0</v>
      </c>
      <c r="BQ110">
        <v>0</v>
      </c>
      <c r="BR110">
        <v>0</v>
      </c>
    </row>
    <row r="111" spans="1:70" ht="15" customHeight="1" x14ac:dyDescent="0.35">
      <c r="A111" s="1" t="str">
        <f t="shared" si="1"/>
        <v>519C</v>
      </c>
      <c r="B111" t="s">
        <v>680</v>
      </c>
      <c r="C111" t="s">
        <v>681</v>
      </c>
      <c r="D111" t="s">
        <v>682</v>
      </c>
      <c r="E111" t="s">
        <v>683</v>
      </c>
      <c r="F111" t="s">
        <v>516</v>
      </c>
      <c r="G111" t="s">
        <v>502</v>
      </c>
      <c r="H111" t="s">
        <v>502</v>
      </c>
      <c r="I111" t="s">
        <v>137</v>
      </c>
      <c r="J111" t="b">
        <v>0</v>
      </c>
      <c r="K111" t="s">
        <v>78</v>
      </c>
      <c r="L111" t="s">
        <v>79</v>
      </c>
      <c r="N111" t="s">
        <v>81</v>
      </c>
      <c r="O111" t="s">
        <v>82</v>
      </c>
      <c r="P111" t="s">
        <v>83</v>
      </c>
      <c r="Q111" t="s">
        <v>503</v>
      </c>
      <c r="R111">
        <v>15</v>
      </c>
      <c r="S111" t="s">
        <v>121</v>
      </c>
      <c r="T111" t="s">
        <v>121</v>
      </c>
      <c r="U111">
        <v>1111111</v>
      </c>
      <c r="V111" t="s">
        <v>122</v>
      </c>
      <c r="W111" t="s">
        <v>517</v>
      </c>
      <c r="X111" t="s">
        <v>518</v>
      </c>
      <c r="Y111" t="s">
        <v>89</v>
      </c>
      <c r="Z111" t="s">
        <v>90</v>
      </c>
      <c r="AA111" t="s">
        <v>506</v>
      </c>
      <c r="AB111">
        <v>1</v>
      </c>
      <c r="AC111">
        <v>6</v>
      </c>
      <c r="AD111" t="b">
        <v>1</v>
      </c>
      <c r="AE111">
        <v>2022</v>
      </c>
      <c r="AF111" s="3">
        <v>367</v>
      </c>
      <c r="AG111" s="3">
        <v>44728</v>
      </c>
      <c r="AH111" s="3">
        <v>45818</v>
      </c>
      <c r="AJ111" s="4"/>
      <c r="AK111" s="4"/>
      <c r="AL111" s="3">
        <v>367</v>
      </c>
      <c r="AM111" s="3">
        <v>367</v>
      </c>
      <c r="AN111">
        <v>-8.6167946000000004</v>
      </c>
      <c r="AO111">
        <v>115.1679348</v>
      </c>
      <c r="AP111" t="s">
        <v>684</v>
      </c>
      <c r="AT111">
        <v>99.75</v>
      </c>
      <c r="AW111">
        <v>0</v>
      </c>
      <c r="AX111">
        <v>0</v>
      </c>
      <c r="BA111">
        <v>0</v>
      </c>
      <c r="BB111">
        <v>0</v>
      </c>
      <c r="BE111">
        <v>0</v>
      </c>
      <c r="BF111">
        <v>0</v>
      </c>
      <c r="BJ111">
        <v>0</v>
      </c>
      <c r="BL111">
        <v>0</v>
      </c>
      <c r="BN111">
        <v>0</v>
      </c>
      <c r="BO111" s="6">
        <v>0</v>
      </c>
      <c r="BP111">
        <v>0</v>
      </c>
      <c r="BQ111">
        <v>0</v>
      </c>
      <c r="BR111">
        <v>0</v>
      </c>
    </row>
    <row r="112" spans="1:70" ht="15" customHeight="1" x14ac:dyDescent="0.35">
      <c r="A112" s="1" t="str">
        <f t="shared" si="1"/>
        <v>686V</v>
      </c>
      <c r="B112" t="s">
        <v>685</v>
      </c>
      <c r="C112" t="s">
        <v>686</v>
      </c>
      <c r="D112" t="s">
        <v>687</v>
      </c>
      <c r="E112" t="s">
        <v>688</v>
      </c>
      <c r="F112" t="s">
        <v>516</v>
      </c>
      <c r="G112" t="s">
        <v>502</v>
      </c>
      <c r="H112" t="s">
        <v>502</v>
      </c>
      <c r="I112" t="s">
        <v>350</v>
      </c>
      <c r="J112" t="b">
        <v>1</v>
      </c>
      <c r="K112" t="s">
        <v>78</v>
      </c>
      <c r="L112" t="s">
        <v>79</v>
      </c>
      <c r="N112" t="s">
        <v>81</v>
      </c>
      <c r="O112" t="s">
        <v>82</v>
      </c>
      <c r="P112" t="s">
        <v>83</v>
      </c>
      <c r="Q112" t="s">
        <v>503</v>
      </c>
      <c r="R112">
        <v>24</v>
      </c>
      <c r="S112" t="s">
        <v>85</v>
      </c>
      <c r="T112" t="s">
        <v>121</v>
      </c>
      <c r="U112">
        <v>1111111</v>
      </c>
      <c r="V112" t="s">
        <v>122</v>
      </c>
      <c r="W112" t="s">
        <v>637</v>
      </c>
      <c r="X112" t="s">
        <v>638</v>
      </c>
      <c r="Y112" t="s">
        <v>89</v>
      </c>
      <c r="Z112" t="s">
        <v>90</v>
      </c>
      <c r="AA112" t="s">
        <v>506</v>
      </c>
      <c r="AB112">
        <v>1</v>
      </c>
      <c r="AC112">
        <v>6</v>
      </c>
      <c r="AD112" t="b">
        <v>1</v>
      </c>
      <c r="AE112">
        <v>2022</v>
      </c>
      <c r="AF112" s="3">
        <v>367</v>
      </c>
      <c r="AG112" s="3">
        <v>44728</v>
      </c>
      <c r="AH112" s="3">
        <v>45818</v>
      </c>
      <c r="AJ112" s="4"/>
      <c r="AK112" s="4"/>
      <c r="AL112" s="3">
        <v>367</v>
      </c>
      <c r="AM112" s="3">
        <v>367</v>
      </c>
      <c r="AN112">
        <v>-8.7372016000000006</v>
      </c>
      <c r="AO112">
        <v>115.1784787</v>
      </c>
      <c r="AP112" t="s">
        <v>689</v>
      </c>
      <c r="AT112">
        <v>99.75</v>
      </c>
      <c r="AW112">
        <v>0</v>
      </c>
      <c r="AX112">
        <v>0</v>
      </c>
      <c r="BA112">
        <v>0</v>
      </c>
      <c r="BB112">
        <v>0</v>
      </c>
      <c r="BE112">
        <v>0</v>
      </c>
      <c r="BF112">
        <v>0</v>
      </c>
      <c r="BJ112">
        <v>0</v>
      </c>
      <c r="BL112">
        <v>0</v>
      </c>
      <c r="BN112">
        <v>0</v>
      </c>
      <c r="BO112" s="6">
        <v>0</v>
      </c>
      <c r="BP112">
        <v>0</v>
      </c>
      <c r="BQ112">
        <v>0</v>
      </c>
      <c r="BR112">
        <v>0</v>
      </c>
    </row>
    <row r="113" spans="1:70" ht="15" customHeight="1" x14ac:dyDescent="0.35">
      <c r="A113" s="1" t="str">
        <f t="shared" si="1"/>
        <v>031V</v>
      </c>
      <c r="B113" t="s">
        <v>690</v>
      </c>
      <c r="C113" t="s">
        <v>691</v>
      </c>
      <c r="D113" t="s">
        <v>692</v>
      </c>
      <c r="E113" t="s">
        <v>693</v>
      </c>
      <c r="F113" t="s">
        <v>516</v>
      </c>
      <c r="G113" t="s">
        <v>502</v>
      </c>
      <c r="H113" t="s">
        <v>502</v>
      </c>
      <c r="I113" t="s">
        <v>148</v>
      </c>
      <c r="J113" t="b">
        <v>0</v>
      </c>
      <c r="K113" t="s">
        <v>78</v>
      </c>
      <c r="L113" t="s">
        <v>79</v>
      </c>
      <c r="N113" t="s">
        <v>81</v>
      </c>
      <c r="O113" t="s">
        <v>82</v>
      </c>
      <c r="P113" t="s">
        <v>83</v>
      </c>
      <c r="Q113" t="s">
        <v>503</v>
      </c>
      <c r="R113">
        <v>24</v>
      </c>
      <c r="S113" t="s">
        <v>85</v>
      </c>
      <c r="T113" t="s">
        <v>121</v>
      </c>
      <c r="U113">
        <v>1111111</v>
      </c>
      <c r="V113" t="s">
        <v>122</v>
      </c>
      <c r="W113" t="s">
        <v>694</v>
      </c>
      <c r="X113" t="s">
        <v>695</v>
      </c>
      <c r="Y113" t="s">
        <v>89</v>
      </c>
      <c r="Z113" t="s">
        <v>90</v>
      </c>
      <c r="AA113" t="s">
        <v>506</v>
      </c>
      <c r="AB113">
        <v>1</v>
      </c>
      <c r="AC113">
        <v>6</v>
      </c>
      <c r="AD113" t="b">
        <v>1</v>
      </c>
      <c r="AE113">
        <v>2022</v>
      </c>
      <c r="AF113" s="3">
        <v>367</v>
      </c>
      <c r="AG113" s="3">
        <v>44798</v>
      </c>
      <c r="AH113" s="3">
        <v>45879</v>
      </c>
      <c r="AJ113" s="4"/>
      <c r="AK113" s="4"/>
      <c r="AL113" s="3">
        <v>367</v>
      </c>
      <c r="AM113" s="3">
        <v>367</v>
      </c>
      <c r="AN113">
        <v>-8.6838703000000006</v>
      </c>
      <c r="AO113">
        <v>115.15655940000001</v>
      </c>
      <c r="AP113" t="s">
        <v>693</v>
      </c>
      <c r="AT113">
        <v>99.75</v>
      </c>
      <c r="AW113">
        <v>0</v>
      </c>
      <c r="AX113">
        <v>0</v>
      </c>
      <c r="BA113">
        <v>0</v>
      </c>
      <c r="BB113">
        <v>0</v>
      </c>
      <c r="BE113">
        <v>0</v>
      </c>
      <c r="BF113">
        <v>0</v>
      </c>
      <c r="BJ113">
        <v>0</v>
      </c>
      <c r="BL113">
        <v>0</v>
      </c>
      <c r="BN113">
        <v>0</v>
      </c>
      <c r="BO113" s="6">
        <v>0</v>
      </c>
      <c r="BP113">
        <v>0</v>
      </c>
      <c r="BQ113">
        <v>0</v>
      </c>
      <c r="BR113">
        <v>0</v>
      </c>
    </row>
    <row r="114" spans="1:70" ht="15" customHeight="1" x14ac:dyDescent="0.35">
      <c r="A114" s="1" t="str">
        <f t="shared" si="1"/>
        <v>01H0</v>
      </c>
      <c r="B114" t="s">
        <v>696</v>
      </c>
      <c r="C114" t="s">
        <v>697</v>
      </c>
      <c r="D114" t="s">
        <v>698</v>
      </c>
      <c r="E114" t="s">
        <v>699</v>
      </c>
      <c r="F114" t="s">
        <v>516</v>
      </c>
      <c r="G114" t="s">
        <v>502</v>
      </c>
      <c r="H114" t="s">
        <v>502</v>
      </c>
      <c r="I114" t="s">
        <v>148</v>
      </c>
      <c r="J114" t="b">
        <v>0</v>
      </c>
      <c r="K114" t="s">
        <v>78</v>
      </c>
      <c r="L114" t="s">
        <v>79</v>
      </c>
      <c r="N114" t="s">
        <v>81</v>
      </c>
      <c r="O114" t="s">
        <v>82</v>
      </c>
      <c r="P114" t="s">
        <v>83</v>
      </c>
      <c r="Q114" t="s">
        <v>503</v>
      </c>
      <c r="R114">
        <v>24</v>
      </c>
      <c r="S114" t="s">
        <v>85</v>
      </c>
      <c r="T114" t="s">
        <v>121</v>
      </c>
      <c r="U114">
        <v>1111111</v>
      </c>
      <c r="V114" t="s">
        <v>86</v>
      </c>
      <c r="W114" t="s">
        <v>529</v>
      </c>
      <c r="X114" t="s">
        <v>530</v>
      </c>
      <c r="Y114" t="s">
        <v>89</v>
      </c>
      <c r="Z114" t="s">
        <v>90</v>
      </c>
      <c r="AA114" t="s">
        <v>506</v>
      </c>
      <c r="AB114">
        <v>1</v>
      </c>
      <c r="AC114">
        <v>6</v>
      </c>
      <c r="AD114" t="b">
        <v>1</v>
      </c>
      <c r="AE114">
        <v>2022</v>
      </c>
      <c r="AF114" s="3">
        <v>367</v>
      </c>
      <c r="AG114" s="3">
        <v>44727</v>
      </c>
      <c r="AH114" s="3">
        <v>45818</v>
      </c>
      <c r="AJ114" s="4"/>
      <c r="AK114" s="4"/>
      <c r="AL114" s="3">
        <v>367</v>
      </c>
      <c r="AM114" s="3">
        <v>367</v>
      </c>
      <c r="AN114">
        <v>-8.6616459999999993</v>
      </c>
      <c r="AO114">
        <v>115.16464499999999</v>
      </c>
      <c r="AP114" t="s">
        <v>699</v>
      </c>
      <c r="AT114">
        <v>99.75</v>
      </c>
      <c r="AW114">
        <v>0</v>
      </c>
      <c r="AX114">
        <v>0</v>
      </c>
      <c r="BA114">
        <v>0</v>
      </c>
      <c r="BB114">
        <v>0</v>
      </c>
      <c r="BE114">
        <v>0</v>
      </c>
      <c r="BF114">
        <v>0</v>
      </c>
      <c r="BJ114">
        <v>0</v>
      </c>
      <c r="BL114">
        <v>0</v>
      </c>
      <c r="BN114">
        <v>0</v>
      </c>
      <c r="BO114" s="6">
        <v>0</v>
      </c>
      <c r="BP114">
        <v>0</v>
      </c>
      <c r="BQ114">
        <v>0</v>
      </c>
      <c r="BR114">
        <v>0</v>
      </c>
    </row>
    <row r="115" spans="1:70" ht="15" customHeight="1" x14ac:dyDescent="0.35">
      <c r="A115" s="1" t="str">
        <f t="shared" si="1"/>
        <v>315E</v>
      </c>
      <c r="B115" t="s">
        <v>700</v>
      </c>
      <c r="C115" t="s">
        <v>701</v>
      </c>
      <c r="D115" t="s">
        <v>702</v>
      </c>
      <c r="E115" t="s">
        <v>703</v>
      </c>
      <c r="F115" t="s">
        <v>516</v>
      </c>
      <c r="G115" t="s">
        <v>502</v>
      </c>
      <c r="H115" t="s">
        <v>502</v>
      </c>
      <c r="I115" t="s">
        <v>137</v>
      </c>
      <c r="J115" t="b">
        <v>0</v>
      </c>
      <c r="K115" t="s">
        <v>78</v>
      </c>
      <c r="L115" t="s">
        <v>79</v>
      </c>
      <c r="N115" t="s">
        <v>81</v>
      </c>
      <c r="O115" t="s">
        <v>82</v>
      </c>
      <c r="P115" t="s">
        <v>83</v>
      </c>
      <c r="Q115" t="s">
        <v>503</v>
      </c>
      <c r="R115">
        <v>24</v>
      </c>
      <c r="S115" t="s">
        <v>85</v>
      </c>
      <c r="T115" t="s">
        <v>121</v>
      </c>
      <c r="U115">
        <v>1111111</v>
      </c>
      <c r="V115" t="s">
        <v>86</v>
      </c>
      <c r="W115" t="s">
        <v>637</v>
      </c>
      <c r="X115" t="s">
        <v>638</v>
      </c>
      <c r="Y115" t="s">
        <v>89</v>
      </c>
      <c r="Z115" t="s">
        <v>90</v>
      </c>
      <c r="AA115" t="s">
        <v>506</v>
      </c>
      <c r="AB115">
        <v>1</v>
      </c>
      <c r="AC115">
        <v>6</v>
      </c>
      <c r="AD115" t="b">
        <v>1</v>
      </c>
      <c r="AE115">
        <v>2022</v>
      </c>
      <c r="AF115" s="3">
        <v>367</v>
      </c>
      <c r="AG115" s="3">
        <v>44729</v>
      </c>
      <c r="AH115" s="3">
        <v>45818</v>
      </c>
      <c r="AJ115" s="4"/>
      <c r="AK115" s="4"/>
      <c r="AL115" s="3">
        <v>367</v>
      </c>
      <c r="AM115" s="3">
        <v>367</v>
      </c>
      <c r="AN115">
        <v>-8.7523388000000004</v>
      </c>
      <c r="AO115">
        <v>115.1780263</v>
      </c>
      <c r="AP115" t="s">
        <v>704</v>
      </c>
      <c r="AT115">
        <v>99.75</v>
      </c>
      <c r="AW115">
        <v>0</v>
      </c>
      <c r="AX115">
        <v>0</v>
      </c>
      <c r="BA115">
        <v>0</v>
      </c>
      <c r="BB115">
        <v>0</v>
      </c>
      <c r="BE115">
        <v>0</v>
      </c>
      <c r="BF115">
        <v>0</v>
      </c>
      <c r="BJ115">
        <v>0</v>
      </c>
      <c r="BL115">
        <v>0</v>
      </c>
      <c r="BN115">
        <v>0</v>
      </c>
      <c r="BO115" s="6">
        <v>0</v>
      </c>
      <c r="BP115">
        <v>0</v>
      </c>
      <c r="BQ115">
        <v>0</v>
      </c>
      <c r="BR115">
        <v>0</v>
      </c>
    </row>
    <row r="116" spans="1:70" ht="15" customHeight="1" x14ac:dyDescent="0.35">
      <c r="A116" s="1" t="str">
        <f t="shared" si="1"/>
        <v>334U</v>
      </c>
      <c r="B116" t="s">
        <v>705</v>
      </c>
      <c r="C116" t="s">
        <v>706</v>
      </c>
      <c r="D116" t="s">
        <v>707</v>
      </c>
      <c r="E116" t="s">
        <v>708</v>
      </c>
      <c r="F116" t="s">
        <v>516</v>
      </c>
      <c r="G116" t="s">
        <v>502</v>
      </c>
      <c r="H116" t="s">
        <v>502</v>
      </c>
      <c r="I116" t="s">
        <v>148</v>
      </c>
      <c r="J116" t="b">
        <v>0</v>
      </c>
      <c r="K116" t="s">
        <v>78</v>
      </c>
      <c r="L116" t="s">
        <v>79</v>
      </c>
      <c r="N116" t="s">
        <v>81</v>
      </c>
      <c r="O116" t="s">
        <v>82</v>
      </c>
      <c r="P116" t="s">
        <v>83</v>
      </c>
      <c r="Q116" t="s">
        <v>503</v>
      </c>
      <c r="R116">
        <v>15</v>
      </c>
      <c r="S116" t="s">
        <v>85</v>
      </c>
      <c r="T116" t="s">
        <v>121</v>
      </c>
      <c r="U116">
        <v>1111111</v>
      </c>
      <c r="V116" t="s">
        <v>122</v>
      </c>
      <c r="W116" t="s">
        <v>694</v>
      </c>
      <c r="X116" t="s">
        <v>695</v>
      </c>
      <c r="Y116" t="s">
        <v>89</v>
      </c>
      <c r="Z116" t="s">
        <v>90</v>
      </c>
      <c r="AA116" t="s">
        <v>506</v>
      </c>
      <c r="AB116">
        <v>1</v>
      </c>
      <c r="AC116">
        <v>6</v>
      </c>
      <c r="AD116" t="b">
        <v>1</v>
      </c>
      <c r="AE116">
        <v>2022</v>
      </c>
      <c r="AF116" s="3">
        <v>367</v>
      </c>
      <c r="AG116" s="3">
        <v>44729</v>
      </c>
      <c r="AH116" s="3">
        <v>45818</v>
      </c>
      <c r="AJ116" s="4"/>
      <c r="AK116" s="4"/>
      <c r="AL116" s="3">
        <v>367</v>
      </c>
      <c r="AM116" s="3">
        <v>367</v>
      </c>
      <c r="AN116">
        <v>-8.6735895000000003</v>
      </c>
      <c r="AO116">
        <v>115.1578853</v>
      </c>
      <c r="AP116" t="s">
        <v>709</v>
      </c>
      <c r="AT116">
        <v>99.75</v>
      </c>
      <c r="AW116">
        <v>0</v>
      </c>
      <c r="AX116">
        <v>0</v>
      </c>
      <c r="BA116">
        <v>0</v>
      </c>
      <c r="BB116">
        <v>0</v>
      </c>
      <c r="BE116">
        <v>0</v>
      </c>
      <c r="BF116">
        <v>0</v>
      </c>
      <c r="BJ116">
        <v>0</v>
      </c>
      <c r="BL116">
        <v>0</v>
      </c>
      <c r="BN116">
        <v>0</v>
      </c>
      <c r="BO116" s="6">
        <v>0</v>
      </c>
      <c r="BP116">
        <v>0</v>
      </c>
      <c r="BQ116">
        <v>0</v>
      </c>
      <c r="BR116">
        <v>0</v>
      </c>
    </row>
    <row r="117" spans="1:70" ht="15" customHeight="1" x14ac:dyDescent="0.35">
      <c r="A117" s="1" t="str">
        <f t="shared" si="1"/>
        <v>01B2</v>
      </c>
      <c r="B117" t="s">
        <v>710</v>
      </c>
      <c r="C117" t="s">
        <v>711</v>
      </c>
      <c r="D117" t="s">
        <v>712</v>
      </c>
      <c r="E117" t="s">
        <v>713</v>
      </c>
      <c r="F117" t="s">
        <v>516</v>
      </c>
      <c r="G117" t="s">
        <v>502</v>
      </c>
      <c r="H117" t="s">
        <v>502</v>
      </c>
      <c r="I117" t="s">
        <v>137</v>
      </c>
      <c r="J117" t="b">
        <v>0</v>
      </c>
      <c r="K117" t="s">
        <v>78</v>
      </c>
      <c r="L117" t="s">
        <v>79</v>
      </c>
      <c r="N117" t="s">
        <v>81</v>
      </c>
      <c r="O117" t="s">
        <v>82</v>
      </c>
      <c r="P117" t="s">
        <v>83</v>
      </c>
      <c r="Q117" t="s">
        <v>503</v>
      </c>
      <c r="R117">
        <v>24</v>
      </c>
      <c r="S117" t="s">
        <v>85</v>
      </c>
      <c r="T117" t="s">
        <v>121</v>
      </c>
      <c r="U117">
        <v>1111111</v>
      </c>
      <c r="V117" t="s">
        <v>122</v>
      </c>
      <c r="W117" t="s">
        <v>550</v>
      </c>
      <c r="X117" t="s">
        <v>551</v>
      </c>
      <c r="Y117" t="s">
        <v>89</v>
      </c>
      <c r="Z117" t="s">
        <v>90</v>
      </c>
      <c r="AA117" t="s">
        <v>506</v>
      </c>
      <c r="AB117">
        <v>1</v>
      </c>
      <c r="AC117">
        <v>6</v>
      </c>
      <c r="AD117" t="b">
        <v>1</v>
      </c>
      <c r="AE117">
        <v>2022</v>
      </c>
      <c r="AF117" s="3">
        <v>367</v>
      </c>
      <c r="AG117" s="3">
        <v>44729</v>
      </c>
      <c r="AH117" s="3">
        <v>45818</v>
      </c>
      <c r="AJ117" s="4"/>
      <c r="AK117" s="4"/>
      <c r="AL117" s="3">
        <v>367</v>
      </c>
      <c r="AM117" s="3">
        <v>367</v>
      </c>
      <c r="AN117">
        <v>-8.5572397999999996</v>
      </c>
      <c r="AO117">
        <v>115.3273567</v>
      </c>
      <c r="AP117" t="s">
        <v>714</v>
      </c>
      <c r="AT117">
        <v>99.75</v>
      </c>
      <c r="AW117">
        <v>0</v>
      </c>
      <c r="AX117">
        <v>0</v>
      </c>
      <c r="BA117">
        <v>0</v>
      </c>
      <c r="BB117">
        <v>0</v>
      </c>
      <c r="BE117">
        <v>0</v>
      </c>
      <c r="BF117">
        <v>0</v>
      </c>
      <c r="BJ117">
        <v>0</v>
      </c>
      <c r="BL117">
        <v>0</v>
      </c>
      <c r="BN117">
        <v>0</v>
      </c>
      <c r="BO117" s="6">
        <v>0</v>
      </c>
      <c r="BP117">
        <v>0</v>
      </c>
      <c r="BQ117">
        <v>0</v>
      </c>
      <c r="BR117">
        <v>0</v>
      </c>
    </row>
    <row r="118" spans="1:70" ht="15" customHeight="1" x14ac:dyDescent="0.35">
      <c r="A118" s="1" t="str">
        <f t="shared" si="1"/>
        <v>016U</v>
      </c>
      <c r="B118" t="s">
        <v>715</v>
      </c>
      <c r="C118" t="s">
        <v>716</v>
      </c>
      <c r="D118" t="s">
        <v>717</v>
      </c>
      <c r="E118" t="s">
        <v>718</v>
      </c>
      <c r="F118" t="s">
        <v>516</v>
      </c>
      <c r="G118" t="s">
        <v>502</v>
      </c>
      <c r="H118" t="s">
        <v>502</v>
      </c>
      <c r="I118" t="s">
        <v>137</v>
      </c>
      <c r="J118" t="b">
        <v>0</v>
      </c>
      <c r="K118" t="s">
        <v>78</v>
      </c>
      <c r="L118" t="s">
        <v>79</v>
      </c>
      <c r="N118" t="s">
        <v>81</v>
      </c>
      <c r="O118" t="s">
        <v>82</v>
      </c>
      <c r="P118" t="s">
        <v>83</v>
      </c>
      <c r="Q118" t="s">
        <v>549</v>
      </c>
      <c r="R118">
        <v>24</v>
      </c>
      <c r="S118" t="s">
        <v>85</v>
      </c>
      <c r="T118" t="s">
        <v>121</v>
      </c>
      <c r="U118">
        <v>1111111</v>
      </c>
      <c r="V118" t="s">
        <v>122</v>
      </c>
      <c r="W118" t="s">
        <v>571</v>
      </c>
      <c r="X118" t="s">
        <v>572</v>
      </c>
      <c r="Y118" t="s">
        <v>89</v>
      </c>
      <c r="Z118" t="s">
        <v>90</v>
      </c>
      <c r="AA118" t="s">
        <v>506</v>
      </c>
      <c r="AB118">
        <v>1</v>
      </c>
      <c r="AC118">
        <v>6</v>
      </c>
      <c r="AD118" t="b">
        <v>1</v>
      </c>
      <c r="AE118">
        <v>2022</v>
      </c>
      <c r="AF118" s="3">
        <v>367</v>
      </c>
      <c r="AG118" s="3">
        <v>44729</v>
      </c>
      <c r="AH118" s="3">
        <v>45818</v>
      </c>
      <c r="AJ118" s="4"/>
      <c r="AK118" s="4"/>
      <c r="AL118" s="3">
        <v>367</v>
      </c>
      <c r="AM118" s="3">
        <v>367</v>
      </c>
      <c r="AN118">
        <v>-8.6808317000000006</v>
      </c>
      <c r="AO118">
        <v>115.2379644</v>
      </c>
      <c r="AP118" t="s">
        <v>719</v>
      </c>
      <c r="AT118">
        <v>99.75</v>
      </c>
      <c r="AW118">
        <v>0</v>
      </c>
      <c r="AX118">
        <v>0</v>
      </c>
      <c r="BA118">
        <v>0</v>
      </c>
      <c r="BB118">
        <v>0</v>
      </c>
      <c r="BE118">
        <v>0</v>
      </c>
      <c r="BF118">
        <v>0</v>
      </c>
      <c r="BJ118">
        <v>0</v>
      </c>
      <c r="BL118">
        <v>0</v>
      </c>
      <c r="BN118">
        <v>0</v>
      </c>
      <c r="BO118" s="6">
        <v>0</v>
      </c>
      <c r="BP118">
        <v>0</v>
      </c>
      <c r="BQ118">
        <v>0</v>
      </c>
      <c r="BR118">
        <v>0</v>
      </c>
    </row>
    <row r="119" spans="1:70" ht="15" customHeight="1" x14ac:dyDescent="0.35">
      <c r="A119" s="1" t="str">
        <f t="shared" si="1"/>
        <v>374T</v>
      </c>
      <c r="B119" t="s">
        <v>720</v>
      </c>
      <c r="C119" t="s">
        <v>721</v>
      </c>
      <c r="D119" t="s">
        <v>722</v>
      </c>
      <c r="E119" t="s">
        <v>723</v>
      </c>
      <c r="F119" t="s">
        <v>724</v>
      </c>
      <c r="G119" t="s">
        <v>502</v>
      </c>
      <c r="H119" t="s">
        <v>502</v>
      </c>
      <c r="I119" t="s">
        <v>137</v>
      </c>
      <c r="J119" t="b">
        <v>0</v>
      </c>
      <c r="K119" t="s">
        <v>78</v>
      </c>
      <c r="L119" t="s">
        <v>79</v>
      </c>
      <c r="N119" t="s">
        <v>81</v>
      </c>
      <c r="O119" t="s">
        <v>82</v>
      </c>
      <c r="P119" t="s">
        <v>83</v>
      </c>
      <c r="Q119" t="s">
        <v>503</v>
      </c>
      <c r="R119">
        <v>15</v>
      </c>
      <c r="S119" t="s">
        <v>121</v>
      </c>
      <c r="T119" t="s">
        <v>121</v>
      </c>
      <c r="U119">
        <v>1111111</v>
      </c>
      <c r="V119" t="s">
        <v>122</v>
      </c>
      <c r="W119" t="s">
        <v>517</v>
      </c>
      <c r="X119" t="s">
        <v>518</v>
      </c>
      <c r="Y119" t="s">
        <v>89</v>
      </c>
      <c r="Z119" t="s">
        <v>90</v>
      </c>
      <c r="AA119" t="s">
        <v>506</v>
      </c>
      <c r="AB119">
        <v>1</v>
      </c>
      <c r="AC119">
        <v>6</v>
      </c>
      <c r="AD119" t="b">
        <v>1</v>
      </c>
      <c r="AE119">
        <v>2022</v>
      </c>
      <c r="AF119" s="3">
        <v>367</v>
      </c>
      <c r="AG119" s="3">
        <v>44725</v>
      </c>
      <c r="AH119" s="3">
        <v>45818</v>
      </c>
      <c r="AJ119" s="4"/>
      <c r="AK119" s="4"/>
      <c r="AL119" s="3">
        <v>367</v>
      </c>
      <c r="AM119" s="3">
        <v>367</v>
      </c>
      <c r="AN119">
        <v>-8.5483566</v>
      </c>
      <c r="AO119">
        <v>115.1200223</v>
      </c>
      <c r="AP119" t="s">
        <v>725</v>
      </c>
      <c r="AT119">
        <v>99.75</v>
      </c>
      <c r="AW119">
        <v>0</v>
      </c>
      <c r="AX119">
        <v>0</v>
      </c>
      <c r="BA119">
        <v>0</v>
      </c>
      <c r="BB119">
        <v>0</v>
      </c>
      <c r="BE119">
        <v>0</v>
      </c>
      <c r="BF119">
        <v>0</v>
      </c>
      <c r="BJ119">
        <v>0</v>
      </c>
      <c r="BL119">
        <v>0</v>
      </c>
      <c r="BN119">
        <v>0</v>
      </c>
      <c r="BO119" s="6">
        <v>0</v>
      </c>
      <c r="BP119">
        <v>0</v>
      </c>
      <c r="BQ119">
        <v>0</v>
      </c>
      <c r="BR119">
        <v>0</v>
      </c>
    </row>
    <row r="120" spans="1:70" ht="15" customHeight="1" x14ac:dyDescent="0.35">
      <c r="A120" s="1" t="str">
        <f t="shared" si="1"/>
        <v>651J</v>
      </c>
      <c r="B120" t="s">
        <v>726</v>
      </c>
      <c r="C120" t="s">
        <v>727</v>
      </c>
      <c r="D120" t="s">
        <v>728</v>
      </c>
      <c r="E120" t="s">
        <v>729</v>
      </c>
      <c r="F120" t="s">
        <v>501</v>
      </c>
      <c r="G120" t="s">
        <v>502</v>
      </c>
      <c r="H120" t="s">
        <v>502</v>
      </c>
      <c r="I120" t="s">
        <v>137</v>
      </c>
      <c r="J120" t="b">
        <v>0</v>
      </c>
      <c r="K120" t="s">
        <v>78</v>
      </c>
      <c r="L120" t="s">
        <v>79</v>
      </c>
      <c r="N120" t="s">
        <v>81</v>
      </c>
      <c r="O120" t="s">
        <v>82</v>
      </c>
      <c r="P120" t="s">
        <v>83</v>
      </c>
      <c r="Q120" t="s">
        <v>503</v>
      </c>
      <c r="R120">
        <v>24</v>
      </c>
      <c r="S120" t="s">
        <v>85</v>
      </c>
      <c r="T120" t="s">
        <v>121</v>
      </c>
      <c r="U120">
        <v>1111111</v>
      </c>
      <c r="V120" t="s">
        <v>122</v>
      </c>
      <c r="W120" t="s">
        <v>571</v>
      </c>
      <c r="X120" t="s">
        <v>572</v>
      </c>
      <c r="Y120" t="s">
        <v>89</v>
      </c>
      <c r="Z120" t="s">
        <v>90</v>
      </c>
      <c r="AA120" t="s">
        <v>506</v>
      </c>
      <c r="AB120">
        <v>1</v>
      </c>
      <c r="AC120">
        <v>6</v>
      </c>
      <c r="AD120" t="b">
        <v>1</v>
      </c>
      <c r="AE120">
        <v>2022</v>
      </c>
      <c r="AF120" s="3">
        <v>367</v>
      </c>
      <c r="AG120" s="3">
        <v>44728</v>
      </c>
      <c r="AH120" s="3">
        <v>45818</v>
      </c>
      <c r="AJ120" s="4"/>
      <c r="AK120" s="4"/>
      <c r="AL120" s="3">
        <v>367</v>
      </c>
      <c r="AM120" s="3">
        <v>367</v>
      </c>
      <c r="AN120">
        <v>-8.6390805000000004</v>
      </c>
      <c r="AO120">
        <v>115.2071076</v>
      </c>
      <c r="AP120" t="s">
        <v>730</v>
      </c>
      <c r="AT120">
        <v>99.75</v>
      </c>
      <c r="AW120">
        <v>0</v>
      </c>
      <c r="AX120">
        <v>0</v>
      </c>
      <c r="BA120">
        <v>0</v>
      </c>
      <c r="BB120">
        <v>0</v>
      </c>
      <c r="BE120">
        <v>0</v>
      </c>
      <c r="BF120">
        <v>0</v>
      </c>
      <c r="BJ120">
        <v>0</v>
      </c>
      <c r="BL120">
        <v>0</v>
      </c>
      <c r="BN120">
        <v>0</v>
      </c>
      <c r="BO120" s="6">
        <v>0</v>
      </c>
      <c r="BP120">
        <v>0</v>
      </c>
      <c r="BQ120">
        <v>0</v>
      </c>
      <c r="BR120">
        <v>0</v>
      </c>
    </row>
    <row r="121" spans="1:70" ht="15" customHeight="1" x14ac:dyDescent="0.35">
      <c r="A121" s="1" t="str">
        <f t="shared" si="1"/>
        <v>006S</v>
      </c>
      <c r="B121" t="s">
        <v>731</v>
      </c>
      <c r="C121" t="s">
        <v>732</v>
      </c>
      <c r="D121" t="s">
        <v>733</v>
      </c>
      <c r="E121" t="s">
        <v>734</v>
      </c>
      <c r="F121" t="s">
        <v>501</v>
      </c>
      <c r="G121" t="s">
        <v>502</v>
      </c>
      <c r="H121" t="s">
        <v>502</v>
      </c>
      <c r="I121" t="s">
        <v>584</v>
      </c>
      <c r="J121" t="b">
        <v>0</v>
      </c>
      <c r="K121" t="s">
        <v>78</v>
      </c>
      <c r="L121" t="s">
        <v>79</v>
      </c>
      <c r="N121" t="s">
        <v>81</v>
      </c>
      <c r="O121" t="s">
        <v>82</v>
      </c>
      <c r="P121" t="s">
        <v>83</v>
      </c>
      <c r="Q121" t="s">
        <v>503</v>
      </c>
      <c r="R121">
        <v>15</v>
      </c>
      <c r="S121" t="s">
        <v>121</v>
      </c>
      <c r="T121" t="s">
        <v>121</v>
      </c>
      <c r="U121">
        <v>1111111</v>
      </c>
      <c r="V121" t="s">
        <v>122</v>
      </c>
      <c r="W121" t="s">
        <v>529</v>
      </c>
      <c r="X121" t="s">
        <v>530</v>
      </c>
      <c r="Y121" t="s">
        <v>89</v>
      </c>
      <c r="Z121" t="s">
        <v>90</v>
      </c>
      <c r="AA121" t="s">
        <v>506</v>
      </c>
      <c r="AB121">
        <v>1</v>
      </c>
      <c r="AC121">
        <v>6</v>
      </c>
      <c r="AD121" t="b">
        <v>1</v>
      </c>
      <c r="AE121">
        <v>2022</v>
      </c>
      <c r="AF121" s="3">
        <v>367</v>
      </c>
      <c r="AG121" s="3">
        <v>44726</v>
      </c>
      <c r="AH121" s="3">
        <v>45818</v>
      </c>
      <c r="AJ121" s="4"/>
      <c r="AK121" s="4"/>
      <c r="AL121" s="3">
        <v>367</v>
      </c>
      <c r="AM121" s="3">
        <v>367</v>
      </c>
      <c r="AN121">
        <v>-8.6742182999999997</v>
      </c>
      <c r="AO121">
        <v>115.1838176</v>
      </c>
      <c r="AP121" t="s">
        <v>735</v>
      </c>
      <c r="AT121">
        <v>99.75</v>
      </c>
      <c r="AW121">
        <v>0</v>
      </c>
      <c r="AX121">
        <v>0</v>
      </c>
      <c r="BA121">
        <v>0</v>
      </c>
      <c r="BB121">
        <v>0</v>
      </c>
      <c r="BE121">
        <v>0</v>
      </c>
      <c r="BF121">
        <v>0</v>
      </c>
      <c r="BJ121">
        <v>0</v>
      </c>
      <c r="BL121">
        <v>0</v>
      </c>
      <c r="BN121">
        <v>0</v>
      </c>
      <c r="BO121" s="6">
        <v>0</v>
      </c>
      <c r="BP121">
        <v>0</v>
      </c>
      <c r="BQ121">
        <v>0</v>
      </c>
      <c r="BR121">
        <v>0</v>
      </c>
    </row>
    <row r="122" spans="1:70" ht="15" customHeight="1" x14ac:dyDescent="0.35">
      <c r="A122" s="1" t="str">
        <f t="shared" si="1"/>
        <v>371X</v>
      </c>
      <c r="B122" t="s">
        <v>736</v>
      </c>
      <c r="C122" t="s">
        <v>737</v>
      </c>
      <c r="D122" t="s">
        <v>738</v>
      </c>
      <c r="E122" t="s">
        <v>739</v>
      </c>
      <c r="F122" t="s">
        <v>501</v>
      </c>
      <c r="G122" t="s">
        <v>502</v>
      </c>
      <c r="H122" t="s">
        <v>502</v>
      </c>
      <c r="I122" t="s">
        <v>137</v>
      </c>
      <c r="J122" t="b">
        <v>0</v>
      </c>
      <c r="K122" t="s">
        <v>78</v>
      </c>
      <c r="L122" t="s">
        <v>79</v>
      </c>
      <c r="N122" t="s">
        <v>81</v>
      </c>
      <c r="O122" t="s">
        <v>82</v>
      </c>
      <c r="P122" t="s">
        <v>83</v>
      </c>
      <c r="Q122" t="s">
        <v>503</v>
      </c>
      <c r="R122">
        <v>15</v>
      </c>
      <c r="S122" t="s">
        <v>121</v>
      </c>
      <c r="T122" t="s">
        <v>121</v>
      </c>
      <c r="U122">
        <v>1111111</v>
      </c>
      <c r="V122" t="s">
        <v>122</v>
      </c>
      <c r="W122" t="s">
        <v>571</v>
      </c>
      <c r="X122" t="s">
        <v>572</v>
      </c>
      <c r="Y122" t="s">
        <v>89</v>
      </c>
      <c r="Z122" t="s">
        <v>90</v>
      </c>
      <c r="AA122" t="s">
        <v>506</v>
      </c>
      <c r="AB122">
        <v>1</v>
      </c>
      <c r="AC122">
        <v>6</v>
      </c>
      <c r="AD122" t="b">
        <v>1</v>
      </c>
      <c r="AE122">
        <v>2022</v>
      </c>
      <c r="AF122" s="3">
        <v>367</v>
      </c>
      <c r="AG122" s="3">
        <v>44727</v>
      </c>
      <c r="AH122" s="3">
        <v>45818</v>
      </c>
      <c r="AJ122" s="4"/>
      <c r="AK122" s="4"/>
      <c r="AL122" s="3">
        <v>367</v>
      </c>
      <c r="AM122" s="3">
        <v>367</v>
      </c>
      <c r="AN122">
        <v>-8.6516307000000001</v>
      </c>
      <c r="AO122">
        <v>115.19619419999999</v>
      </c>
      <c r="AP122" t="s">
        <v>740</v>
      </c>
      <c r="AT122">
        <v>99.75</v>
      </c>
      <c r="AW122">
        <v>0</v>
      </c>
      <c r="AX122">
        <v>0</v>
      </c>
      <c r="BA122">
        <v>0</v>
      </c>
      <c r="BB122">
        <v>0</v>
      </c>
      <c r="BE122">
        <v>0</v>
      </c>
      <c r="BF122">
        <v>0</v>
      </c>
      <c r="BJ122">
        <v>0</v>
      </c>
      <c r="BL122">
        <v>0</v>
      </c>
      <c r="BN122">
        <v>0</v>
      </c>
      <c r="BO122" s="6">
        <v>0</v>
      </c>
      <c r="BP122">
        <v>0</v>
      </c>
      <c r="BQ122">
        <v>0</v>
      </c>
      <c r="BR122">
        <v>0</v>
      </c>
    </row>
    <row r="123" spans="1:70" ht="15" customHeight="1" x14ac:dyDescent="0.35">
      <c r="A123" s="1" t="str">
        <f t="shared" si="1"/>
        <v>688D</v>
      </c>
      <c r="B123" t="s">
        <v>741</v>
      </c>
      <c r="C123" t="s">
        <v>742</v>
      </c>
      <c r="D123" t="s">
        <v>743</v>
      </c>
      <c r="E123" t="s">
        <v>744</v>
      </c>
      <c r="F123" t="s">
        <v>501</v>
      </c>
      <c r="G123" t="s">
        <v>502</v>
      </c>
      <c r="H123" t="s">
        <v>502</v>
      </c>
      <c r="I123" t="s">
        <v>148</v>
      </c>
      <c r="J123" t="b">
        <v>0</v>
      </c>
      <c r="K123" t="s">
        <v>78</v>
      </c>
      <c r="L123" t="s">
        <v>79</v>
      </c>
      <c r="N123" t="s">
        <v>81</v>
      </c>
      <c r="O123" t="s">
        <v>82</v>
      </c>
      <c r="P123" t="s">
        <v>83</v>
      </c>
      <c r="Q123" t="s">
        <v>549</v>
      </c>
      <c r="R123">
        <v>17</v>
      </c>
      <c r="S123" t="s">
        <v>162</v>
      </c>
      <c r="T123" t="s">
        <v>121</v>
      </c>
      <c r="U123">
        <v>1111111</v>
      </c>
      <c r="V123" t="s">
        <v>122</v>
      </c>
      <c r="W123" t="s">
        <v>694</v>
      </c>
      <c r="X123" t="s">
        <v>695</v>
      </c>
      <c r="Y123" t="s">
        <v>89</v>
      </c>
      <c r="Z123" t="s">
        <v>90</v>
      </c>
      <c r="AA123" t="s">
        <v>506</v>
      </c>
      <c r="AB123">
        <v>1</v>
      </c>
      <c r="AC123">
        <v>6</v>
      </c>
      <c r="AD123" t="b">
        <v>1</v>
      </c>
      <c r="AE123">
        <v>2022</v>
      </c>
      <c r="AF123" s="3">
        <v>367</v>
      </c>
      <c r="AG123" s="3">
        <v>44798</v>
      </c>
      <c r="AH123" s="3">
        <v>45879</v>
      </c>
      <c r="AJ123" s="4"/>
      <c r="AK123" s="4"/>
      <c r="AL123" s="3">
        <v>367</v>
      </c>
      <c r="AM123" s="3">
        <v>367</v>
      </c>
      <c r="AN123">
        <v>-8.6773030000000002</v>
      </c>
      <c r="AO123">
        <v>115.2382156</v>
      </c>
      <c r="AP123" t="s">
        <v>745</v>
      </c>
      <c r="AT123">
        <v>99.75</v>
      </c>
      <c r="AW123">
        <v>0</v>
      </c>
      <c r="AX123">
        <v>0</v>
      </c>
      <c r="BA123">
        <v>0</v>
      </c>
      <c r="BB123">
        <v>0</v>
      </c>
      <c r="BE123">
        <v>0</v>
      </c>
      <c r="BF123">
        <v>0</v>
      </c>
      <c r="BJ123">
        <v>0</v>
      </c>
      <c r="BL123">
        <v>0</v>
      </c>
      <c r="BN123">
        <v>0</v>
      </c>
      <c r="BO123" s="6">
        <v>0</v>
      </c>
      <c r="BP123">
        <v>0</v>
      </c>
      <c r="BQ123">
        <v>0</v>
      </c>
      <c r="BR123">
        <v>0</v>
      </c>
    </row>
    <row r="124" spans="1:70" ht="15" customHeight="1" x14ac:dyDescent="0.35">
      <c r="A124" s="1" t="str">
        <f t="shared" si="1"/>
        <v>532D</v>
      </c>
      <c r="B124" t="s">
        <v>746</v>
      </c>
      <c r="C124" t="s">
        <v>747</v>
      </c>
      <c r="D124" t="s">
        <v>748</v>
      </c>
      <c r="E124" t="s">
        <v>749</v>
      </c>
      <c r="F124" t="s">
        <v>501</v>
      </c>
      <c r="G124" t="s">
        <v>502</v>
      </c>
      <c r="H124" t="s">
        <v>502</v>
      </c>
      <c r="I124" t="s">
        <v>137</v>
      </c>
      <c r="J124" t="b">
        <v>0</v>
      </c>
      <c r="K124" t="s">
        <v>78</v>
      </c>
      <c r="L124" t="s">
        <v>79</v>
      </c>
      <c r="N124" t="s">
        <v>81</v>
      </c>
      <c r="O124" t="s">
        <v>82</v>
      </c>
      <c r="P124" t="s">
        <v>83</v>
      </c>
      <c r="Q124" t="s">
        <v>503</v>
      </c>
      <c r="R124">
        <v>24</v>
      </c>
      <c r="S124" t="s">
        <v>85</v>
      </c>
      <c r="T124" t="s">
        <v>121</v>
      </c>
      <c r="U124">
        <v>1111111</v>
      </c>
      <c r="V124" t="s">
        <v>122</v>
      </c>
      <c r="W124" t="s">
        <v>571</v>
      </c>
      <c r="X124" t="s">
        <v>572</v>
      </c>
      <c r="Y124" t="s">
        <v>89</v>
      </c>
      <c r="Z124" t="s">
        <v>90</v>
      </c>
      <c r="AA124" t="s">
        <v>506</v>
      </c>
      <c r="AB124">
        <v>1</v>
      </c>
      <c r="AC124">
        <v>6</v>
      </c>
      <c r="AD124" t="b">
        <v>1</v>
      </c>
      <c r="AE124">
        <v>2022</v>
      </c>
      <c r="AF124" s="3">
        <v>367</v>
      </c>
      <c r="AG124" s="3">
        <v>44727</v>
      </c>
      <c r="AH124" s="3">
        <v>45818</v>
      </c>
      <c r="AJ124" s="4"/>
      <c r="AK124" s="4"/>
      <c r="AL124" s="3">
        <v>367</v>
      </c>
      <c r="AM124" s="3">
        <v>367</v>
      </c>
      <c r="AN124">
        <v>-8.6115381000000006</v>
      </c>
      <c r="AO124">
        <v>115.2114272</v>
      </c>
      <c r="AP124" t="s">
        <v>750</v>
      </c>
      <c r="AT124">
        <v>99.75</v>
      </c>
      <c r="AW124">
        <v>0</v>
      </c>
      <c r="AX124">
        <v>0</v>
      </c>
      <c r="BA124">
        <v>0</v>
      </c>
      <c r="BB124">
        <v>0</v>
      </c>
      <c r="BE124">
        <v>0</v>
      </c>
      <c r="BF124">
        <v>0</v>
      </c>
      <c r="BJ124">
        <v>0</v>
      </c>
      <c r="BL124">
        <v>0</v>
      </c>
      <c r="BN124">
        <v>0</v>
      </c>
      <c r="BO124" s="6">
        <v>0</v>
      </c>
      <c r="BP124">
        <v>0</v>
      </c>
      <c r="BQ124">
        <v>0</v>
      </c>
      <c r="BR124">
        <v>0</v>
      </c>
    </row>
    <row r="125" spans="1:70" ht="15" customHeight="1" x14ac:dyDescent="0.35">
      <c r="A125" s="1" t="str">
        <f t="shared" si="1"/>
        <v>5753</v>
      </c>
      <c r="B125" t="s">
        <v>751</v>
      </c>
      <c r="C125" t="s">
        <v>752</v>
      </c>
      <c r="D125" t="s">
        <v>753</v>
      </c>
      <c r="E125" t="s">
        <v>754</v>
      </c>
      <c r="F125" t="s">
        <v>501</v>
      </c>
      <c r="G125" t="s">
        <v>502</v>
      </c>
      <c r="H125" t="s">
        <v>502</v>
      </c>
      <c r="I125" t="s">
        <v>148</v>
      </c>
      <c r="J125" t="b">
        <v>0</v>
      </c>
      <c r="K125" t="s">
        <v>78</v>
      </c>
      <c r="L125" t="s">
        <v>79</v>
      </c>
      <c r="N125" t="s">
        <v>81</v>
      </c>
      <c r="O125" t="s">
        <v>82</v>
      </c>
      <c r="P125" t="s">
        <v>83</v>
      </c>
      <c r="Q125" t="s">
        <v>503</v>
      </c>
      <c r="R125">
        <v>15</v>
      </c>
      <c r="S125" t="s">
        <v>85</v>
      </c>
      <c r="T125" t="s">
        <v>121</v>
      </c>
      <c r="U125">
        <v>1111111</v>
      </c>
      <c r="V125" t="s">
        <v>122</v>
      </c>
      <c r="W125" t="s">
        <v>529</v>
      </c>
      <c r="X125" t="s">
        <v>530</v>
      </c>
      <c r="Y125" t="s">
        <v>89</v>
      </c>
      <c r="Z125" t="s">
        <v>90</v>
      </c>
      <c r="AA125" t="s">
        <v>506</v>
      </c>
      <c r="AB125">
        <v>1</v>
      </c>
      <c r="AC125">
        <v>6</v>
      </c>
      <c r="AD125" t="b">
        <v>1</v>
      </c>
      <c r="AE125">
        <v>2022</v>
      </c>
      <c r="AF125" s="3">
        <v>367</v>
      </c>
      <c r="AG125" s="3">
        <v>44728</v>
      </c>
      <c r="AH125" s="3">
        <v>45818</v>
      </c>
      <c r="AJ125" s="4"/>
      <c r="AK125" s="4"/>
      <c r="AL125" s="3">
        <v>367</v>
      </c>
      <c r="AM125" s="3">
        <v>367</v>
      </c>
      <c r="AN125">
        <v>-8.6812614000000004</v>
      </c>
      <c r="AO125">
        <v>115.1953141</v>
      </c>
      <c r="AP125" t="s">
        <v>754</v>
      </c>
      <c r="AT125">
        <v>99.75</v>
      </c>
      <c r="AW125">
        <v>0</v>
      </c>
      <c r="AX125">
        <v>0</v>
      </c>
      <c r="BA125">
        <v>0</v>
      </c>
      <c r="BB125">
        <v>0</v>
      </c>
      <c r="BE125">
        <v>0</v>
      </c>
      <c r="BF125">
        <v>0</v>
      </c>
      <c r="BJ125">
        <v>0</v>
      </c>
      <c r="BL125">
        <v>0</v>
      </c>
      <c r="BN125">
        <v>0</v>
      </c>
      <c r="BO125" s="6">
        <v>0</v>
      </c>
      <c r="BP125">
        <v>0</v>
      </c>
      <c r="BQ125">
        <v>0</v>
      </c>
      <c r="BR125">
        <v>0</v>
      </c>
    </row>
    <row r="126" spans="1:70" ht="15" customHeight="1" x14ac:dyDescent="0.35">
      <c r="A126" s="1" t="str">
        <f t="shared" si="1"/>
        <v>611Z</v>
      </c>
      <c r="B126" t="s">
        <v>755</v>
      </c>
      <c r="C126" t="s">
        <v>756</v>
      </c>
      <c r="D126" t="s">
        <v>757</v>
      </c>
      <c r="E126" t="s">
        <v>758</v>
      </c>
      <c r="F126" t="s">
        <v>516</v>
      </c>
      <c r="G126" t="s">
        <v>502</v>
      </c>
      <c r="H126" t="s">
        <v>502</v>
      </c>
      <c r="I126" t="s">
        <v>137</v>
      </c>
      <c r="J126" t="b">
        <v>0</v>
      </c>
      <c r="K126" t="s">
        <v>78</v>
      </c>
      <c r="L126" t="s">
        <v>79</v>
      </c>
      <c r="N126" t="s">
        <v>81</v>
      </c>
      <c r="O126" t="s">
        <v>82</v>
      </c>
      <c r="P126" t="s">
        <v>83</v>
      </c>
      <c r="Q126" t="s">
        <v>503</v>
      </c>
      <c r="R126">
        <v>15</v>
      </c>
      <c r="S126" t="s">
        <v>121</v>
      </c>
      <c r="T126" t="s">
        <v>121</v>
      </c>
      <c r="U126">
        <v>1111111</v>
      </c>
      <c r="V126" t="s">
        <v>122</v>
      </c>
      <c r="W126" t="s">
        <v>529</v>
      </c>
      <c r="X126" t="s">
        <v>530</v>
      </c>
      <c r="Y126" t="s">
        <v>89</v>
      </c>
      <c r="Z126" t="s">
        <v>90</v>
      </c>
      <c r="AA126" t="s">
        <v>506</v>
      </c>
      <c r="AB126">
        <v>1</v>
      </c>
      <c r="AC126">
        <v>6</v>
      </c>
      <c r="AD126" t="b">
        <v>1</v>
      </c>
      <c r="AE126">
        <v>2022</v>
      </c>
      <c r="AF126" s="3">
        <v>367</v>
      </c>
      <c r="AG126" s="3">
        <v>44729</v>
      </c>
      <c r="AH126" s="3">
        <v>45818</v>
      </c>
      <c r="AJ126" s="4"/>
      <c r="AK126" s="4"/>
      <c r="AL126" s="3">
        <v>367</v>
      </c>
      <c r="AM126" s="3">
        <v>367</v>
      </c>
      <c r="AN126">
        <v>-8.6662859000000001</v>
      </c>
      <c r="AO126">
        <v>115.16612720000001</v>
      </c>
      <c r="AP126" t="s">
        <v>758</v>
      </c>
      <c r="AT126">
        <v>99.75</v>
      </c>
      <c r="AW126">
        <v>0</v>
      </c>
      <c r="AX126">
        <v>0</v>
      </c>
      <c r="BA126">
        <v>0</v>
      </c>
      <c r="BB126">
        <v>0</v>
      </c>
      <c r="BE126">
        <v>0</v>
      </c>
      <c r="BF126">
        <v>0</v>
      </c>
      <c r="BJ126">
        <v>0</v>
      </c>
      <c r="BL126">
        <v>0</v>
      </c>
      <c r="BN126">
        <v>0</v>
      </c>
      <c r="BO126" s="6">
        <v>0</v>
      </c>
      <c r="BP126">
        <v>0</v>
      </c>
      <c r="BQ126">
        <v>0</v>
      </c>
      <c r="BR126">
        <v>0</v>
      </c>
    </row>
    <row r="127" spans="1:70" ht="15" customHeight="1" x14ac:dyDescent="0.35">
      <c r="A127" s="1" t="str">
        <f t="shared" si="1"/>
        <v>6521</v>
      </c>
      <c r="B127" t="s">
        <v>759</v>
      </c>
      <c r="C127" t="s">
        <v>760</v>
      </c>
      <c r="D127" t="s">
        <v>761</v>
      </c>
      <c r="E127" t="s">
        <v>762</v>
      </c>
      <c r="F127" t="s">
        <v>501</v>
      </c>
      <c r="G127" t="s">
        <v>502</v>
      </c>
      <c r="H127" t="s">
        <v>502</v>
      </c>
      <c r="I127" t="s">
        <v>584</v>
      </c>
      <c r="J127" t="b">
        <v>0</v>
      </c>
      <c r="K127" t="s">
        <v>78</v>
      </c>
      <c r="L127" t="s">
        <v>79</v>
      </c>
      <c r="N127" t="s">
        <v>81</v>
      </c>
      <c r="O127" t="s">
        <v>82</v>
      </c>
      <c r="P127" t="s">
        <v>83</v>
      </c>
      <c r="Q127" t="s">
        <v>503</v>
      </c>
      <c r="R127">
        <v>15</v>
      </c>
      <c r="S127" t="s">
        <v>121</v>
      </c>
      <c r="T127" t="s">
        <v>121</v>
      </c>
      <c r="U127">
        <v>1111111</v>
      </c>
      <c r="V127" t="s">
        <v>122</v>
      </c>
      <c r="W127" t="s">
        <v>571</v>
      </c>
      <c r="X127" t="s">
        <v>572</v>
      </c>
      <c r="Y127" t="s">
        <v>89</v>
      </c>
      <c r="Z127" t="s">
        <v>90</v>
      </c>
      <c r="AA127" t="s">
        <v>506</v>
      </c>
      <c r="AB127">
        <v>1</v>
      </c>
      <c r="AC127">
        <v>6</v>
      </c>
      <c r="AD127" t="b">
        <v>1</v>
      </c>
      <c r="AE127">
        <v>2022</v>
      </c>
      <c r="AF127" s="3">
        <v>367</v>
      </c>
      <c r="AG127" s="3">
        <v>44730</v>
      </c>
      <c r="AH127" s="3">
        <v>45818</v>
      </c>
      <c r="AJ127" s="4"/>
      <c r="AK127" s="4"/>
      <c r="AL127" s="3">
        <v>367</v>
      </c>
      <c r="AM127" s="3">
        <v>367</v>
      </c>
      <c r="AN127">
        <v>-8.6370266999999998</v>
      </c>
      <c r="AO127">
        <v>115.1907607</v>
      </c>
      <c r="AP127" t="s">
        <v>763</v>
      </c>
      <c r="AT127">
        <v>99.75</v>
      </c>
      <c r="AW127">
        <v>0</v>
      </c>
      <c r="AX127">
        <v>0</v>
      </c>
      <c r="BA127">
        <v>0</v>
      </c>
      <c r="BB127">
        <v>0</v>
      </c>
      <c r="BE127">
        <v>0</v>
      </c>
      <c r="BF127">
        <v>0</v>
      </c>
      <c r="BJ127">
        <v>0</v>
      </c>
      <c r="BL127">
        <v>0</v>
      </c>
      <c r="BN127">
        <v>0</v>
      </c>
      <c r="BO127" s="6">
        <v>0</v>
      </c>
      <c r="BP127">
        <v>0</v>
      </c>
      <c r="BQ127">
        <v>0</v>
      </c>
      <c r="BR127">
        <v>0</v>
      </c>
    </row>
    <row r="128" spans="1:70" ht="15" customHeight="1" x14ac:dyDescent="0.35">
      <c r="A128" s="1" t="str">
        <f t="shared" si="1"/>
        <v>144Z</v>
      </c>
      <c r="B128" t="s">
        <v>764</v>
      </c>
      <c r="C128" t="s">
        <v>765</v>
      </c>
      <c r="D128" t="s">
        <v>766</v>
      </c>
      <c r="E128" t="s">
        <v>767</v>
      </c>
      <c r="F128" t="s">
        <v>516</v>
      </c>
      <c r="G128" t="s">
        <v>502</v>
      </c>
      <c r="H128" t="s">
        <v>502</v>
      </c>
      <c r="I128" t="s">
        <v>178</v>
      </c>
      <c r="J128" t="b">
        <v>0</v>
      </c>
      <c r="K128" t="s">
        <v>78</v>
      </c>
      <c r="L128" t="s">
        <v>79</v>
      </c>
      <c r="N128" t="s">
        <v>81</v>
      </c>
      <c r="O128" t="s">
        <v>82</v>
      </c>
      <c r="P128" t="s">
        <v>83</v>
      </c>
      <c r="Q128" t="s">
        <v>503</v>
      </c>
      <c r="R128">
        <v>24</v>
      </c>
      <c r="S128" t="s">
        <v>85</v>
      </c>
      <c r="T128" t="s">
        <v>121</v>
      </c>
      <c r="U128">
        <v>1111111</v>
      </c>
      <c r="V128" t="s">
        <v>122</v>
      </c>
      <c r="W128" t="s">
        <v>637</v>
      </c>
      <c r="X128" t="s">
        <v>638</v>
      </c>
      <c r="Y128" t="s">
        <v>89</v>
      </c>
      <c r="Z128" t="s">
        <v>90</v>
      </c>
      <c r="AA128" t="s">
        <v>506</v>
      </c>
      <c r="AB128">
        <v>1</v>
      </c>
      <c r="AC128">
        <v>6</v>
      </c>
      <c r="AD128" t="b">
        <v>1</v>
      </c>
      <c r="AE128">
        <v>2022</v>
      </c>
      <c r="AF128" s="3">
        <v>367</v>
      </c>
      <c r="AG128" s="3">
        <v>44725</v>
      </c>
      <c r="AH128" s="3">
        <v>45818</v>
      </c>
      <c r="AJ128" s="4"/>
      <c r="AK128" s="4"/>
      <c r="AL128" s="3">
        <v>367</v>
      </c>
      <c r="AM128" s="3">
        <v>367</v>
      </c>
      <c r="AN128">
        <v>-8.7605249000000001</v>
      </c>
      <c r="AO128">
        <v>115.1788495</v>
      </c>
      <c r="AP128" t="s">
        <v>768</v>
      </c>
      <c r="AT128">
        <v>99.75</v>
      </c>
      <c r="AW128">
        <v>0</v>
      </c>
      <c r="AX128">
        <v>0</v>
      </c>
      <c r="BA128">
        <v>0</v>
      </c>
      <c r="BB128">
        <v>0</v>
      </c>
      <c r="BE128">
        <v>0</v>
      </c>
      <c r="BF128">
        <v>0</v>
      </c>
      <c r="BJ128">
        <v>0</v>
      </c>
      <c r="BL128">
        <v>0</v>
      </c>
      <c r="BN128">
        <v>0</v>
      </c>
      <c r="BO128" s="6">
        <v>0</v>
      </c>
      <c r="BP128">
        <v>0</v>
      </c>
      <c r="BQ128">
        <v>0</v>
      </c>
      <c r="BR128">
        <v>0</v>
      </c>
    </row>
    <row r="129" spans="1:70" ht="15" customHeight="1" x14ac:dyDescent="0.35">
      <c r="A129" s="1" t="str">
        <f t="shared" si="1"/>
        <v>164E</v>
      </c>
      <c r="B129" t="s">
        <v>769</v>
      </c>
      <c r="C129" t="s">
        <v>770</v>
      </c>
      <c r="D129" t="s">
        <v>771</v>
      </c>
      <c r="E129" t="s">
        <v>772</v>
      </c>
      <c r="F129" t="s">
        <v>516</v>
      </c>
      <c r="G129" t="s">
        <v>502</v>
      </c>
      <c r="H129" t="s">
        <v>502</v>
      </c>
      <c r="I129" t="s">
        <v>148</v>
      </c>
      <c r="J129" t="b">
        <v>0</v>
      </c>
      <c r="K129" t="s">
        <v>78</v>
      </c>
      <c r="L129" t="s">
        <v>79</v>
      </c>
      <c r="N129" t="s">
        <v>81</v>
      </c>
      <c r="O129" t="s">
        <v>82</v>
      </c>
      <c r="P129" t="s">
        <v>83</v>
      </c>
      <c r="Q129" t="s">
        <v>503</v>
      </c>
      <c r="R129">
        <v>24</v>
      </c>
      <c r="S129" t="s">
        <v>85</v>
      </c>
      <c r="T129" t="s">
        <v>121</v>
      </c>
      <c r="U129">
        <v>1111111</v>
      </c>
      <c r="V129" t="s">
        <v>122</v>
      </c>
      <c r="W129" t="s">
        <v>523</v>
      </c>
      <c r="X129" t="s">
        <v>524</v>
      </c>
      <c r="Y129" t="s">
        <v>89</v>
      </c>
      <c r="Z129" t="s">
        <v>90</v>
      </c>
      <c r="AA129" t="s">
        <v>506</v>
      </c>
      <c r="AB129">
        <v>1</v>
      </c>
      <c r="AC129">
        <v>6</v>
      </c>
      <c r="AD129" t="b">
        <v>1</v>
      </c>
      <c r="AE129">
        <v>2022</v>
      </c>
      <c r="AF129" s="3">
        <v>367</v>
      </c>
      <c r="AG129" s="3">
        <v>44725</v>
      </c>
      <c r="AH129" s="3">
        <v>45818</v>
      </c>
      <c r="AJ129" s="4"/>
      <c r="AK129" s="4"/>
      <c r="AL129" s="3">
        <v>367</v>
      </c>
      <c r="AM129" s="3">
        <v>367</v>
      </c>
      <c r="AN129">
        <v>-8.7090333999999991</v>
      </c>
      <c r="AO129">
        <v>115.18354309999999</v>
      </c>
      <c r="AP129" t="s">
        <v>773</v>
      </c>
      <c r="AT129">
        <v>99.75</v>
      </c>
      <c r="AW129">
        <v>0</v>
      </c>
      <c r="AX129">
        <v>0</v>
      </c>
      <c r="BA129">
        <v>0</v>
      </c>
      <c r="BB129">
        <v>0</v>
      </c>
      <c r="BE129">
        <v>0</v>
      </c>
      <c r="BF129">
        <v>0</v>
      </c>
      <c r="BJ129">
        <v>0</v>
      </c>
      <c r="BL129">
        <v>0</v>
      </c>
      <c r="BN129">
        <v>0</v>
      </c>
      <c r="BO129" s="6">
        <v>0</v>
      </c>
      <c r="BP129">
        <v>0</v>
      </c>
      <c r="BQ129">
        <v>0</v>
      </c>
      <c r="BR129">
        <v>0</v>
      </c>
    </row>
    <row r="130" spans="1:70" ht="15" customHeight="1" x14ac:dyDescent="0.35">
      <c r="A130" s="1" t="str">
        <f t="shared" si="1"/>
        <v>699B</v>
      </c>
      <c r="B130" t="s">
        <v>774</v>
      </c>
      <c r="C130" t="s">
        <v>775</v>
      </c>
      <c r="D130" t="s">
        <v>776</v>
      </c>
      <c r="E130" t="s">
        <v>777</v>
      </c>
      <c r="F130" t="s">
        <v>516</v>
      </c>
      <c r="G130" t="s">
        <v>502</v>
      </c>
      <c r="H130" t="s">
        <v>502</v>
      </c>
      <c r="I130" t="s">
        <v>137</v>
      </c>
      <c r="J130" t="b">
        <v>0</v>
      </c>
      <c r="K130" t="s">
        <v>78</v>
      </c>
      <c r="L130" t="s">
        <v>79</v>
      </c>
      <c r="N130" t="s">
        <v>81</v>
      </c>
      <c r="O130" t="s">
        <v>82</v>
      </c>
      <c r="P130" t="s">
        <v>83</v>
      </c>
      <c r="Q130" t="s">
        <v>503</v>
      </c>
      <c r="R130">
        <v>15</v>
      </c>
      <c r="S130" t="s">
        <v>121</v>
      </c>
      <c r="T130" t="s">
        <v>121</v>
      </c>
      <c r="U130">
        <v>1111111</v>
      </c>
      <c r="V130" t="s">
        <v>122</v>
      </c>
      <c r="W130" t="s">
        <v>571</v>
      </c>
      <c r="X130" t="s">
        <v>572</v>
      </c>
      <c r="Y130" t="s">
        <v>89</v>
      </c>
      <c r="Z130" t="s">
        <v>90</v>
      </c>
      <c r="AA130" t="s">
        <v>506</v>
      </c>
      <c r="AB130">
        <v>1</v>
      </c>
      <c r="AC130">
        <v>6</v>
      </c>
      <c r="AD130" t="b">
        <v>1</v>
      </c>
      <c r="AE130">
        <v>2022</v>
      </c>
      <c r="AF130" s="3">
        <v>367</v>
      </c>
      <c r="AG130" s="3">
        <v>44727</v>
      </c>
      <c r="AH130" s="3">
        <v>45818</v>
      </c>
      <c r="AJ130" s="4"/>
      <c r="AK130" s="4"/>
      <c r="AL130" s="3">
        <v>367</v>
      </c>
      <c r="AM130" s="3">
        <v>367</v>
      </c>
      <c r="AN130">
        <v>-8.5747239000000004</v>
      </c>
      <c r="AO130">
        <v>115.2376374</v>
      </c>
      <c r="AP130" t="s">
        <v>778</v>
      </c>
      <c r="AT130">
        <v>99.75</v>
      </c>
      <c r="AW130">
        <v>0</v>
      </c>
      <c r="AX130">
        <v>0</v>
      </c>
      <c r="BA130">
        <v>0</v>
      </c>
      <c r="BB130">
        <v>0</v>
      </c>
      <c r="BE130">
        <v>0</v>
      </c>
      <c r="BF130">
        <v>0</v>
      </c>
      <c r="BJ130">
        <v>0</v>
      </c>
      <c r="BL130">
        <v>0</v>
      </c>
      <c r="BN130">
        <v>0</v>
      </c>
      <c r="BO130" s="6">
        <v>0</v>
      </c>
      <c r="BP130">
        <v>0</v>
      </c>
      <c r="BQ130">
        <v>0</v>
      </c>
      <c r="BR130">
        <v>0</v>
      </c>
    </row>
    <row r="131" spans="1:70" ht="15" customHeight="1" x14ac:dyDescent="0.35">
      <c r="A131" s="1" t="str">
        <f t="shared" ref="A131:A194" si="5">LEFT(B131,LEN(B131)-3)</f>
        <v>383P</v>
      </c>
      <c r="B131" t="s">
        <v>779</v>
      </c>
      <c r="C131" t="s">
        <v>780</v>
      </c>
      <c r="D131" t="s">
        <v>781</v>
      </c>
      <c r="E131" t="s">
        <v>782</v>
      </c>
      <c r="F131" t="s">
        <v>516</v>
      </c>
      <c r="G131" t="s">
        <v>502</v>
      </c>
      <c r="H131" t="s">
        <v>502</v>
      </c>
      <c r="I131" t="s">
        <v>137</v>
      </c>
      <c r="J131" t="b">
        <v>0</v>
      </c>
      <c r="K131" t="s">
        <v>78</v>
      </c>
      <c r="L131" t="s">
        <v>79</v>
      </c>
      <c r="N131" t="s">
        <v>81</v>
      </c>
      <c r="O131" t="s">
        <v>82</v>
      </c>
      <c r="P131" t="s">
        <v>83</v>
      </c>
      <c r="Q131" t="s">
        <v>503</v>
      </c>
      <c r="R131">
        <v>24</v>
      </c>
      <c r="S131" t="s">
        <v>85</v>
      </c>
      <c r="T131" t="s">
        <v>121</v>
      </c>
      <c r="U131">
        <v>1111111</v>
      </c>
      <c r="V131" t="s">
        <v>122</v>
      </c>
      <c r="W131" t="s">
        <v>504</v>
      </c>
      <c r="X131" t="s">
        <v>505</v>
      </c>
      <c r="Y131" t="s">
        <v>89</v>
      </c>
      <c r="Z131" t="s">
        <v>90</v>
      </c>
      <c r="AA131" t="s">
        <v>506</v>
      </c>
      <c r="AB131">
        <v>1</v>
      </c>
      <c r="AC131">
        <v>6</v>
      </c>
      <c r="AD131" t="b">
        <v>1</v>
      </c>
      <c r="AE131">
        <v>2022</v>
      </c>
      <c r="AF131" s="3">
        <v>367</v>
      </c>
      <c r="AG131" s="3">
        <v>44727</v>
      </c>
      <c r="AH131" s="3">
        <v>45818</v>
      </c>
      <c r="AJ131" s="4"/>
      <c r="AK131" s="4"/>
      <c r="AL131" s="3">
        <v>367</v>
      </c>
      <c r="AM131" s="3">
        <v>367</v>
      </c>
      <c r="AN131">
        <v>-8.8027248999999994</v>
      </c>
      <c r="AO131">
        <v>115.1750205</v>
      </c>
      <c r="AP131" t="s">
        <v>783</v>
      </c>
      <c r="AT131">
        <v>99.75</v>
      </c>
      <c r="AW131">
        <v>0</v>
      </c>
      <c r="AX131">
        <v>0</v>
      </c>
      <c r="BA131">
        <v>0</v>
      </c>
      <c r="BB131">
        <v>0</v>
      </c>
      <c r="BE131">
        <v>0</v>
      </c>
      <c r="BF131">
        <v>0</v>
      </c>
      <c r="BJ131">
        <v>0</v>
      </c>
      <c r="BL131">
        <v>0</v>
      </c>
      <c r="BN131">
        <v>0</v>
      </c>
      <c r="BO131" s="6">
        <v>0</v>
      </c>
      <c r="BP131">
        <v>0</v>
      </c>
      <c r="BQ131">
        <v>0</v>
      </c>
      <c r="BR131">
        <v>0</v>
      </c>
    </row>
    <row r="132" spans="1:70" ht="15" customHeight="1" x14ac:dyDescent="0.35">
      <c r="A132" s="1" t="str">
        <f t="shared" si="5"/>
        <v>383Q</v>
      </c>
      <c r="B132" t="s">
        <v>784</v>
      </c>
      <c r="C132" t="s">
        <v>785</v>
      </c>
      <c r="D132" t="s">
        <v>786</v>
      </c>
      <c r="E132" t="s">
        <v>787</v>
      </c>
      <c r="F132" t="s">
        <v>516</v>
      </c>
      <c r="G132" t="s">
        <v>502</v>
      </c>
      <c r="H132" t="s">
        <v>502</v>
      </c>
      <c r="I132" t="s">
        <v>137</v>
      </c>
      <c r="J132" t="b">
        <v>0</v>
      </c>
      <c r="K132" t="s">
        <v>78</v>
      </c>
      <c r="L132" t="s">
        <v>79</v>
      </c>
      <c r="N132" t="s">
        <v>81</v>
      </c>
      <c r="O132" t="s">
        <v>82</v>
      </c>
      <c r="P132" t="s">
        <v>83</v>
      </c>
      <c r="Q132" t="s">
        <v>503</v>
      </c>
      <c r="R132">
        <v>24</v>
      </c>
      <c r="S132" t="s">
        <v>85</v>
      </c>
      <c r="T132" t="s">
        <v>121</v>
      </c>
      <c r="U132">
        <v>1111111</v>
      </c>
      <c r="V132" t="s">
        <v>122</v>
      </c>
      <c r="W132" t="s">
        <v>504</v>
      </c>
      <c r="X132" t="s">
        <v>505</v>
      </c>
      <c r="Y132" t="s">
        <v>89</v>
      </c>
      <c r="Z132" t="s">
        <v>90</v>
      </c>
      <c r="AA132" t="s">
        <v>506</v>
      </c>
      <c r="AB132">
        <v>1</v>
      </c>
      <c r="AC132">
        <v>6</v>
      </c>
      <c r="AD132" t="b">
        <v>1</v>
      </c>
      <c r="AE132">
        <v>2022</v>
      </c>
      <c r="AF132" s="3">
        <v>367</v>
      </c>
      <c r="AG132" s="3">
        <v>44727</v>
      </c>
      <c r="AH132" s="3">
        <v>45818</v>
      </c>
      <c r="AJ132" s="4"/>
      <c r="AK132" s="4"/>
      <c r="AL132" s="3">
        <v>367</v>
      </c>
      <c r="AM132" s="3">
        <v>367</v>
      </c>
      <c r="AN132">
        <v>-8.7868098000000003</v>
      </c>
      <c r="AO132">
        <v>115.1939181</v>
      </c>
      <c r="AP132" t="s">
        <v>788</v>
      </c>
      <c r="AT132">
        <v>99.75</v>
      </c>
      <c r="AW132">
        <v>0</v>
      </c>
      <c r="AX132">
        <v>0</v>
      </c>
      <c r="BA132">
        <v>0</v>
      </c>
      <c r="BB132">
        <v>0</v>
      </c>
      <c r="BE132">
        <v>0</v>
      </c>
      <c r="BF132">
        <v>0</v>
      </c>
      <c r="BJ132">
        <v>0</v>
      </c>
      <c r="BL132">
        <v>0</v>
      </c>
      <c r="BN132">
        <v>0</v>
      </c>
      <c r="BO132" s="6">
        <v>0</v>
      </c>
      <c r="BP132">
        <v>0</v>
      </c>
      <c r="BQ132">
        <v>0</v>
      </c>
      <c r="BR132">
        <v>0</v>
      </c>
    </row>
    <row r="133" spans="1:70" ht="15" customHeight="1" x14ac:dyDescent="0.35">
      <c r="A133" s="1" t="str">
        <f t="shared" si="5"/>
        <v>383T</v>
      </c>
      <c r="B133" t="s">
        <v>789</v>
      </c>
      <c r="C133" t="s">
        <v>790</v>
      </c>
      <c r="D133" t="s">
        <v>791</v>
      </c>
      <c r="E133" t="s">
        <v>792</v>
      </c>
      <c r="F133" t="s">
        <v>516</v>
      </c>
      <c r="G133" t="s">
        <v>502</v>
      </c>
      <c r="H133" t="s">
        <v>502</v>
      </c>
      <c r="I133" t="s">
        <v>137</v>
      </c>
      <c r="J133" t="b">
        <v>0</v>
      </c>
      <c r="K133" t="s">
        <v>78</v>
      </c>
      <c r="L133" t="s">
        <v>79</v>
      </c>
      <c r="N133" t="s">
        <v>81</v>
      </c>
      <c r="O133" t="s">
        <v>82</v>
      </c>
      <c r="P133" t="s">
        <v>83</v>
      </c>
      <c r="Q133" t="s">
        <v>503</v>
      </c>
      <c r="R133">
        <v>24</v>
      </c>
      <c r="S133" t="s">
        <v>85</v>
      </c>
      <c r="T133" t="s">
        <v>121</v>
      </c>
      <c r="U133">
        <v>1111111</v>
      </c>
      <c r="V133" t="s">
        <v>122</v>
      </c>
      <c r="W133" t="s">
        <v>504</v>
      </c>
      <c r="X133" t="s">
        <v>505</v>
      </c>
      <c r="Y133" t="s">
        <v>89</v>
      </c>
      <c r="Z133" t="s">
        <v>90</v>
      </c>
      <c r="AA133" t="s">
        <v>506</v>
      </c>
      <c r="AB133">
        <v>1</v>
      </c>
      <c r="AC133">
        <v>6</v>
      </c>
      <c r="AD133" t="b">
        <v>1</v>
      </c>
      <c r="AE133">
        <v>2022</v>
      </c>
      <c r="AF133" s="3">
        <v>367</v>
      </c>
      <c r="AG133" s="3">
        <v>44728</v>
      </c>
      <c r="AH133" s="3">
        <v>45818</v>
      </c>
      <c r="AJ133" s="4"/>
      <c r="AK133" s="4"/>
      <c r="AL133" s="3">
        <v>367</v>
      </c>
      <c r="AM133" s="3">
        <v>367</v>
      </c>
      <c r="AN133">
        <v>-8.7895185999999992</v>
      </c>
      <c r="AO133">
        <v>115.1961088</v>
      </c>
      <c r="AP133" t="s">
        <v>793</v>
      </c>
      <c r="AT133">
        <v>99.75</v>
      </c>
      <c r="AW133">
        <v>0</v>
      </c>
      <c r="AX133">
        <v>0</v>
      </c>
      <c r="BA133">
        <v>0</v>
      </c>
      <c r="BB133">
        <v>0</v>
      </c>
      <c r="BE133">
        <v>0</v>
      </c>
      <c r="BF133">
        <v>0</v>
      </c>
      <c r="BJ133">
        <v>0</v>
      </c>
      <c r="BL133">
        <v>0</v>
      </c>
      <c r="BN133">
        <v>0</v>
      </c>
      <c r="BO133" s="6">
        <v>0</v>
      </c>
      <c r="BP133">
        <v>0</v>
      </c>
      <c r="BQ133">
        <v>0</v>
      </c>
      <c r="BR133">
        <v>0</v>
      </c>
    </row>
    <row r="134" spans="1:70" ht="15" customHeight="1" x14ac:dyDescent="0.35">
      <c r="A134" s="1" t="str">
        <f t="shared" si="5"/>
        <v>657F</v>
      </c>
      <c r="B134" t="s">
        <v>794</v>
      </c>
      <c r="C134" t="s">
        <v>795</v>
      </c>
      <c r="D134" t="s">
        <v>796</v>
      </c>
      <c r="E134" t="s">
        <v>797</v>
      </c>
      <c r="F134" t="s">
        <v>516</v>
      </c>
      <c r="G134" t="s">
        <v>502</v>
      </c>
      <c r="H134" t="s">
        <v>502</v>
      </c>
      <c r="I134" t="s">
        <v>137</v>
      </c>
      <c r="J134" t="b">
        <v>0</v>
      </c>
      <c r="K134" t="s">
        <v>78</v>
      </c>
      <c r="L134" t="s">
        <v>79</v>
      </c>
      <c r="N134" t="s">
        <v>81</v>
      </c>
      <c r="O134" t="s">
        <v>82</v>
      </c>
      <c r="P134" t="s">
        <v>83</v>
      </c>
      <c r="Q134" t="s">
        <v>503</v>
      </c>
      <c r="R134">
        <v>24</v>
      </c>
      <c r="S134" t="s">
        <v>85</v>
      </c>
      <c r="T134" t="s">
        <v>121</v>
      </c>
      <c r="U134">
        <v>1111111</v>
      </c>
      <c r="V134" t="s">
        <v>122</v>
      </c>
      <c r="W134" t="s">
        <v>504</v>
      </c>
      <c r="X134" t="s">
        <v>505</v>
      </c>
      <c r="Y134" t="s">
        <v>89</v>
      </c>
      <c r="Z134" t="s">
        <v>90</v>
      </c>
      <c r="AA134" t="s">
        <v>506</v>
      </c>
      <c r="AB134">
        <v>1</v>
      </c>
      <c r="AC134">
        <v>6</v>
      </c>
      <c r="AD134" t="b">
        <v>1</v>
      </c>
      <c r="AE134">
        <v>2022</v>
      </c>
      <c r="AF134" s="3">
        <v>367</v>
      </c>
      <c r="AG134" s="3">
        <v>44726</v>
      </c>
      <c r="AH134" s="3">
        <v>45818</v>
      </c>
      <c r="AJ134" s="4"/>
      <c r="AK134" s="4"/>
      <c r="AL134" s="3">
        <v>367</v>
      </c>
      <c r="AM134" s="3">
        <v>367</v>
      </c>
      <c r="AN134">
        <v>-8.7944051000000005</v>
      </c>
      <c r="AO134">
        <v>115.1627921</v>
      </c>
      <c r="AP134" t="s">
        <v>797</v>
      </c>
      <c r="AT134">
        <v>99.75</v>
      </c>
      <c r="AW134">
        <v>0</v>
      </c>
      <c r="AX134">
        <v>0</v>
      </c>
      <c r="BA134">
        <v>0</v>
      </c>
      <c r="BB134">
        <v>0</v>
      </c>
      <c r="BE134">
        <v>0</v>
      </c>
      <c r="BF134">
        <v>0</v>
      </c>
      <c r="BJ134">
        <v>0</v>
      </c>
      <c r="BL134">
        <v>0</v>
      </c>
      <c r="BN134">
        <v>0</v>
      </c>
      <c r="BO134" s="6">
        <v>0</v>
      </c>
      <c r="BP134">
        <v>0</v>
      </c>
      <c r="BQ134">
        <v>0</v>
      </c>
      <c r="BR134">
        <v>0</v>
      </c>
    </row>
    <row r="135" spans="1:70" ht="15" customHeight="1" x14ac:dyDescent="0.35">
      <c r="A135" s="1" t="str">
        <f t="shared" si="5"/>
        <v>694F</v>
      </c>
      <c r="B135" t="s">
        <v>798</v>
      </c>
      <c r="C135" t="s">
        <v>799</v>
      </c>
      <c r="D135" t="s">
        <v>800</v>
      </c>
      <c r="E135" t="s">
        <v>801</v>
      </c>
      <c r="F135" t="s">
        <v>516</v>
      </c>
      <c r="G135" t="s">
        <v>502</v>
      </c>
      <c r="H135" t="s">
        <v>502</v>
      </c>
      <c r="I135" t="s">
        <v>113</v>
      </c>
      <c r="J135" t="b">
        <v>1</v>
      </c>
      <c r="K135" t="s">
        <v>78</v>
      </c>
      <c r="L135" t="s">
        <v>79</v>
      </c>
      <c r="N135" t="s">
        <v>81</v>
      </c>
      <c r="O135" t="s">
        <v>82</v>
      </c>
      <c r="P135" t="s">
        <v>83</v>
      </c>
      <c r="Q135" t="s">
        <v>503</v>
      </c>
      <c r="R135">
        <v>24</v>
      </c>
      <c r="S135" t="s">
        <v>85</v>
      </c>
      <c r="T135" t="s">
        <v>121</v>
      </c>
      <c r="U135">
        <v>1111111</v>
      </c>
      <c r="V135" t="s">
        <v>122</v>
      </c>
      <c r="W135" t="s">
        <v>504</v>
      </c>
      <c r="X135" t="s">
        <v>505</v>
      </c>
      <c r="Y135" t="s">
        <v>89</v>
      </c>
      <c r="Z135" t="s">
        <v>90</v>
      </c>
      <c r="AA135" t="s">
        <v>506</v>
      </c>
      <c r="AB135">
        <v>1</v>
      </c>
      <c r="AC135">
        <v>6</v>
      </c>
      <c r="AD135" t="b">
        <v>1</v>
      </c>
      <c r="AE135">
        <v>2022</v>
      </c>
      <c r="AF135" s="3">
        <v>367</v>
      </c>
      <c r="AG135" s="3">
        <v>44726</v>
      </c>
      <c r="AH135" s="3">
        <v>45818</v>
      </c>
      <c r="AJ135" s="4"/>
      <c r="AK135" s="4"/>
      <c r="AL135" s="3">
        <v>367</v>
      </c>
      <c r="AM135" s="3">
        <v>367</v>
      </c>
      <c r="AN135">
        <v>-8.8438707999999995</v>
      </c>
      <c r="AO135">
        <v>115.1207347</v>
      </c>
      <c r="AP135" t="s">
        <v>802</v>
      </c>
      <c r="AT135">
        <v>99.75</v>
      </c>
      <c r="AW135">
        <v>0</v>
      </c>
      <c r="AX135">
        <v>0</v>
      </c>
      <c r="BA135">
        <v>0</v>
      </c>
      <c r="BB135">
        <v>0</v>
      </c>
      <c r="BE135">
        <v>0</v>
      </c>
      <c r="BF135">
        <v>0</v>
      </c>
      <c r="BJ135">
        <v>0</v>
      </c>
      <c r="BL135">
        <v>0</v>
      </c>
      <c r="BN135">
        <v>0</v>
      </c>
      <c r="BO135" s="6">
        <v>0</v>
      </c>
      <c r="BP135">
        <v>0</v>
      </c>
      <c r="BQ135">
        <v>0</v>
      </c>
      <c r="BR135">
        <v>0</v>
      </c>
    </row>
    <row r="136" spans="1:70" ht="15" customHeight="1" x14ac:dyDescent="0.35">
      <c r="A136" s="1" t="str">
        <f t="shared" si="5"/>
        <v>5762</v>
      </c>
      <c r="B136" t="s">
        <v>803</v>
      </c>
      <c r="C136" t="s">
        <v>804</v>
      </c>
      <c r="D136" t="s">
        <v>805</v>
      </c>
      <c r="E136" t="s">
        <v>806</v>
      </c>
      <c r="F136" t="s">
        <v>516</v>
      </c>
      <c r="G136" t="s">
        <v>502</v>
      </c>
      <c r="H136" t="s">
        <v>502</v>
      </c>
      <c r="I136" t="s">
        <v>137</v>
      </c>
      <c r="J136" t="b">
        <v>0</v>
      </c>
      <c r="K136" t="s">
        <v>78</v>
      </c>
      <c r="L136" t="s">
        <v>79</v>
      </c>
      <c r="N136" t="s">
        <v>81</v>
      </c>
      <c r="O136" t="s">
        <v>82</v>
      </c>
      <c r="P136" t="s">
        <v>83</v>
      </c>
      <c r="Q136" t="s">
        <v>503</v>
      </c>
      <c r="R136">
        <v>24</v>
      </c>
      <c r="S136" t="s">
        <v>85</v>
      </c>
      <c r="T136" t="s">
        <v>121</v>
      </c>
      <c r="U136">
        <v>1111111</v>
      </c>
      <c r="V136" t="s">
        <v>122</v>
      </c>
      <c r="W136" t="s">
        <v>504</v>
      </c>
      <c r="X136" t="s">
        <v>505</v>
      </c>
      <c r="Y136" t="s">
        <v>89</v>
      </c>
      <c r="Z136" t="s">
        <v>90</v>
      </c>
      <c r="AA136" t="s">
        <v>506</v>
      </c>
      <c r="AB136">
        <v>1</v>
      </c>
      <c r="AC136">
        <v>6</v>
      </c>
      <c r="AD136" t="b">
        <v>1</v>
      </c>
      <c r="AE136">
        <v>2022</v>
      </c>
      <c r="AF136" s="3">
        <v>367</v>
      </c>
      <c r="AG136" s="3">
        <v>44730</v>
      </c>
      <c r="AH136" s="3">
        <v>45818</v>
      </c>
      <c r="AJ136" s="4"/>
      <c r="AK136" s="4"/>
      <c r="AL136" s="3">
        <v>367</v>
      </c>
      <c r="AM136" s="3">
        <v>367</v>
      </c>
      <c r="AN136">
        <v>-8.8036299000000007</v>
      </c>
      <c r="AO136">
        <v>115.15986580000001</v>
      </c>
      <c r="AP136" t="s">
        <v>806</v>
      </c>
      <c r="AT136">
        <v>99.75</v>
      </c>
      <c r="AW136">
        <v>0</v>
      </c>
      <c r="AX136">
        <v>0</v>
      </c>
      <c r="BA136">
        <v>0</v>
      </c>
      <c r="BB136">
        <v>0</v>
      </c>
      <c r="BE136">
        <v>0</v>
      </c>
      <c r="BF136">
        <v>0</v>
      </c>
      <c r="BJ136">
        <v>0</v>
      </c>
      <c r="BL136">
        <v>0</v>
      </c>
      <c r="BN136">
        <v>0</v>
      </c>
      <c r="BO136" s="6">
        <v>0</v>
      </c>
      <c r="BP136">
        <v>0</v>
      </c>
      <c r="BQ136">
        <v>0</v>
      </c>
      <c r="BR136">
        <v>0</v>
      </c>
    </row>
    <row r="137" spans="1:70" ht="15" customHeight="1" x14ac:dyDescent="0.35">
      <c r="A137" s="1" t="str">
        <f t="shared" si="5"/>
        <v>355Z</v>
      </c>
      <c r="B137" t="s">
        <v>807</v>
      </c>
      <c r="C137" t="s">
        <v>808</v>
      </c>
      <c r="D137" t="s">
        <v>809</v>
      </c>
      <c r="E137" t="s">
        <v>810</v>
      </c>
      <c r="F137" t="s">
        <v>537</v>
      </c>
      <c r="G137" t="s">
        <v>502</v>
      </c>
      <c r="H137" t="s">
        <v>502</v>
      </c>
      <c r="I137" t="s">
        <v>137</v>
      </c>
      <c r="J137" t="b">
        <v>0</v>
      </c>
      <c r="K137" t="s">
        <v>78</v>
      </c>
      <c r="L137" t="s">
        <v>79</v>
      </c>
      <c r="N137" t="s">
        <v>81</v>
      </c>
      <c r="O137" t="s">
        <v>82</v>
      </c>
      <c r="P137" t="s">
        <v>83</v>
      </c>
      <c r="Q137" t="s">
        <v>503</v>
      </c>
      <c r="R137">
        <v>15</v>
      </c>
      <c r="S137" t="s">
        <v>121</v>
      </c>
      <c r="T137" t="s">
        <v>121</v>
      </c>
      <c r="U137">
        <v>1111111</v>
      </c>
      <c r="V137" t="s">
        <v>122</v>
      </c>
      <c r="W137" t="s">
        <v>550</v>
      </c>
      <c r="X137" t="s">
        <v>551</v>
      </c>
      <c r="Y137" t="s">
        <v>89</v>
      </c>
      <c r="Z137" t="s">
        <v>90</v>
      </c>
      <c r="AA137" t="s">
        <v>506</v>
      </c>
      <c r="AB137">
        <v>2</v>
      </c>
      <c r="AC137">
        <v>6</v>
      </c>
      <c r="AD137" t="b">
        <v>1</v>
      </c>
      <c r="AE137">
        <v>2022</v>
      </c>
      <c r="AF137" s="3">
        <v>367</v>
      </c>
      <c r="AG137" s="3">
        <v>44730</v>
      </c>
      <c r="AH137" s="3">
        <v>45818</v>
      </c>
      <c r="AJ137" s="4"/>
      <c r="AK137" s="4"/>
      <c r="AL137" s="3">
        <v>367</v>
      </c>
      <c r="AM137" s="3">
        <v>367</v>
      </c>
      <c r="AN137">
        <v>-8.4732444999999998</v>
      </c>
      <c r="AO137">
        <v>115.28209150000001</v>
      </c>
      <c r="AP137" t="s">
        <v>811</v>
      </c>
      <c r="AT137">
        <v>99.75</v>
      </c>
      <c r="AW137">
        <v>0</v>
      </c>
      <c r="AX137">
        <v>0</v>
      </c>
      <c r="BA137">
        <v>0</v>
      </c>
      <c r="BB137">
        <v>0</v>
      </c>
      <c r="BE137">
        <v>0</v>
      </c>
      <c r="BF137">
        <v>0</v>
      </c>
      <c r="BJ137">
        <v>0</v>
      </c>
      <c r="BL137">
        <v>0</v>
      </c>
      <c r="BN137">
        <v>0</v>
      </c>
      <c r="BO137" s="6">
        <v>0</v>
      </c>
      <c r="BP137">
        <v>0</v>
      </c>
      <c r="BQ137">
        <v>0</v>
      </c>
      <c r="BR137">
        <v>0</v>
      </c>
    </row>
    <row r="138" spans="1:70" ht="15" customHeight="1" x14ac:dyDescent="0.35">
      <c r="A138" s="1" t="str">
        <f t="shared" si="5"/>
        <v>639D</v>
      </c>
      <c r="B138" t="s">
        <v>812</v>
      </c>
      <c r="C138" t="s">
        <v>813</v>
      </c>
      <c r="D138" t="s">
        <v>814</v>
      </c>
      <c r="E138" t="s">
        <v>815</v>
      </c>
      <c r="F138" t="s">
        <v>537</v>
      </c>
      <c r="G138" t="s">
        <v>502</v>
      </c>
      <c r="H138" t="s">
        <v>502</v>
      </c>
      <c r="I138" t="s">
        <v>350</v>
      </c>
      <c r="J138" t="b">
        <v>1</v>
      </c>
      <c r="K138" t="s">
        <v>78</v>
      </c>
      <c r="L138" t="s">
        <v>79</v>
      </c>
      <c r="N138" t="s">
        <v>81</v>
      </c>
      <c r="O138" t="s">
        <v>82</v>
      </c>
      <c r="P138" t="s">
        <v>83</v>
      </c>
      <c r="Q138" t="s">
        <v>503</v>
      </c>
      <c r="R138">
        <v>24</v>
      </c>
      <c r="S138" t="s">
        <v>85</v>
      </c>
      <c r="T138" t="s">
        <v>121</v>
      </c>
      <c r="U138">
        <v>1111111</v>
      </c>
      <c r="V138" t="s">
        <v>122</v>
      </c>
      <c r="W138" t="s">
        <v>550</v>
      </c>
      <c r="X138" t="s">
        <v>551</v>
      </c>
      <c r="Y138" t="s">
        <v>89</v>
      </c>
      <c r="Z138" t="s">
        <v>90</v>
      </c>
      <c r="AA138" t="s">
        <v>506</v>
      </c>
      <c r="AB138">
        <v>1</v>
      </c>
      <c r="AC138">
        <v>6</v>
      </c>
      <c r="AD138" t="b">
        <v>1</v>
      </c>
      <c r="AE138">
        <v>2022</v>
      </c>
      <c r="AF138" s="3">
        <v>367</v>
      </c>
      <c r="AG138" s="3">
        <v>44730</v>
      </c>
      <c r="AH138" s="3">
        <v>45818</v>
      </c>
      <c r="AJ138" s="4"/>
      <c r="AK138" s="4"/>
      <c r="AL138" s="3">
        <v>367</v>
      </c>
      <c r="AM138" s="3">
        <v>367</v>
      </c>
      <c r="AN138">
        <v>-8.5543157999999995</v>
      </c>
      <c r="AO138">
        <v>115.2724604</v>
      </c>
      <c r="AP138" t="s">
        <v>816</v>
      </c>
      <c r="AT138">
        <v>99.75</v>
      </c>
      <c r="AW138">
        <v>0</v>
      </c>
      <c r="AX138">
        <v>0</v>
      </c>
      <c r="BA138">
        <v>0</v>
      </c>
      <c r="BB138">
        <v>0</v>
      </c>
      <c r="BE138">
        <v>0</v>
      </c>
      <c r="BF138">
        <v>0</v>
      </c>
      <c r="BJ138">
        <v>0</v>
      </c>
      <c r="BL138">
        <v>0</v>
      </c>
      <c r="BN138">
        <v>0</v>
      </c>
      <c r="BO138" s="6">
        <v>0</v>
      </c>
      <c r="BP138">
        <v>0</v>
      </c>
      <c r="BQ138">
        <v>0</v>
      </c>
      <c r="BR138">
        <v>0</v>
      </c>
    </row>
    <row r="139" spans="1:70" ht="15" customHeight="1" x14ac:dyDescent="0.35">
      <c r="A139" s="1" t="str">
        <f t="shared" si="5"/>
        <v>164B</v>
      </c>
      <c r="B139" t="s">
        <v>817</v>
      </c>
      <c r="C139" t="s">
        <v>818</v>
      </c>
      <c r="D139" t="s">
        <v>819</v>
      </c>
      <c r="E139" t="s">
        <v>820</v>
      </c>
      <c r="F139" t="s">
        <v>537</v>
      </c>
      <c r="G139" t="s">
        <v>502</v>
      </c>
      <c r="H139" t="s">
        <v>502</v>
      </c>
      <c r="I139" t="s">
        <v>137</v>
      </c>
      <c r="J139" t="b">
        <v>0</v>
      </c>
      <c r="K139" t="s">
        <v>78</v>
      </c>
      <c r="L139" t="s">
        <v>79</v>
      </c>
      <c r="N139" t="s">
        <v>81</v>
      </c>
      <c r="O139" t="s">
        <v>82</v>
      </c>
      <c r="P139" t="s">
        <v>83</v>
      </c>
      <c r="Q139" t="s">
        <v>503</v>
      </c>
      <c r="R139">
        <v>15</v>
      </c>
      <c r="S139" t="s">
        <v>121</v>
      </c>
      <c r="T139" t="s">
        <v>121</v>
      </c>
      <c r="U139">
        <v>1111111</v>
      </c>
      <c r="V139" t="s">
        <v>122</v>
      </c>
      <c r="W139" t="s">
        <v>550</v>
      </c>
      <c r="X139" t="s">
        <v>551</v>
      </c>
      <c r="Y139" t="s">
        <v>89</v>
      </c>
      <c r="Z139" t="s">
        <v>90</v>
      </c>
      <c r="AA139" t="s">
        <v>506</v>
      </c>
      <c r="AB139">
        <v>2</v>
      </c>
      <c r="AC139">
        <v>6</v>
      </c>
      <c r="AD139" t="b">
        <v>1</v>
      </c>
      <c r="AE139">
        <v>2022</v>
      </c>
      <c r="AF139" s="3">
        <v>367</v>
      </c>
      <c r="AG139" s="3">
        <v>44726</v>
      </c>
      <c r="AH139" s="3">
        <v>45818</v>
      </c>
      <c r="AJ139" s="4"/>
      <c r="AK139" s="4"/>
      <c r="AL139" s="3">
        <v>367</v>
      </c>
      <c r="AM139" s="3">
        <v>367</v>
      </c>
      <c r="AN139">
        <v>-8.5239867999999994</v>
      </c>
      <c r="AO139">
        <v>115.291352</v>
      </c>
      <c r="AP139" t="s">
        <v>821</v>
      </c>
      <c r="AT139">
        <v>99.75</v>
      </c>
      <c r="AW139">
        <v>0</v>
      </c>
      <c r="AX139">
        <v>0</v>
      </c>
      <c r="BA139">
        <v>0</v>
      </c>
      <c r="BB139">
        <v>0</v>
      </c>
      <c r="BE139">
        <v>0</v>
      </c>
      <c r="BF139">
        <v>0</v>
      </c>
      <c r="BJ139">
        <v>0</v>
      </c>
      <c r="BL139">
        <v>0</v>
      </c>
      <c r="BN139">
        <v>0</v>
      </c>
      <c r="BO139" s="6">
        <v>0</v>
      </c>
      <c r="BP139">
        <v>0</v>
      </c>
      <c r="BQ139">
        <v>0</v>
      </c>
      <c r="BR139">
        <v>0</v>
      </c>
    </row>
    <row r="140" spans="1:70" ht="15" customHeight="1" x14ac:dyDescent="0.35">
      <c r="A140" s="1" t="str">
        <f t="shared" si="5"/>
        <v>2980</v>
      </c>
      <c r="B140" t="s">
        <v>822</v>
      </c>
      <c r="C140" t="s">
        <v>823</v>
      </c>
      <c r="D140" t="s">
        <v>824</v>
      </c>
      <c r="E140" t="s">
        <v>825</v>
      </c>
      <c r="F140" t="s">
        <v>501</v>
      </c>
      <c r="G140" t="s">
        <v>502</v>
      </c>
      <c r="H140" t="s">
        <v>502</v>
      </c>
      <c r="I140" t="s">
        <v>137</v>
      </c>
      <c r="J140" t="b">
        <v>0</v>
      </c>
      <c r="K140" t="s">
        <v>78</v>
      </c>
      <c r="L140" t="s">
        <v>79</v>
      </c>
      <c r="N140" t="s">
        <v>81</v>
      </c>
      <c r="O140" t="s">
        <v>82</v>
      </c>
      <c r="P140" t="s">
        <v>83</v>
      </c>
      <c r="Q140" t="s">
        <v>503</v>
      </c>
      <c r="R140">
        <v>15</v>
      </c>
      <c r="S140" t="s">
        <v>121</v>
      </c>
      <c r="T140" t="s">
        <v>121</v>
      </c>
      <c r="U140">
        <v>1111111</v>
      </c>
      <c r="V140" t="s">
        <v>122</v>
      </c>
      <c r="W140" t="s">
        <v>529</v>
      </c>
      <c r="X140" t="s">
        <v>530</v>
      </c>
      <c r="Y140" t="s">
        <v>89</v>
      </c>
      <c r="Z140" t="s">
        <v>90</v>
      </c>
      <c r="AA140" t="s">
        <v>506</v>
      </c>
      <c r="AB140">
        <v>1</v>
      </c>
      <c r="AC140">
        <v>6</v>
      </c>
      <c r="AD140" t="b">
        <v>1</v>
      </c>
      <c r="AE140">
        <v>2022</v>
      </c>
      <c r="AF140" s="3">
        <v>367</v>
      </c>
      <c r="AG140" s="3">
        <v>44727</v>
      </c>
      <c r="AH140" s="3">
        <v>45818</v>
      </c>
      <c r="AJ140" s="4"/>
      <c r="AK140" s="4"/>
      <c r="AL140" s="3">
        <v>367</v>
      </c>
      <c r="AM140" s="3">
        <v>367</v>
      </c>
      <c r="AN140">
        <v>-8.7149388999999999</v>
      </c>
      <c r="AO140">
        <v>115.22096550000001</v>
      </c>
      <c r="AP140" t="s">
        <v>826</v>
      </c>
      <c r="AT140">
        <v>99.75</v>
      </c>
      <c r="AW140">
        <v>0</v>
      </c>
      <c r="AX140">
        <v>0</v>
      </c>
      <c r="BA140">
        <v>0</v>
      </c>
      <c r="BB140">
        <v>0</v>
      </c>
      <c r="BE140">
        <v>0</v>
      </c>
      <c r="BF140">
        <v>0</v>
      </c>
      <c r="BJ140">
        <v>0</v>
      </c>
      <c r="BL140">
        <v>0</v>
      </c>
      <c r="BN140">
        <v>0</v>
      </c>
      <c r="BO140" s="6">
        <v>0</v>
      </c>
      <c r="BP140">
        <v>0</v>
      </c>
      <c r="BQ140">
        <v>0</v>
      </c>
      <c r="BR140">
        <v>0</v>
      </c>
    </row>
    <row r="141" spans="1:70" ht="15" customHeight="1" x14ac:dyDescent="0.35">
      <c r="A141" s="1" t="str">
        <f t="shared" si="5"/>
        <v>365N</v>
      </c>
      <c r="B141" t="s">
        <v>827</v>
      </c>
      <c r="C141" t="s">
        <v>828</v>
      </c>
      <c r="D141" t="s">
        <v>829</v>
      </c>
      <c r="E141" t="s">
        <v>830</v>
      </c>
      <c r="F141" t="s">
        <v>501</v>
      </c>
      <c r="G141" t="s">
        <v>502</v>
      </c>
      <c r="H141" t="s">
        <v>502</v>
      </c>
      <c r="I141" t="s">
        <v>137</v>
      </c>
      <c r="J141" t="b">
        <v>0</v>
      </c>
      <c r="K141" t="s">
        <v>78</v>
      </c>
      <c r="L141" t="s">
        <v>79</v>
      </c>
      <c r="N141" t="s">
        <v>81</v>
      </c>
      <c r="O141" t="s">
        <v>82</v>
      </c>
      <c r="P141" t="s">
        <v>83</v>
      </c>
      <c r="Q141" t="s">
        <v>549</v>
      </c>
      <c r="R141">
        <v>15</v>
      </c>
      <c r="S141" t="s">
        <v>85</v>
      </c>
      <c r="T141" t="s">
        <v>121</v>
      </c>
      <c r="U141">
        <v>1111111</v>
      </c>
      <c r="V141" t="s">
        <v>122</v>
      </c>
      <c r="W141" t="s">
        <v>694</v>
      </c>
      <c r="X141" t="s">
        <v>695</v>
      </c>
      <c r="Y141" t="s">
        <v>89</v>
      </c>
      <c r="Z141" t="s">
        <v>90</v>
      </c>
      <c r="AA141" t="s">
        <v>506</v>
      </c>
      <c r="AB141">
        <v>1</v>
      </c>
      <c r="AC141">
        <v>6</v>
      </c>
      <c r="AD141" t="b">
        <v>1</v>
      </c>
      <c r="AE141">
        <v>2022</v>
      </c>
      <c r="AF141" s="3">
        <v>367</v>
      </c>
      <c r="AG141" s="3">
        <v>44727</v>
      </c>
      <c r="AH141" s="3">
        <v>45818</v>
      </c>
      <c r="AJ141" s="4"/>
      <c r="AK141" s="4"/>
      <c r="AL141" s="3">
        <v>367</v>
      </c>
      <c r="AM141" s="3">
        <v>367</v>
      </c>
      <c r="AN141">
        <v>-8.6882695000000005</v>
      </c>
      <c r="AO141">
        <v>115.22689339999999</v>
      </c>
      <c r="AP141" t="s">
        <v>831</v>
      </c>
      <c r="AT141">
        <v>99.75</v>
      </c>
      <c r="AW141">
        <v>0</v>
      </c>
      <c r="AX141">
        <v>0</v>
      </c>
      <c r="BA141">
        <v>0</v>
      </c>
      <c r="BB141">
        <v>0</v>
      </c>
      <c r="BE141">
        <v>0</v>
      </c>
      <c r="BF141">
        <v>0</v>
      </c>
      <c r="BJ141">
        <v>0</v>
      </c>
      <c r="BL141">
        <v>0</v>
      </c>
      <c r="BN141">
        <v>0</v>
      </c>
      <c r="BO141" s="6">
        <v>0</v>
      </c>
      <c r="BP141">
        <v>0</v>
      </c>
      <c r="BQ141">
        <v>0</v>
      </c>
      <c r="BR141">
        <v>0</v>
      </c>
    </row>
    <row r="142" spans="1:70" ht="15" customHeight="1" x14ac:dyDescent="0.35">
      <c r="A142" s="1" t="str">
        <f t="shared" si="5"/>
        <v>334V</v>
      </c>
      <c r="B142" t="s">
        <v>832</v>
      </c>
      <c r="C142" t="s">
        <v>833</v>
      </c>
      <c r="D142" t="s">
        <v>834</v>
      </c>
      <c r="E142" t="s">
        <v>835</v>
      </c>
      <c r="F142" t="s">
        <v>501</v>
      </c>
      <c r="G142" t="s">
        <v>502</v>
      </c>
      <c r="H142" t="s">
        <v>502</v>
      </c>
      <c r="I142" t="s">
        <v>137</v>
      </c>
      <c r="J142" t="b">
        <v>0</v>
      </c>
      <c r="K142" t="s">
        <v>78</v>
      </c>
      <c r="L142" t="s">
        <v>79</v>
      </c>
      <c r="N142" t="s">
        <v>81</v>
      </c>
      <c r="O142" t="s">
        <v>82</v>
      </c>
      <c r="P142" t="s">
        <v>83</v>
      </c>
      <c r="Q142" t="s">
        <v>549</v>
      </c>
      <c r="R142">
        <v>24</v>
      </c>
      <c r="S142" t="s">
        <v>85</v>
      </c>
      <c r="T142" t="s">
        <v>121</v>
      </c>
      <c r="U142">
        <v>1111111</v>
      </c>
      <c r="V142" t="s">
        <v>122</v>
      </c>
      <c r="W142" t="s">
        <v>550</v>
      </c>
      <c r="X142" t="s">
        <v>551</v>
      </c>
      <c r="Y142" t="s">
        <v>89</v>
      </c>
      <c r="Z142" t="s">
        <v>90</v>
      </c>
      <c r="AA142" t="s">
        <v>506</v>
      </c>
      <c r="AB142">
        <v>1</v>
      </c>
      <c r="AC142">
        <v>6</v>
      </c>
      <c r="AD142" t="b">
        <v>1</v>
      </c>
      <c r="AE142">
        <v>2022</v>
      </c>
      <c r="AF142" s="3">
        <v>367</v>
      </c>
      <c r="AG142" s="3">
        <v>44727</v>
      </c>
      <c r="AH142" s="3">
        <v>45818</v>
      </c>
      <c r="AJ142" s="4"/>
      <c r="AK142" s="4"/>
      <c r="AL142" s="3">
        <v>367</v>
      </c>
      <c r="AM142" s="3">
        <v>367</v>
      </c>
      <c r="AN142">
        <v>-8.6860266999999993</v>
      </c>
      <c r="AO142">
        <v>115.2587539</v>
      </c>
      <c r="AP142" t="s">
        <v>836</v>
      </c>
      <c r="AT142">
        <v>99.75</v>
      </c>
      <c r="AW142">
        <v>0</v>
      </c>
      <c r="AX142">
        <v>0</v>
      </c>
      <c r="BA142">
        <v>0</v>
      </c>
      <c r="BB142">
        <v>0</v>
      </c>
      <c r="BE142">
        <v>0</v>
      </c>
      <c r="BF142">
        <v>0</v>
      </c>
      <c r="BJ142">
        <v>0</v>
      </c>
      <c r="BL142">
        <v>0</v>
      </c>
      <c r="BN142">
        <v>0</v>
      </c>
      <c r="BO142" s="6">
        <v>0</v>
      </c>
      <c r="BP142">
        <v>0</v>
      </c>
      <c r="BQ142">
        <v>0</v>
      </c>
      <c r="BR142">
        <v>0</v>
      </c>
    </row>
    <row r="143" spans="1:70" ht="15" customHeight="1" x14ac:dyDescent="0.35">
      <c r="A143" s="1" t="str">
        <f t="shared" si="5"/>
        <v>00UV</v>
      </c>
      <c r="B143" t="s">
        <v>837</v>
      </c>
      <c r="C143" t="s">
        <v>838</v>
      </c>
      <c r="D143" t="s">
        <v>839</v>
      </c>
      <c r="E143" t="s">
        <v>840</v>
      </c>
      <c r="F143" t="s">
        <v>537</v>
      </c>
      <c r="G143" t="s">
        <v>502</v>
      </c>
      <c r="H143" t="s">
        <v>502</v>
      </c>
      <c r="I143" t="s">
        <v>137</v>
      </c>
      <c r="J143" t="b">
        <v>0</v>
      </c>
      <c r="K143" t="s">
        <v>78</v>
      </c>
      <c r="L143" t="s">
        <v>79</v>
      </c>
      <c r="N143" t="s">
        <v>81</v>
      </c>
      <c r="O143" t="s">
        <v>82</v>
      </c>
      <c r="P143" t="s">
        <v>83</v>
      </c>
      <c r="Q143" t="s">
        <v>503</v>
      </c>
      <c r="R143">
        <v>24</v>
      </c>
      <c r="S143" t="s">
        <v>85</v>
      </c>
      <c r="T143" t="s">
        <v>121</v>
      </c>
      <c r="U143">
        <v>1111111</v>
      </c>
      <c r="V143" t="s">
        <v>122</v>
      </c>
      <c r="W143" t="s">
        <v>529</v>
      </c>
      <c r="X143" t="s">
        <v>530</v>
      </c>
      <c r="Y143" t="s">
        <v>89</v>
      </c>
      <c r="Z143" t="s">
        <v>90</v>
      </c>
      <c r="AA143" t="s">
        <v>506</v>
      </c>
      <c r="AB143">
        <v>1</v>
      </c>
      <c r="AC143">
        <v>6</v>
      </c>
      <c r="AD143" t="b">
        <v>1</v>
      </c>
      <c r="AE143">
        <v>2022</v>
      </c>
      <c r="AF143" s="3">
        <v>367</v>
      </c>
      <c r="AG143" s="3">
        <v>44727</v>
      </c>
      <c r="AH143" s="3">
        <v>45818</v>
      </c>
      <c r="AJ143" s="4"/>
      <c r="AK143" s="4"/>
      <c r="AL143" s="3">
        <v>367</v>
      </c>
      <c r="AM143" s="3">
        <v>367</v>
      </c>
      <c r="AN143">
        <v>-8.5278711000000005</v>
      </c>
      <c r="AO143">
        <v>115.24388</v>
      </c>
      <c r="AP143" t="s">
        <v>841</v>
      </c>
      <c r="AT143">
        <v>99.75</v>
      </c>
      <c r="AW143">
        <v>0</v>
      </c>
      <c r="AX143">
        <v>0</v>
      </c>
      <c r="BA143">
        <v>0</v>
      </c>
      <c r="BB143">
        <v>0</v>
      </c>
      <c r="BE143">
        <v>0</v>
      </c>
      <c r="BF143">
        <v>0</v>
      </c>
      <c r="BJ143">
        <v>0</v>
      </c>
      <c r="BL143">
        <v>0</v>
      </c>
      <c r="BN143">
        <v>0</v>
      </c>
      <c r="BO143" s="6">
        <v>0</v>
      </c>
      <c r="BP143">
        <v>0</v>
      </c>
      <c r="BQ143">
        <v>0</v>
      </c>
      <c r="BR143">
        <v>0</v>
      </c>
    </row>
    <row r="144" spans="1:70" ht="15" customHeight="1" x14ac:dyDescent="0.35">
      <c r="A144" s="1" t="str">
        <f t="shared" si="5"/>
        <v>391N</v>
      </c>
      <c r="B144" t="s">
        <v>842</v>
      </c>
      <c r="C144" t="s">
        <v>843</v>
      </c>
      <c r="D144" t="s">
        <v>844</v>
      </c>
      <c r="E144" t="s">
        <v>845</v>
      </c>
      <c r="F144" t="s">
        <v>501</v>
      </c>
      <c r="G144" t="s">
        <v>502</v>
      </c>
      <c r="H144" t="s">
        <v>502</v>
      </c>
      <c r="I144" t="s">
        <v>137</v>
      </c>
      <c r="J144" t="b">
        <v>0</v>
      </c>
      <c r="K144" t="s">
        <v>78</v>
      </c>
      <c r="L144" t="s">
        <v>79</v>
      </c>
      <c r="N144" t="s">
        <v>81</v>
      </c>
      <c r="O144" t="s">
        <v>82</v>
      </c>
      <c r="P144" t="s">
        <v>83</v>
      </c>
      <c r="Q144" t="s">
        <v>549</v>
      </c>
      <c r="R144">
        <v>15</v>
      </c>
      <c r="S144" t="s">
        <v>85</v>
      </c>
      <c r="T144" t="s">
        <v>121</v>
      </c>
      <c r="U144">
        <v>1111111</v>
      </c>
      <c r="V144" t="s">
        <v>122</v>
      </c>
      <c r="W144" t="s">
        <v>694</v>
      </c>
      <c r="X144" t="s">
        <v>695</v>
      </c>
      <c r="Y144" t="s">
        <v>89</v>
      </c>
      <c r="Z144" t="s">
        <v>90</v>
      </c>
      <c r="AA144" t="s">
        <v>506</v>
      </c>
      <c r="AB144">
        <v>1</v>
      </c>
      <c r="AC144">
        <v>6</v>
      </c>
      <c r="AD144" t="b">
        <v>1</v>
      </c>
      <c r="AE144">
        <v>2022</v>
      </c>
      <c r="AF144" s="3">
        <v>367</v>
      </c>
      <c r="AG144" s="3">
        <v>44727</v>
      </c>
      <c r="AH144" s="3">
        <v>45818</v>
      </c>
      <c r="AJ144" s="4"/>
      <c r="AK144" s="4"/>
      <c r="AL144" s="3">
        <v>367</v>
      </c>
      <c r="AM144" s="3">
        <v>367</v>
      </c>
      <c r="AN144">
        <v>-8.6851350000000007</v>
      </c>
      <c r="AO144">
        <v>115.22633570000001</v>
      </c>
      <c r="AP144" t="s">
        <v>846</v>
      </c>
      <c r="AT144">
        <v>99.75</v>
      </c>
      <c r="AW144">
        <v>0</v>
      </c>
      <c r="AX144">
        <v>0</v>
      </c>
      <c r="BA144">
        <v>0</v>
      </c>
      <c r="BB144">
        <v>0</v>
      </c>
      <c r="BE144">
        <v>0</v>
      </c>
      <c r="BF144">
        <v>0</v>
      </c>
      <c r="BJ144">
        <v>0</v>
      </c>
      <c r="BL144">
        <v>0</v>
      </c>
      <c r="BN144">
        <v>0</v>
      </c>
      <c r="BO144" s="6">
        <v>0</v>
      </c>
      <c r="BP144">
        <v>0</v>
      </c>
      <c r="BQ144">
        <v>0</v>
      </c>
      <c r="BR144">
        <v>0</v>
      </c>
    </row>
    <row r="145" spans="1:70" ht="15" customHeight="1" x14ac:dyDescent="0.35">
      <c r="A145" s="1" t="str">
        <f t="shared" si="5"/>
        <v>689D</v>
      </c>
      <c r="B145" t="s">
        <v>847</v>
      </c>
      <c r="C145" t="s">
        <v>848</v>
      </c>
      <c r="D145" t="s">
        <v>849</v>
      </c>
      <c r="E145" t="s">
        <v>850</v>
      </c>
      <c r="F145" t="s">
        <v>501</v>
      </c>
      <c r="G145" t="s">
        <v>502</v>
      </c>
      <c r="H145" t="s">
        <v>502</v>
      </c>
      <c r="I145" t="s">
        <v>137</v>
      </c>
      <c r="J145" t="b">
        <v>0</v>
      </c>
      <c r="K145" t="s">
        <v>78</v>
      </c>
      <c r="L145" t="s">
        <v>79</v>
      </c>
      <c r="N145" t="s">
        <v>81</v>
      </c>
      <c r="O145" t="s">
        <v>82</v>
      </c>
      <c r="P145" t="s">
        <v>83</v>
      </c>
      <c r="Q145" t="s">
        <v>503</v>
      </c>
      <c r="R145">
        <v>24</v>
      </c>
      <c r="S145" t="s">
        <v>85</v>
      </c>
      <c r="T145" t="s">
        <v>121</v>
      </c>
      <c r="U145">
        <v>1111111</v>
      </c>
      <c r="V145" t="s">
        <v>122</v>
      </c>
      <c r="W145" t="s">
        <v>694</v>
      </c>
      <c r="X145" t="s">
        <v>695</v>
      </c>
      <c r="Y145" t="s">
        <v>89</v>
      </c>
      <c r="Z145" t="s">
        <v>90</v>
      </c>
      <c r="AA145" t="s">
        <v>506</v>
      </c>
      <c r="AB145">
        <v>1</v>
      </c>
      <c r="AC145">
        <v>6</v>
      </c>
      <c r="AD145" t="b">
        <v>1</v>
      </c>
      <c r="AE145">
        <v>2022</v>
      </c>
      <c r="AF145" s="3">
        <v>367</v>
      </c>
      <c r="AG145" s="3">
        <v>44728</v>
      </c>
      <c r="AH145" s="3">
        <v>45818</v>
      </c>
      <c r="AJ145" s="4"/>
      <c r="AK145" s="4"/>
      <c r="AL145" s="3">
        <v>367</v>
      </c>
      <c r="AM145" s="3">
        <v>367</v>
      </c>
      <c r="AN145">
        <v>-8.7049912000000003</v>
      </c>
      <c r="AO145">
        <v>115.2237463</v>
      </c>
      <c r="AP145" t="s">
        <v>851</v>
      </c>
      <c r="AT145">
        <v>99.75</v>
      </c>
      <c r="AW145">
        <v>0</v>
      </c>
      <c r="AX145">
        <v>0</v>
      </c>
      <c r="BA145">
        <v>0</v>
      </c>
      <c r="BB145">
        <v>0</v>
      </c>
      <c r="BE145">
        <v>0</v>
      </c>
      <c r="BF145">
        <v>0</v>
      </c>
      <c r="BJ145">
        <v>0</v>
      </c>
      <c r="BL145">
        <v>0</v>
      </c>
      <c r="BN145">
        <v>0</v>
      </c>
      <c r="BO145" s="6">
        <v>0</v>
      </c>
      <c r="BP145">
        <v>0</v>
      </c>
      <c r="BQ145">
        <v>0</v>
      </c>
      <c r="BR145">
        <v>0</v>
      </c>
    </row>
    <row r="146" spans="1:70" ht="15" customHeight="1" x14ac:dyDescent="0.35">
      <c r="A146" s="1" t="str">
        <f t="shared" si="5"/>
        <v>00Y3</v>
      </c>
      <c r="B146" t="s">
        <v>852</v>
      </c>
      <c r="C146" t="s">
        <v>853</v>
      </c>
      <c r="D146" t="s">
        <v>854</v>
      </c>
      <c r="E146" t="s">
        <v>855</v>
      </c>
      <c r="F146" t="s">
        <v>501</v>
      </c>
      <c r="G146" t="s">
        <v>502</v>
      </c>
      <c r="H146" t="s">
        <v>502</v>
      </c>
      <c r="I146" t="s">
        <v>137</v>
      </c>
      <c r="J146" t="b">
        <v>0</v>
      </c>
      <c r="K146" t="s">
        <v>78</v>
      </c>
      <c r="L146" t="s">
        <v>79</v>
      </c>
      <c r="N146" t="s">
        <v>81</v>
      </c>
      <c r="O146" t="s">
        <v>82</v>
      </c>
      <c r="P146" t="s">
        <v>83</v>
      </c>
      <c r="Q146" t="s">
        <v>503</v>
      </c>
      <c r="R146">
        <v>24</v>
      </c>
      <c r="S146" t="s">
        <v>85</v>
      </c>
      <c r="T146" t="s">
        <v>121</v>
      </c>
      <c r="U146">
        <v>1111111</v>
      </c>
      <c r="V146" t="s">
        <v>122</v>
      </c>
      <c r="W146" t="s">
        <v>529</v>
      </c>
      <c r="X146" t="s">
        <v>530</v>
      </c>
      <c r="Y146" t="s">
        <v>89</v>
      </c>
      <c r="Z146" t="s">
        <v>90</v>
      </c>
      <c r="AA146" t="s">
        <v>506</v>
      </c>
      <c r="AB146">
        <v>1</v>
      </c>
      <c r="AC146">
        <v>6</v>
      </c>
      <c r="AD146" t="b">
        <v>1</v>
      </c>
      <c r="AE146">
        <v>2022</v>
      </c>
      <c r="AF146" s="3">
        <v>367</v>
      </c>
      <c r="AG146" s="3">
        <v>44728</v>
      </c>
      <c r="AH146" s="3">
        <v>45818</v>
      </c>
      <c r="AJ146" s="4"/>
      <c r="AK146" s="4"/>
      <c r="AL146" s="3">
        <v>367</v>
      </c>
      <c r="AM146" s="3">
        <v>367</v>
      </c>
      <c r="AN146">
        <v>-8.7151368999999992</v>
      </c>
      <c r="AO146">
        <v>115.21536089999999</v>
      </c>
      <c r="AP146" t="s">
        <v>855</v>
      </c>
      <c r="AT146">
        <v>99.75</v>
      </c>
      <c r="AW146">
        <v>0</v>
      </c>
      <c r="AX146">
        <v>0</v>
      </c>
      <c r="BA146">
        <v>0</v>
      </c>
      <c r="BB146">
        <v>0</v>
      </c>
      <c r="BE146">
        <v>0</v>
      </c>
      <c r="BF146">
        <v>0</v>
      </c>
      <c r="BJ146">
        <v>0</v>
      </c>
      <c r="BL146">
        <v>0</v>
      </c>
      <c r="BN146">
        <v>0</v>
      </c>
      <c r="BO146" s="6">
        <v>0</v>
      </c>
      <c r="BP146">
        <v>0</v>
      </c>
      <c r="BQ146">
        <v>0</v>
      </c>
      <c r="BR146">
        <v>0</v>
      </c>
    </row>
    <row r="147" spans="1:70" ht="15" customHeight="1" x14ac:dyDescent="0.35">
      <c r="A147" s="1" t="str">
        <f t="shared" si="5"/>
        <v>5867</v>
      </c>
      <c r="B147" t="s">
        <v>856</v>
      </c>
      <c r="C147" t="s">
        <v>857</v>
      </c>
      <c r="D147" t="s">
        <v>858</v>
      </c>
      <c r="E147" t="s">
        <v>859</v>
      </c>
      <c r="F147" t="s">
        <v>501</v>
      </c>
      <c r="G147" t="s">
        <v>502</v>
      </c>
      <c r="H147" t="s">
        <v>502</v>
      </c>
      <c r="I147" t="s">
        <v>108</v>
      </c>
      <c r="J147" t="b">
        <v>0</v>
      </c>
      <c r="K147" t="s">
        <v>78</v>
      </c>
      <c r="L147" t="s">
        <v>79</v>
      </c>
      <c r="N147" t="s">
        <v>81</v>
      </c>
      <c r="O147" t="s">
        <v>82</v>
      </c>
      <c r="P147" t="s">
        <v>83</v>
      </c>
      <c r="Q147" t="s">
        <v>503</v>
      </c>
      <c r="R147">
        <v>24</v>
      </c>
      <c r="S147" t="s">
        <v>85</v>
      </c>
      <c r="T147" t="s">
        <v>121</v>
      </c>
      <c r="U147">
        <v>1111111</v>
      </c>
      <c r="V147" t="s">
        <v>122</v>
      </c>
      <c r="W147" t="s">
        <v>550</v>
      </c>
      <c r="X147" t="s">
        <v>551</v>
      </c>
      <c r="Y147" t="s">
        <v>89</v>
      </c>
      <c r="Z147" t="s">
        <v>90</v>
      </c>
      <c r="AA147" t="s">
        <v>506</v>
      </c>
      <c r="AB147">
        <v>1</v>
      </c>
      <c r="AC147">
        <v>6</v>
      </c>
      <c r="AD147" t="b">
        <v>1</v>
      </c>
      <c r="AE147">
        <v>2022</v>
      </c>
      <c r="AF147" s="3">
        <v>367</v>
      </c>
      <c r="AG147" s="3">
        <v>44729</v>
      </c>
      <c r="AH147" s="3">
        <v>45818</v>
      </c>
      <c r="AJ147" s="4"/>
      <c r="AK147" s="4"/>
      <c r="AL147" s="3">
        <v>367</v>
      </c>
      <c r="AM147" s="3">
        <v>367</v>
      </c>
      <c r="AN147">
        <v>-8.5500009000000006</v>
      </c>
      <c r="AO147">
        <v>115.27235760000001</v>
      </c>
      <c r="AP147" t="s">
        <v>860</v>
      </c>
      <c r="AT147">
        <v>99.75</v>
      </c>
      <c r="AW147">
        <v>0</v>
      </c>
      <c r="AX147">
        <v>0</v>
      </c>
      <c r="BA147">
        <v>0</v>
      </c>
      <c r="BB147">
        <v>0</v>
      </c>
      <c r="BE147">
        <v>0</v>
      </c>
      <c r="BF147">
        <v>0</v>
      </c>
      <c r="BJ147">
        <v>0</v>
      </c>
      <c r="BL147">
        <v>0</v>
      </c>
      <c r="BN147">
        <v>0</v>
      </c>
      <c r="BO147" s="6">
        <v>0</v>
      </c>
      <c r="BP147">
        <v>0</v>
      </c>
      <c r="BQ147">
        <v>0</v>
      </c>
      <c r="BR147">
        <v>0</v>
      </c>
    </row>
    <row r="148" spans="1:70" ht="15" customHeight="1" x14ac:dyDescent="0.35">
      <c r="A148" s="1" t="str">
        <f t="shared" si="5"/>
        <v>688K</v>
      </c>
      <c r="B148" t="s">
        <v>861</v>
      </c>
      <c r="C148" t="s">
        <v>862</v>
      </c>
      <c r="D148" t="s">
        <v>863</v>
      </c>
      <c r="E148" t="s">
        <v>864</v>
      </c>
      <c r="F148" t="s">
        <v>501</v>
      </c>
      <c r="G148" t="s">
        <v>502</v>
      </c>
      <c r="H148" t="s">
        <v>502</v>
      </c>
      <c r="I148" t="s">
        <v>137</v>
      </c>
      <c r="J148" t="b">
        <v>0</v>
      </c>
      <c r="K148" t="s">
        <v>78</v>
      </c>
      <c r="L148" t="s">
        <v>79</v>
      </c>
      <c r="N148" t="s">
        <v>81</v>
      </c>
      <c r="O148" t="s">
        <v>82</v>
      </c>
      <c r="P148" t="s">
        <v>83</v>
      </c>
      <c r="Q148" t="s">
        <v>503</v>
      </c>
      <c r="R148">
        <v>15</v>
      </c>
      <c r="S148" t="s">
        <v>121</v>
      </c>
      <c r="T148" t="s">
        <v>121</v>
      </c>
      <c r="U148">
        <v>1111111</v>
      </c>
      <c r="V148" t="s">
        <v>122</v>
      </c>
      <c r="W148" t="s">
        <v>529</v>
      </c>
      <c r="X148" t="s">
        <v>530</v>
      </c>
      <c r="Y148" t="s">
        <v>89</v>
      </c>
      <c r="Z148" t="s">
        <v>90</v>
      </c>
      <c r="AA148" t="s">
        <v>506</v>
      </c>
      <c r="AB148">
        <v>1</v>
      </c>
      <c r="AC148">
        <v>6</v>
      </c>
      <c r="AD148" t="b">
        <v>1</v>
      </c>
      <c r="AE148">
        <v>2022</v>
      </c>
      <c r="AF148" s="3">
        <v>367</v>
      </c>
      <c r="AG148" s="3">
        <v>44729</v>
      </c>
      <c r="AH148" s="3">
        <v>45818</v>
      </c>
      <c r="AJ148" s="4"/>
      <c r="AK148" s="4"/>
      <c r="AL148" s="3">
        <v>367</v>
      </c>
      <c r="AM148" s="3">
        <v>367</v>
      </c>
      <c r="AN148">
        <v>-8.6660131000000007</v>
      </c>
      <c r="AO148">
        <v>115.2067211</v>
      </c>
      <c r="AP148" t="s">
        <v>865</v>
      </c>
      <c r="AT148">
        <v>99.75</v>
      </c>
      <c r="AW148">
        <v>0</v>
      </c>
      <c r="AX148">
        <v>0</v>
      </c>
      <c r="BA148">
        <v>0</v>
      </c>
      <c r="BB148">
        <v>0</v>
      </c>
      <c r="BE148">
        <v>0</v>
      </c>
      <c r="BF148">
        <v>0</v>
      </c>
      <c r="BJ148">
        <v>0</v>
      </c>
      <c r="BL148">
        <v>0</v>
      </c>
      <c r="BN148">
        <v>0</v>
      </c>
      <c r="BO148" s="6">
        <v>0</v>
      </c>
      <c r="BP148">
        <v>0</v>
      </c>
      <c r="BQ148">
        <v>0</v>
      </c>
      <c r="BR148">
        <v>0</v>
      </c>
    </row>
    <row r="149" spans="1:70" ht="15" customHeight="1" x14ac:dyDescent="0.35">
      <c r="A149" s="1" t="str">
        <f t="shared" si="5"/>
        <v>5874</v>
      </c>
      <c r="B149" t="s">
        <v>866</v>
      </c>
      <c r="C149" t="s">
        <v>867</v>
      </c>
      <c r="D149" t="s">
        <v>868</v>
      </c>
      <c r="E149" t="s">
        <v>869</v>
      </c>
      <c r="F149" t="s">
        <v>501</v>
      </c>
      <c r="G149" t="s">
        <v>502</v>
      </c>
      <c r="H149" t="s">
        <v>502</v>
      </c>
      <c r="I149" t="s">
        <v>137</v>
      </c>
      <c r="J149" t="b">
        <v>0</v>
      </c>
      <c r="K149" t="s">
        <v>78</v>
      </c>
      <c r="L149" t="s">
        <v>79</v>
      </c>
      <c r="N149" t="s">
        <v>81</v>
      </c>
      <c r="O149" t="s">
        <v>82</v>
      </c>
      <c r="P149" t="s">
        <v>83</v>
      </c>
      <c r="Q149" t="s">
        <v>549</v>
      </c>
      <c r="R149">
        <v>24</v>
      </c>
      <c r="S149" t="s">
        <v>85</v>
      </c>
      <c r="T149" t="s">
        <v>121</v>
      </c>
      <c r="U149">
        <v>1111111</v>
      </c>
      <c r="V149" t="s">
        <v>122</v>
      </c>
      <c r="W149" t="s">
        <v>550</v>
      </c>
      <c r="X149" t="s">
        <v>551</v>
      </c>
      <c r="Y149" t="s">
        <v>89</v>
      </c>
      <c r="Z149" t="s">
        <v>90</v>
      </c>
      <c r="AA149" t="s">
        <v>506</v>
      </c>
      <c r="AB149">
        <v>1</v>
      </c>
      <c r="AC149">
        <v>6</v>
      </c>
      <c r="AD149" t="b">
        <v>1</v>
      </c>
      <c r="AE149">
        <v>2022</v>
      </c>
      <c r="AF149" s="3">
        <v>367</v>
      </c>
      <c r="AG149" s="3">
        <v>44729</v>
      </c>
      <c r="AH149" s="3">
        <v>45818</v>
      </c>
      <c r="AJ149" s="4"/>
      <c r="AK149" s="4"/>
      <c r="AL149" s="3">
        <v>367</v>
      </c>
      <c r="AM149" s="3">
        <v>367</v>
      </c>
      <c r="AN149">
        <v>-8.6856323</v>
      </c>
      <c r="AO149">
        <v>115.2598653</v>
      </c>
      <c r="AP149" t="s">
        <v>869</v>
      </c>
      <c r="AT149">
        <v>99.75</v>
      </c>
      <c r="AW149">
        <v>0</v>
      </c>
      <c r="AX149">
        <v>0</v>
      </c>
      <c r="BA149">
        <v>0</v>
      </c>
      <c r="BB149">
        <v>0</v>
      </c>
      <c r="BE149">
        <v>0</v>
      </c>
      <c r="BF149">
        <v>0</v>
      </c>
      <c r="BJ149">
        <v>0</v>
      </c>
      <c r="BL149">
        <v>0</v>
      </c>
      <c r="BN149">
        <v>0</v>
      </c>
      <c r="BO149" s="6">
        <v>0</v>
      </c>
      <c r="BP149">
        <v>0</v>
      </c>
      <c r="BQ149">
        <v>0</v>
      </c>
      <c r="BR149">
        <v>0</v>
      </c>
    </row>
    <row r="150" spans="1:70" ht="15" customHeight="1" x14ac:dyDescent="0.35">
      <c r="A150" s="1" t="str">
        <f t="shared" si="5"/>
        <v>607B</v>
      </c>
      <c r="B150" t="s">
        <v>870</v>
      </c>
      <c r="C150" t="s">
        <v>871</v>
      </c>
      <c r="D150" t="s">
        <v>872</v>
      </c>
      <c r="E150" t="s">
        <v>873</v>
      </c>
      <c r="F150" t="s">
        <v>501</v>
      </c>
      <c r="G150" t="s">
        <v>502</v>
      </c>
      <c r="H150" t="s">
        <v>502</v>
      </c>
      <c r="I150" t="s">
        <v>137</v>
      </c>
      <c r="J150" t="b">
        <v>0</v>
      </c>
      <c r="K150" t="s">
        <v>78</v>
      </c>
      <c r="L150" t="s">
        <v>79</v>
      </c>
      <c r="N150" t="s">
        <v>81</v>
      </c>
      <c r="O150" t="s">
        <v>82</v>
      </c>
      <c r="P150" t="s">
        <v>83</v>
      </c>
      <c r="Q150" t="s">
        <v>549</v>
      </c>
      <c r="R150">
        <v>24</v>
      </c>
      <c r="S150" t="s">
        <v>85</v>
      </c>
      <c r="T150" t="s">
        <v>121</v>
      </c>
      <c r="U150">
        <v>1111111</v>
      </c>
      <c r="V150" t="s">
        <v>122</v>
      </c>
      <c r="W150" t="s">
        <v>694</v>
      </c>
      <c r="X150" t="s">
        <v>695</v>
      </c>
      <c r="Y150" t="s">
        <v>89</v>
      </c>
      <c r="Z150" t="s">
        <v>90</v>
      </c>
      <c r="AA150" t="s">
        <v>506</v>
      </c>
      <c r="AB150">
        <v>1</v>
      </c>
      <c r="AC150">
        <v>6</v>
      </c>
      <c r="AD150" t="b">
        <v>1</v>
      </c>
      <c r="AE150">
        <v>2022</v>
      </c>
      <c r="AF150" s="3">
        <v>367</v>
      </c>
      <c r="AG150" s="3">
        <v>44729</v>
      </c>
      <c r="AH150" s="3">
        <v>45818</v>
      </c>
      <c r="AJ150" s="4"/>
      <c r="AK150" s="4"/>
      <c r="AL150" s="3">
        <v>367</v>
      </c>
      <c r="AM150" s="3">
        <v>367</v>
      </c>
      <c r="AN150">
        <v>-8.6575509999999998</v>
      </c>
      <c r="AO150">
        <v>115.2276344</v>
      </c>
      <c r="AP150" t="s">
        <v>874</v>
      </c>
      <c r="AT150">
        <v>99.75</v>
      </c>
      <c r="AW150">
        <v>0</v>
      </c>
      <c r="AX150">
        <v>0</v>
      </c>
      <c r="BA150">
        <v>0</v>
      </c>
      <c r="BB150">
        <v>0</v>
      </c>
      <c r="BE150">
        <v>0</v>
      </c>
      <c r="BF150">
        <v>0</v>
      </c>
      <c r="BJ150">
        <v>0</v>
      </c>
      <c r="BL150">
        <v>0</v>
      </c>
      <c r="BN150">
        <v>0</v>
      </c>
      <c r="BO150" s="6">
        <v>0</v>
      </c>
      <c r="BP150">
        <v>0</v>
      </c>
      <c r="BQ150">
        <v>0</v>
      </c>
      <c r="BR150">
        <v>0</v>
      </c>
    </row>
    <row r="151" spans="1:70" ht="15" customHeight="1" x14ac:dyDescent="0.35">
      <c r="A151" s="1" t="str">
        <f t="shared" si="5"/>
        <v>00KL</v>
      </c>
      <c r="B151" t="s">
        <v>875</v>
      </c>
      <c r="C151" t="s">
        <v>876</v>
      </c>
      <c r="D151" t="s">
        <v>877</v>
      </c>
      <c r="E151" t="s">
        <v>878</v>
      </c>
      <c r="F151" t="s">
        <v>501</v>
      </c>
      <c r="G151" t="s">
        <v>502</v>
      </c>
      <c r="H151" t="s">
        <v>502</v>
      </c>
      <c r="I151" t="s">
        <v>148</v>
      </c>
      <c r="J151" t="b">
        <v>0</v>
      </c>
      <c r="K151" t="s">
        <v>78</v>
      </c>
      <c r="L151" t="s">
        <v>79</v>
      </c>
      <c r="N151" t="s">
        <v>81</v>
      </c>
      <c r="O151" t="s">
        <v>82</v>
      </c>
      <c r="P151" t="s">
        <v>83</v>
      </c>
      <c r="Q151" t="s">
        <v>503</v>
      </c>
      <c r="R151">
        <v>24</v>
      </c>
      <c r="S151" t="s">
        <v>85</v>
      </c>
      <c r="T151" t="s">
        <v>121</v>
      </c>
      <c r="U151">
        <v>1111111</v>
      </c>
      <c r="V151" t="s">
        <v>122</v>
      </c>
      <c r="W151" t="s">
        <v>571</v>
      </c>
      <c r="X151" t="s">
        <v>572</v>
      </c>
      <c r="Y151" t="s">
        <v>89</v>
      </c>
      <c r="Z151" t="s">
        <v>90</v>
      </c>
      <c r="AA151" t="s">
        <v>506</v>
      </c>
      <c r="AB151">
        <v>1</v>
      </c>
      <c r="AC151">
        <v>6</v>
      </c>
      <c r="AD151" t="b">
        <v>1</v>
      </c>
      <c r="AE151">
        <v>2022</v>
      </c>
      <c r="AF151" s="3">
        <v>367</v>
      </c>
      <c r="AG151" s="3">
        <v>44729</v>
      </c>
      <c r="AH151" s="3">
        <v>45818</v>
      </c>
      <c r="AJ151" s="4"/>
      <c r="AK151" s="4"/>
      <c r="AL151" s="3">
        <v>367</v>
      </c>
      <c r="AM151" s="3">
        <v>367</v>
      </c>
      <c r="AN151">
        <v>-8.6224611000000007</v>
      </c>
      <c r="AO151">
        <v>115.2241465</v>
      </c>
      <c r="AP151" t="s">
        <v>879</v>
      </c>
      <c r="AT151">
        <v>99.75</v>
      </c>
      <c r="AW151">
        <v>0</v>
      </c>
      <c r="AX151">
        <v>0</v>
      </c>
      <c r="BA151">
        <v>0</v>
      </c>
      <c r="BB151">
        <v>0</v>
      </c>
      <c r="BE151">
        <v>0</v>
      </c>
      <c r="BF151">
        <v>0</v>
      </c>
      <c r="BJ151">
        <v>0</v>
      </c>
      <c r="BL151">
        <v>0</v>
      </c>
      <c r="BN151">
        <v>0</v>
      </c>
      <c r="BO151" s="6">
        <v>0</v>
      </c>
      <c r="BP151">
        <v>0</v>
      </c>
      <c r="BQ151">
        <v>0</v>
      </c>
      <c r="BR151">
        <v>0</v>
      </c>
    </row>
    <row r="152" spans="1:70" ht="15" customHeight="1" x14ac:dyDescent="0.35">
      <c r="A152" s="1" t="str">
        <f t="shared" si="5"/>
        <v>651H</v>
      </c>
      <c r="B152" t="s">
        <v>880</v>
      </c>
      <c r="C152" t="s">
        <v>881</v>
      </c>
      <c r="D152" t="s">
        <v>882</v>
      </c>
      <c r="E152" t="s">
        <v>883</v>
      </c>
      <c r="F152" t="s">
        <v>501</v>
      </c>
      <c r="G152" t="s">
        <v>502</v>
      </c>
      <c r="H152" t="s">
        <v>502</v>
      </c>
      <c r="I152" t="s">
        <v>584</v>
      </c>
      <c r="J152" t="b">
        <v>0</v>
      </c>
      <c r="K152" t="s">
        <v>78</v>
      </c>
      <c r="L152" t="s">
        <v>79</v>
      </c>
      <c r="N152" t="s">
        <v>81</v>
      </c>
      <c r="O152" t="s">
        <v>82</v>
      </c>
      <c r="P152" t="s">
        <v>83</v>
      </c>
      <c r="Q152" t="s">
        <v>503</v>
      </c>
      <c r="R152">
        <v>24</v>
      </c>
      <c r="S152" t="s">
        <v>85</v>
      </c>
      <c r="T152" t="s">
        <v>121</v>
      </c>
      <c r="U152">
        <v>1111111</v>
      </c>
      <c r="V152" t="s">
        <v>122</v>
      </c>
      <c r="W152" t="s">
        <v>529</v>
      </c>
      <c r="X152" t="s">
        <v>530</v>
      </c>
      <c r="Y152" t="s">
        <v>89</v>
      </c>
      <c r="Z152" t="s">
        <v>90</v>
      </c>
      <c r="AA152" t="s">
        <v>506</v>
      </c>
      <c r="AB152">
        <v>1</v>
      </c>
      <c r="AC152">
        <v>6</v>
      </c>
      <c r="AD152" t="b">
        <v>1</v>
      </c>
      <c r="AE152">
        <v>2022</v>
      </c>
      <c r="AF152" s="3">
        <v>367</v>
      </c>
      <c r="AG152" s="3">
        <v>44729</v>
      </c>
      <c r="AH152" s="3">
        <v>45818</v>
      </c>
      <c r="AJ152" s="4"/>
      <c r="AK152" s="4"/>
      <c r="AL152" s="3">
        <v>367</v>
      </c>
      <c r="AM152" s="3">
        <v>367</v>
      </c>
      <c r="AN152">
        <v>-8.6858436000000001</v>
      </c>
      <c r="AO152">
        <v>115.1939181</v>
      </c>
      <c r="AP152" t="s">
        <v>884</v>
      </c>
      <c r="AT152">
        <v>99.75</v>
      </c>
      <c r="AW152">
        <v>0</v>
      </c>
      <c r="AX152">
        <v>0</v>
      </c>
      <c r="BA152">
        <v>0</v>
      </c>
      <c r="BB152">
        <v>0</v>
      </c>
      <c r="BE152">
        <v>0</v>
      </c>
      <c r="BF152">
        <v>0</v>
      </c>
      <c r="BJ152">
        <v>0</v>
      </c>
      <c r="BL152">
        <v>0</v>
      </c>
      <c r="BN152">
        <v>0</v>
      </c>
      <c r="BO152" s="6">
        <v>0</v>
      </c>
      <c r="BP152">
        <v>0</v>
      </c>
      <c r="BQ152">
        <v>0</v>
      </c>
      <c r="BR152">
        <v>0</v>
      </c>
    </row>
    <row r="153" spans="1:70" ht="15" customHeight="1" x14ac:dyDescent="0.35">
      <c r="A153" s="1" t="str">
        <f t="shared" si="5"/>
        <v>651Q</v>
      </c>
      <c r="B153" t="s">
        <v>885</v>
      </c>
      <c r="C153" t="s">
        <v>886</v>
      </c>
      <c r="D153" t="s">
        <v>887</v>
      </c>
      <c r="E153" t="s">
        <v>888</v>
      </c>
      <c r="F153" t="s">
        <v>501</v>
      </c>
      <c r="G153" t="s">
        <v>502</v>
      </c>
      <c r="H153" t="s">
        <v>502</v>
      </c>
      <c r="I153" t="s">
        <v>137</v>
      </c>
      <c r="J153" t="b">
        <v>0</v>
      </c>
      <c r="K153" t="s">
        <v>78</v>
      </c>
      <c r="L153" t="s">
        <v>79</v>
      </c>
      <c r="N153" t="s">
        <v>81</v>
      </c>
      <c r="O153" t="s">
        <v>82</v>
      </c>
      <c r="P153" t="s">
        <v>83</v>
      </c>
      <c r="Q153" t="s">
        <v>503</v>
      </c>
      <c r="R153">
        <v>24</v>
      </c>
      <c r="S153" t="s">
        <v>85</v>
      </c>
      <c r="T153" t="s">
        <v>121</v>
      </c>
      <c r="U153">
        <v>1111111</v>
      </c>
      <c r="V153" t="s">
        <v>122</v>
      </c>
      <c r="W153" t="s">
        <v>529</v>
      </c>
      <c r="X153" t="s">
        <v>530</v>
      </c>
      <c r="Y153" t="s">
        <v>89</v>
      </c>
      <c r="Z153" t="s">
        <v>90</v>
      </c>
      <c r="AA153" t="s">
        <v>506</v>
      </c>
      <c r="AB153">
        <v>1</v>
      </c>
      <c r="AC153">
        <v>6</v>
      </c>
      <c r="AD153" t="b">
        <v>1</v>
      </c>
      <c r="AE153">
        <v>2022</v>
      </c>
      <c r="AF153" s="3">
        <v>367</v>
      </c>
      <c r="AG153" s="3">
        <v>44729</v>
      </c>
      <c r="AH153" s="3">
        <v>45818</v>
      </c>
      <c r="AJ153" s="4"/>
      <c r="AK153" s="4"/>
      <c r="AL153" s="3">
        <v>367</v>
      </c>
      <c r="AM153" s="3">
        <v>367</v>
      </c>
      <c r="AN153">
        <v>-8.6812625000000008</v>
      </c>
      <c r="AO153">
        <v>115.19879830000001</v>
      </c>
      <c r="AP153" t="s">
        <v>889</v>
      </c>
      <c r="AT153">
        <v>99.75</v>
      </c>
      <c r="AW153">
        <v>0</v>
      </c>
      <c r="AX153">
        <v>0</v>
      </c>
      <c r="BA153">
        <v>0</v>
      </c>
      <c r="BB153">
        <v>0</v>
      </c>
      <c r="BE153">
        <v>0</v>
      </c>
      <c r="BF153">
        <v>0</v>
      </c>
      <c r="BJ153">
        <v>0</v>
      </c>
      <c r="BL153">
        <v>0</v>
      </c>
      <c r="BN153">
        <v>0</v>
      </c>
      <c r="BO153" s="6">
        <v>0</v>
      </c>
      <c r="BP153">
        <v>0</v>
      </c>
      <c r="BQ153">
        <v>0</v>
      </c>
      <c r="BR153">
        <v>0</v>
      </c>
    </row>
    <row r="154" spans="1:70" ht="15" customHeight="1" x14ac:dyDescent="0.35">
      <c r="A154" s="1" t="str">
        <f t="shared" si="5"/>
        <v>695Y</v>
      </c>
      <c r="B154" t="s">
        <v>890</v>
      </c>
      <c r="C154" t="s">
        <v>891</v>
      </c>
      <c r="D154" t="s">
        <v>892</v>
      </c>
      <c r="E154" t="s">
        <v>893</v>
      </c>
      <c r="F154" t="s">
        <v>501</v>
      </c>
      <c r="G154" t="s">
        <v>502</v>
      </c>
      <c r="H154" t="s">
        <v>502</v>
      </c>
      <c r="I154" t="s">
        <v>137</v>
      </c>
      <c r="J154" t="b">
        <v>0</v>
      </c>
      <c r="K154" t="s">
        <v>78</v>
      </c>
      <c r="L154" t="s">
        <v>79</v>
      </c>
      <c r="N154" t="s">
        <v>81</v>
      </c>
      <c r="O154" t="s">
        <v>82</v>
      </c>
      <c r="P154" t="s">
        <v>83</v>
      </c>
      <c r="Q154" t="s">
        <v>503</v>
      </c>
      <c r="R154">
        <v>15</v>
      </c>
      <c r="S154" t="s">
        <v>121</v>
      </c>
      <c r="T154" t="s">
        <v>121</v>
      </c>
      <c r="U154">
        <v>1111111</v>
      </c>
      <c r="V154" t="s">
        <v>122</v>
      </c>
      <c r="W154" t="s">
        <v>550</v>
      </c>
      <c r="X154" t="s">
        <v>551</v>
      </c>
      <c r="Y154" t="s">
        <v>89</v>
      </c>
      <c r="Z154" t="s">
        <v>90</v>
      </c>
      <c r="AA154" t="s">
        <v>506</v>
      </c>
      <c r="AB154">
        <v>2</v>
      </c>
      <c r="AC154">
        <v>6</v>
      </c>
      <c r="AD154" t="b">
        <v>1</v>
      </c>
      <c r="AE154">
        <v>2022</v>
      </c>
      <c r="AF154" s="3">
        <v>367</v>
      </c>
      <c r="AG154" s="3">
        <v>44728</v>
      </c>
      <c r="AH154" s="3">
        <v>45818</v>
      </c>
      <c r="AJ154" s="4"/>
      <c r="AK154" s="4"/>
      <c r="AL154" s="3">
        <v>367</v>
      </c>
      <c r="AM154" s="3">
        <v>367</v>
      </c>
      <c r="AN154">
        <v>-8.5677678000000004</v>
      </c>
      <c r="AO154">
        <v>115.3796147</v>
      </c>
      <c r="AP154" t="s">
        <v>894</v>
      </c>
      <c r="AT154">
        <v>99.75</v>
      </c>
      <c r="AW154">
        <v>0</v>
      </c>
      <c r="AX154">
        <v>0</v>
      </c>
      <c r="BA154">
        <v>0</v>
      </c>
      <c r="BB154">
        <v>0</v>
      </c>
      <c r="BE154">
        <v>0</v>
      </c>
      <c r="BF154">
        <v>0</v>
      </c>
      <c r="BJ154">
        <v>0</v>
      </c>
      <c r="BL154">
        <v>0</v>
      </c>
      <c r="BN154">
        <v>0</v>
      </c>
      <c r="BO154" s="6">
        <v>0</v>
      </c>
      <c r="BP154">
        <v>0</v>
      </c>
      <c r="BQ154">
        <v>0</v>
      </c>
      <c r="BR154">
        <v>0</v>
      </c>
    </row>
    <row r="155" spans="1:70" ht="15" customHeight="1" x14ac:dyDescent="0.35">
      <c r="A155" s="1" t="str">
        <f t="shared" si="5"/>
        <v>405F</v>
      </c>
      <c r="B155" t="s">
        <v>895</v>
      </c>
      <c r="C155" t="s">
        <v>896</v>
      </c>
      <c r="D155" t="s">
        <v>897</v>
      </c>
      <c r="E155" t="s">
        <v>898</v>
      </c>
      <c r="F155" t="s">
        <v>501</v>
      </c>
      <c r="G155" t="s">
        <v>502</v>
      </c>
      <c r="H155" t="s">
        <v>502</v>
      </c>
      <c r="I155" t="s">
        <v>137</v>
      </c>
      <c r="J155" t="b">
        <v>0</v>
      </c>
      <c r="K155" t="s">
        <v>78</v>
      </c>
      <c r="L155" t="s">
        <v>79</v>
      </c>
      <c r="N155" t="s">
        <v>81</v>
      </c>
      <c r="O155" t="s">
        <v>82</v>
      </c>
      <c r="P155" t="s">
        <v>83</v>
      </c>
      <c r="Q155" t="s">
        <v>549</v>
      </c>
      <c r="R155">
        <v>24</v>
      </c>
      <c r="S155" t="s">
        <v>85</v>
      </c>
      <c r="T155" t="s">
        <v>121</v>
      </c>
      <c r="U155">
        <v>1111111</v>
      </c>
      <c r="V155" t="s">
        <v>122</v>
      </c>
      <c r="W155" t="s">
        <v>694</v>
      </c>
      <c r="X155" t="s">
        <v>695</v>
      </c>
      <c r="Y155" t="s">
        <v>89</v>
      </c>
      <c r="Z155" t="s">
        <v>90</v>
      </c>
      <c r="AA155" t="s">
        <v>506</v>
      </c>
      <c r="AB155">
        <v>1</v>
      </c>
      <c r="AC155">
        <v>6</v>
      </c>
      <c r="AD155" t="b">
        <v>1</v>
      </c>
      <c r="AE155">
        <v>2022</v>
      </c>
      <c r="AF155" s="3">
        <v>367</v>
      </c>
      <c r="AG155" s="3">
        <v>44730</v>
      </c>
      <c r="AH155" s="3">
        <v>45818</v>
      </c>
      <c r="AJ155" s="4"/>
      <c r="AK155" s="4"/>
      <c r="AL155" s="3">
        <v>367</v>
      </c>
      <c r="AM155" s="3">
        <v>367</v>
      </c>
      <c r="AN155">
        <v>-8.7036887000000007</v>
      </c>
      <c r="AO155">
        <v>115.2339911</v>
      </c>
      <c r="AP155" t="s">
        <v>898</v>
      </c>
      <c r="AT155">
        <v>99.75</v>
      </c>
      <c r="AW155">
        <v>0</v>
      </c>
      <c r="AX155">
        <v>0</v>
      </c>
      <c r="BA155">
        <v>0</v>
      </c>
      <c r="BB155">
        <v>0</v>
      </c>
      <c r="BE155">
        <v>0</v>
      </c>
      <c r="BF155">
        <v>0</v>
      </c>
      <c r="BJ155">
        <v>0</v>
      </c>
      <c r="BL155">
        <v>0</v>
      </c>
      <c r="BN155">
        <v>0</v>
      </c>
      <c r="BO155" s="6">
        <v>0</v>
      </c>
      <c r="BP155">
        <v>0</v>
      </c>
      <c r="BQ155">
        <v>0</v>
      </c>
      <c r="BR155">
        <v>0</v>
      </c>
    </row>
    <row r="156" spans="1:70" ht="15" customHeight="1" x14ac:dyDescent="0.35">
      <c r="A156" s="1" t="str">
        <f t="shared" si="5"/>
        <v>536X</v>
      </c>
      <c r="B156" t="s">
        <v>899</v>
      </c>
      <c r="C156" t="s">
        <v>900</v>
      </c>
      <c r="D156" t="s">
        <v>901</v>
      </c>
      <c r="E156" t="s">
        <v>902</v>
      </c>
      <c r="F156" t="s">
        <v>516</v>
      </c>
      <c r="G156" t="s">
        <v>502</v>
      </c>
      <c r="H156" t="s">
        <v>502</v>
      </c>
      <c r="I156" t="s">
        <v>137</v>
      </c>
      <c r="J156" t="b">
        <v>0</v>
      </c>
      <c r="K156" t="s">
        <v>78</v>
      </c>
      <c r="L156" t="s">
        <v>79</v>
      </c>
      <c r="N156" t="s">
        <v>81</v>
      </c>
      <c r="O156" t="s">
        <v>82</v>
      </c>
      <c r="P156" t="s">
        <v>83</v>
      </c>
      <c r="Q156" t="s">
        <v>503</v>
      </c>
      <c r="R156">
        <v>24</v>
      </c>
      <c r="S156" t="s">
        <v>85</v>
      </c>
      <c r="T156" t="s">
        <v>121</v>
      </c>
      <c r="U156">
        <v>1111111</v>
      </c>
      <c r="V156" t="s">
        <v>122</v>
      </c>
      <c r="W156" t="s">
        <v>694</v>
      </c>
      <c r="X156" t="s">
        <v>695</v>
      </c>
      <c r="Y156" t="s">
        <v>89</v>
      </c>
      <c r="Z156" t="s">
        <v>90</v>
      </c>
      <c r="AA156" t="s">
        <v>506</v>
      </c>
      <c r="AB156">
        <v>1</v>
      </c>
      <c r="AC156">
        <v>6</v>
      </c>
      <c r="AD156" t="b">
        <v>1</v>
      </c>
      <c r="AE156">
        <v>2022</v>
      </c>
      <c r="AF156" s="3">
        <v>367</v>
      </c>
      <c r="AG156" s="3">
        <v>44728</v>
      </c>
      <c r="AH156" s="3">
        <v>45818</v>
      </c>
      <c r="AJ156" s="4"/>
      <c r="AK156" s="4"/>
      <c r="AL156" s="3">
        <v>367</v>
      </c>
      <c r="AM156" s="3">
        <v>367</v>
      </c>
      <c r="AN156">
        <v>-8.6730208999999991</v>
      </c>
      <c r="AO156">
        <v>115.1487171</v>
      </c>
      <c r="AP156" t="s">
        <v>903</v>
      </c>
      <c r="AT156">
        <v>99.75</v>
      </c>
      <c r="AW156">
        <v>0</v>
      </c>
      <c r="AX156">
        <v>0</v>
      </c>
      <c r="BA156">
        <v>0</v>
      </c>
      <c r="BB156">
        <v>0</v>
      </c>
      <c r="BE156">
        <v>0</v>
      </c>
      <c r="BF156">
        <v>0</v>
      </c>
      <c r="BJ156">
        <v>0</v>
      </c>
      <c r="BL156">
        <v>0</v>
      </c>
      <c r="BN156">
        <v>0</v>
      </c>
      <c r="BO156" s="6">
        <v>0</v>
      </c>
      <c r="BP156">
        <v>0</v>
      </c>
      <c r="BQ156">
        <v>0</v>
      </c>
      <c r="BR156">
        <v>0</v>
      </c>
    </row>
    <row r="157" spans="1:70" ht="15" customHeight="1" x14ac:dyDescent="0.35">
      <c r="A157" s="1" t="str">
        <f t="shared" si="5"/>
        <v>00B7</v>
      </c>
      <c r="B157" t="s">
        <v>904</v>
      </c>
      <c r="C157" t="s">
        <v>905</v>
      </c>
      <c r="D157" t="s">
        <v>906</v>
      </c>
      <c r="E157" t="s">
        <v>907</v>
      </c>
      <c r="F157" t="s">
        <v>724</v>
      </c>
      <c r="G157" t="s">
        <v>502</v>
      </c>
      <c r="H157" t="s">
        <v>502</v>
      </c>
      <c r="I157" t="s">
        <v>137</v>
      </c>
      <c r="J157" t="b">
        <v>0</v>
      </c>
      <c r="K157" t="s">
        <v>78</v>
      </c>
      <c r="L157" t="s">
        <v>79</v>
      </c>
      <c r="N157" t="s">
        <v>81</v>
      </c>
      <c r="O157" t="s">
        <v>82</v>
      </c>
      <c r="P157" t="s">
        <v>83</v>
      </c>
      <c r="Q157" t="s">
        <v>503</v>
      </c>
      <c r="R157">
        <v>15</v>
      </c>
      <c r="S157" t="s">
        <v>121</v>
      </c>
      <c r="T157" t="s">
        <v>121</v>
      </c>
      <c r="U157">
        <v>1111111</v>
      </c>
      <c r="V157" t="s">
        <v>122</v>
      </c>
      <c r="W157" t="s">
        <v>517</v>
      </c>
      <c r="X157" t="s">
        <v>518</v>
      </c>
      <c r="Y157" t="s">
        <v>89</v>
      </c>
      <c r="Z157" t="s">
        <v>90</v>
      </c>
      <c r="AA157" t="s">
        <v>506</v>
      </c>
      <c r="AB157">
        <v>2</v>
      </c>
      <c r="AC157">
        <v>6</v>
      </c>
      <c r="AD157" t="b">
        <v>1</v>
      </c>
      <c r="AE157">
        <v>2022</v>
      </c>
      <c r="AF157" s="3">
        <v>367</v>
      </c>
      <c r="AG157" s="3">
        <v>44783</v>
      </c>
      <c r="AH157" s="3">
        <v>45879</v>
      </c>
      <c r="AJ157" s="4"/>
      <c r="AK157" s="4"/>
      <c r="AL157" s="3">
        <v>367</v>
      </c>
      <c r="AM157" s="3">
        <v>367</v>
      </c>
      <c r="AN157">
        <v>-8.4373833999999999</v>
      </c>
      <c r="AO157">
        <v>115.12756330000001</v>
      </c>
      <c r="AP157" t="s">
        <v>907</v>
      </c>
      <c r="AT157">
        <v>99.75</v>
      </c>
      <c r="AW157">
        <v>0</v>
      </c>
      <c r="AX157">
        <v>0</v>
      </c>
      <c r="BA157">
        <v>0</v>
      </c>
      <c r="BB157">
        <v>0</v>
      </c>
      <c r="BE157">
        <v>0</v>
      </c>
      <c r="BF157">
        <v>0</v>
      </c>
      <c r="BJ157">
        <v>0</v>
      </c>
      <c r="BL157">
        <v>0</v>
      </c>
      <c r="BN157">
        <v>0</v>
      </c>
      <c r="BO157" s="6">
        <v>0</v>
      </c>
      <c r="BP157">
        <v>0</v>
      </c>
      <c r="BQ157">
        <v>0</v>
      </c>
      <c r="BR157">
        <v>0</v>
      </c>
    </row>
    <row r="158" spans="1:70" ht="15" customHeight="1" x14ac:dyDescent="0.35">
      <c r="A158" s="1" t="str">
        <f t="shared" si="5"/>
        <v>01KT</v>
      </c>
      <c r="B158" t="s">
        <v>908</v>
      </c>
      <c r="C158" t="s">
        <v>909</v>
      </c>
      <c r="D158" t="s">
        <v>910</v>
      </c>
      <c r="E158" t="s">
        <v>911</v>
      </c>
      <c r="F158" t="s">
        <v>501</v>
      </c>
      <c r="G158" t="s">
        <v>502</v>
      </c>
      <c r="H158" t="s">
        <v>502</v>
      </c>
      <c r="I158" t="s">
        <v>137</v>
      </c>
      <c r="J158" t="b">
        <v>0</v>
      </c>
      <c r="K158" t="s">
        <v>78</v>
      </c>
      <c r="L158" t="s">
        <v>79</v>
      </c>
      <c r="N158" t="s">
        <v>81</v>
      </c>
      <c r="O158" t="s">
        <v>82</v>
      </c>
      <c r="P158" t="s">
        <v>83</v>
      </c>
      <c r="Q158" t="s">
        <v>503</v>
      </c>
      <c r="R158">
        <v>15</v>
      </c>
      <c r="S158" t="s">
        <v>121</v>
      </c>
      <c r="T158" t="s">
        <v>121</v>
      </c>
      <c r="U158">
        <v>1111111</v>
      </c>
      <c r="V158" t="s">
        <v>122</v>
      </c>
      <c r="W158" t="s">
        <v>571</v>
      </c>
      <c r="X158" t="s">
        <v>572</v>
      </c>
      <c r="Y158" t="s">
        <v>89</v>
      </c>
      <c r="Z158" t="s">
        <v>90</v>
      </c>
      <c r="AA158" t="s">
        <v>506</v>
      </c>
      <c r="AB158">
        <v>1</v>
      </c>
      <c r="AC158">
        <v>6</v>
      </c>
      <c r="AD158" t="b">
        <v>1</v>
      </c>
      <c r="AE158">
        <v>2022</v>
      </c>
      <c r="AF158" s="3">
        <v>367</v>
      </c>
      <c r="AG158" s="3">
        <v>44728</v>
      </c>
      <c r="AH158" s="3">
        <v>45818</v>
      </c>
      <c r="AJ158" s="4"/>
      <c r="AK158" s="4"/>
      <c r="AL158" s="3">
        <v>367</v>
      </c>
      <c r="AM158" s="3">
        <v>367</v>
      </c>
      <c r="AN158">
        <v>-8.6157917000000008</v>
      </c>
      <c r="AO158">
        <v>115.2021067</v>
      </c>
      <c r="AP158" t="s">
        <v>911</v>
      </c>
      <c r="AT158">
        <v>99.75</v>
      </c>
      <c r="AW158">
        <v>0</v>
      </c>
      <c r="AX158">
        <v>0</v>
      </c>
      <c r="BA158">
        <v>0</v>
      </c>
      <c r="BB158">
        <v>0</v>
      </c>
      <c r="BE158">
        <v>0</v>
      </c>
      <c r="BF158">
        <v>0</v>
      </c>
      <c r="BJ158">
        <v>0</v>
      </c>
      <c r="BL158">
        <v>0</v>
      </c>
      <c r="BN158">
        <v>0</v>
      </c>
      <c r="BO158" s="6">
        <v>0</v>
      </c>
      <c r="BP158">
        <v>0</v>
      </c>
      <c r="BQ158">
        <v>0</v>
      </c>
      <c r="BR158">
        <v>0</v>
      </c>
    </row>
    <row r="159" spans="1:70" ht="15" customHeight="1" x14ac:dyDescent="0.35">
      <c r="A159" s="1" t="str">
        <f t="shared" si="5"/>
        <v>334Z</v>
      </c>
      <c r="B159" t="s">
        <v>912</v>
      </c>
      <c r="C159" t="s">
        <v>913</v>
      </c>
      <c r="D159" t="s">
        <v>914</v>
      </c>
      <c r="E159" t="s">
        <v>915</v>
      </c>
      <c r="F159" t="s">
        <v>516</v>
      </c>
      <c r="G159" t="s">
        <v>502</v>
      </c>
      <c r="H159" t="s">
        <v>502</v>
      </c>
      <c r="I159" t="s">
        <v>137</v>
      </c>
      <c r="J159" t="b">
        <v>0</v>
      </c>
      <c r="K159" t="s">
        <v>78</v>
      </c>
      <c r="L159" t="s">
        <v>79</v>
      </c>
      <c r="N159" t="s">
        <v>81</v>
      </c>
      <c r="O159" t="s">
        <v>82</v>
      </c>
      <c r="P159" t="s">
        <v>83</v>
      </c>
      <c r="Q159" t="s">
        <v>503</v>
      </c>
      <c r="R159">
        <v>24</v>
      </c>
      <c r="S159" t="s">
        <v>85</v>
      </c>
      <c r="T159" t="s">
        <v>121</v>
      </c>
      <c r="U159">
        <v>1111111</v>
      </c>
      <c r="V159" t="s">
        <v>122</v>
      </c>
      <c r="W159" t="s">
        <v>637</v>
      </c>
      <c r="X159" t="s">
        <v>638</v>
      </c>
      <c r="Y159" t="s">
        <v>89</v>
      </c>
      <c r="Z159" t="s">
        <v>90</v>
      </c>
      <c r="AA159" t="s">
        <v>506</v>
      </c>
      <c r="AB159">
        <v>1</v>
      </c>
      <c r="AC159">
        <v>6</v>
      </c>
      <c r="AD159" t="b">
        <v>1</v>
      </c>
      <c r="AE159">
        <v>2022</v>
      </c>
      <c r="AF159" s="3">
        <v>367</v>
      </c>
      <c r="AG159" s="3">
        <v>44726</v>
      </c>
      <c r="AH159" s="3">
        <v>45818</v>
      </c>
      <c r="AJ159" s="4"/>
      <c r="AK159" s="4"/>
      <c r="AL159" s="3">
        <v>367</v>
      </c>
      <c r="AM159" s="3">
        <v>367</v>
      </c>
      <c r="AN159">
        <v>-8.7557966999999994</v>
      </c>
      <c r="AO159">
        <v>115.1802082</v>
      </c>
      <c r="AP159" t="s">
        <v>916</v>
      </c>
      <c r="AT159">
        <v>99.75</v>
      </c>
      <c r="AW159">
        <v>0</v>
      </c>
      <c r="AX159">
        <v>0</v>
      </c>
      <c r="BA159">
        <v>0</v>
      </c>
      <c r="BB159">
        <v>0</v>
      </c>
      <c r="BE159">
        <v>0</v>
      </c>
      <c r="BF159">
        <v>0</v>
      </c>
      <c r="BJ159">
        <v>0</v>
      </c>
      <c r="BL159">
        <v>0</v>
      </c>
      <c r="BN159">
        <v>0</v>
      </c>
      <c r="BO159" s="6">
        <v>0</v>
      </c>
      <c r="BP159">
        <v>0</v>
      </c>
      <c r="BQ159">
        <v>0</v>
      </c>
      <c r="BR159">
        <v>0</v>
      </c>
    </row>
    <row r="160" spans="1:70" ht="15" customHeight="1" x14ac:dyDescent="0.35">
      <c r="A160" s="1" t="str">
        <f t="shared" si="5"/>
        <v>651L</v>
      </c>
      <c r="B160" t="s">
        <v>917</v>
      </c>
      <c r="C160" t="s">
        <v>918</v>
      </c>
      <c r="D160" t="s">
        <v>919</v>
      </c>
      <c r="E160" t="s">
        <v>920</v>
      </c>
      <c r="F160" t="s">
        <v>501</v>
      </c>
      <c r="G160" t="s">
        <v>502</v>
      </c>
      <c r="H160" t="s">
        <v>502</v>
      </c>
      <c r="I160" t="s">
        <v>137</v>
      </c>
      <c r="J160" t="b">
        <v>0</v>
      </c>
      <c r="K160" t="s">
        <v>78</v>
      </c>
      <c r="L160" t="s">
        <v>79</v>
      </c>
      <c r="N160" t="s">
        <v>81</v>
      </c>
      <c r="O160" t="s">
        <v>82</v>
      </c>
      <c r="P160" t="s">
        <v>83</v>
      </c>
      <c r="Q160" t="s">
        <v>503</v>
      </c>
      <c r="R160">
        <v>24</v>
      </c>
      <c r="S160" t="s">
        <v>85</v>
      </c>
      <c r="T160" t="s">
        <v>121</v>
      </c>
      <c r="U160">
        <v>1111111</v>
      </c>
      <c r="V160" t="s">
        <v>122</v>
      </c>
      <c r="W160" t="s">
        <v>529</v>
      </c>
      <c r="X160" t="s">
        <v>530</v>
      </c>
      <c r="Y160" t="s">
        <v>89</v>
      </c>
      <c r="Z160" t="s">
        <v>90</v>
      </c>
      <c r="AA160" t="s">
        <v>506</v>
      </c>
      <c r="AB160">
        <v>1</v>
      </c>
      <c r="AC160">
        <v>6</v>
      </c>
      <c r="AD160" t="b">
        <v>1</v>
      </c>
      <c r="AE160">
        <v>2022</v>
      </c>
      <c r="AF160" s="3">
        <v>367</v>
      </c>
      <c r="AG160" s="3">
        <v>44726</v>
      </c>
      <c r="AH160" s="3">
        <v>45818</v>
      </c>
      <c r="AJ160" s="4"/>
      <c r="AK160" s="4"/>
      <c r="AL160" s="3">
        <v>367</v>
      </c>
      <c r="AM160" s="3">
        <v>367</v>
      </c>
      <c r="AN160">
        <v>-8.6804714000000001</v>
      </c>
      <c r="AO160">
        <v>115.20282159999999</v>
      </c>
      <c r="AP160" t="s">
        <v>921</v>
      </c>
      <c r="AT160">
        <v>99.75</v>
      </c>
      <c r="AW160">
        <v>0</v>
      </c>
      <c r="AX160">
        <v>0</v>
      </c>
      <c r="BA160">
        <v>0</v>
      </c>
      <c r="BB160">
        <v>0</v>
      </c>
      <c r="BE160">
        <v>0</v>
      </c>
      <c r="BF160">
        <v>0</v>
      </c>
      <c r="BJ160">
        <v>0</v>
      </c>
      <c r="BL160">
        <v>0</v>
      </c>
      <c r="BN160">
        <v>0</v>
      </c>
      <c r="BO160" s="6">
        <v>0</v>
      </c>
      <c r="BP160">
        <v>0</v>
      </c>
      <c r="BQ160">
        <v>0</v>
      </c>
      <c r="BR160">
        <v>0</v>
      </c>
    </row>
    <row r="161" spans="1:70" ht="15" customHeight="1" x14ac:dyDescent="0.35">
      <c r="A161" s="1" t="str">
        <f t="shared" si="5"/>
        <v>226L</v>
      </c>
      <c r="B161" t="s">
        <v>922</v>
      </c>
      <c r="C161" t="s">
        <v>923</v>
      </c>
      <c r="D161" t="s">
        <v>924</v>
      </c>
      <c r="E161" t="s">
        <v>925</v>
      </c>
      <c r="F161" t="s">
        <v>516</v>
      </c>
      <c r="G161" t="s">
        <v>502</v>
      </c>
      <c r="H161" t="s">
        <v>502</v>
      </c>
      <c r="I161" t="s">
        <v>148</v>
      </c>
      <c r="J161" t="b">
        <v>0</v>
      </c>
      <c r="K161" t="s">
        <v>78</v>
      </c>
      <c r="L161" t="s">
        <v>79</v>
      </c>
      <c r="N161" t="s">
        <v>81</v>
      </c>
      <c r="O161" t="s">
        <v>82</v>
      </c>
      <c r="P161" t="s">
        <v>83</v>
      </c>
      <c r="Q161" t="s">
        <v>503</v>
      </c>
      <c r="R161">
        <v>24</v>
      </c>
      <c r="S161" t="s">
        <v>85</v>
      </c>
      <c r="T161" t="s">
        <v>121</v>
      </c>
      <c r="U161">
        <v>1111111</v>
      </c>
      <c r="V161" t="s">
        <v>122</v>
      </c>
      <c r="W161" t="s">
        <v>523</v>
      </c>
      <c r="X161" t="s">
        <v>524</v>
      </c>
      <c r="Y161" t="s">
        <v>89</v>
      </c>
      <c r="Z161" t="s">
        <v>90</v>
      </c>
      <c r="AA161" t="s">
        <v>506</v>
      </c>
      <c r="AB161">
        <v>1</v>
      </c>
      <c r="AC161">
        <v>6</v>
      </c>
      <c r="AD161" t="b">
        <v>1</v>
      </c>
      <c r="AE161">
        <v>2022</v>
      </c>
      <c r="AF161" s="3">
        <v>367</v>
      </c>
      <c r="AG161" s="3">
        <v>44727</v>
      </c>
      <c r="AH161" s="3">
        <v>45818</v>
      </c>
      <c r="AJ161" s="4"/>
      <c r="AK161" s="4"/>
      <c r="AL161" s="3">
        <v>367</v>
      </c>
      <c r="AM161" s="3">
        <v>367</v>
      </c>
      <c r="AN161">
        <v>-8.7346024999999994</v>
      </c>
      <c r="AO161">
        <v>115.1793572</v>
      </c>
      <c r="AP161" t="s">
        <v>926</v>
      </c>
      <c r="AT161">
        <v>99.75</v>
      </c>
      <c r="AW161">
        <v>0</v>
      </c>
      <c r="AX161">
        <v>0</v>
      </c>
      <c r="BA161">
        <v>0</v>
      </c>
      <c r="BB161">
        <v>0</v>
      </c>
      <c r="BE161">
        <v>0</v>
      </c>
      <c r="BF161">
        <v>0</v>
      </c>
      <c r="BJ161">
        <v>0</v>
      </c>
      <c r="BL161">
        <v>0</v>
      </c>
      <c r="BN161">
        <v>0</v>
      </c>
      <c r="BO161" s="6">
        <v>0</v>
      </c>
      <c r="BP161">
        <v>0</v>
      </c>
      <c r="BQ161">
        <v>0</v>
      </c>
      <c r="BR161">
        <v>0</v>
      </c>
    </row>
    <row r="162" spans="1:70" ht="15" customHeight="1" x14ac:dyDescent="0.35">
      <c r="A162" s="1" t="str">
        <f t="shared" si="5"/>
        <v>692Q</v>
      </c>
      <c r="B162" t="s">
        <v>927</v>
      </c>
      <c r="C162" t="s">
        <v>928</v>
      </c>
      <c r="D162" t="s">
        <v>929</v>
      </c>
      <c r="E162" t="s">
        <v>930</v>
      </c>
      <c r="F162" t="s">
        <v>537</v>
      </c>
      <c r="G162" t="s">
        <v>502</v>
      </c>
      <c r="H162" t="s">
        <v>502</v>
      </c>
      <c r="I162" t="s">
        <v>178</v>
      </c>
      <c r="J162" t="b">
        <v>0</v>
      </c>
      <c r="K162" t="s">
        <v>78</v>
      </c>
      <c r="L162" t="s">
        <v>79</v>
      </c>
      <c r="N162" t="s">
        <v>81</v>
      </c>
      <c r="O162" t="s">
        <v>82</v>
      </c>
      <c r="P162" t="s">
        <v>83</v>
      </c>
      <c r="Q162" t="s">
        <v>503</v>
      </c>
      <c r="R162">
        <v>24</v>
      </c>
      <c r="S162" t="s">
        <v>85</v>
      </c>
      <c r="T162" t="s">
        <v>121</v>
      </c>
      <c r="U162">
        <v>1111111</v>
      </c>
      <c r="V162" t="s">
        <v>122</v>
      </c>
      <c r="W162" t="s">
        <v>550</v>
      </c>
      <c r="X162" t="s">
        <v>551</v>
      </c>
      <c r="Y162" t="s">
        <v>89</v>
      </c>
      <c r="Z162" t="s">
        <v>90</v>
      </c>
      <c r="AA162" t="s">
        <v>506</v>
      </c>
      <c r="AB162">
        <v>1</v>
      </c>
      <c r="AC162">
        <v>6</v>
      </c>
      <c r="AD162" t="b">
        <v>1</v>
      </c>
      <c r="AE162">
        <v>2022</v>
      </c>
      <c r="AF162" s="3">
        <v>367</v>
      </c>
      <c r="AG162" s="3">
        <v>44727</v>
      </c>
      <c r="AH162" s="3">
        <v>45818</v>
      </c>
      <c r="AJ162" s="4"/>
      <c r="AK162" s="4"/>
      <c r="AL162" s="3">
        <v>367</v>
      </c>
      <c r="AM162" s="3">
        <v>367</v>
      </c>
      <c r="AN162">
        <v>-8.5984683999999998</v>
      </c>
      <c r="AO162">
        <v>115.25364260000001</v>
      </c>
      <c r="AP162" t="s">
        <v>931</v>
      </c>
      <c r="AT162">
        <v>99.75</v>
      </c>
      <c r="AW162">
        <v>0</v>
      </c>
      <c r="AX162">
        <v>0</v>
      </c>
      <c r="BA162">
        <v>0</v>
      </c>
      <c r="BB162">
        <v>0</v>
      </c>
      <c r="BE162">
        <v>0</v>
      </c>
      <c r="BF162">
        <v>0</v>
      </c>
      <c r="BJ162">
        <v>0</v>
      </c>
      <c r="BL162">
        <v>0</v>
      </c>
      <c r="BN162">
        <v>0</v>
      </c>
      <c r="BO162" s="6">
        <v>0</v>
      </c>
      <c r="BP162">
        <v>0</v>
      </c>
      <c r="BQ162">
        <v>0</v>
      </c>
      <c r="BR162">
        <v>0</v>
      </c>
    </row>
    <row r="163" spans="1:70" ht="15" customHeight="1" x14ac:dyDescent="0.35">
      <c r="A163" s="1" t="str">
        <f t="shared" si="5"/>
        <v>ZZ4A</v>
      </c>
      <c r="B163" t="s">
        <v>932</v>
      </c>
      <c r="C163" t="s">
        <v>933</v>
      </c>
      <c r="D163" t="s">
        <v>934</v>
      </c>
      <c r="E163" t="s">
        <v>935</v>
      </c>
      <c r="F163" t="s">
        <v>516</v>
      </c>
      <c r="G163" t="s">
        <v>502</v>
      </c>
      <c r="H163" t="s">
        <v>502</v>
      </c>
      <c r="I163" t="s">
        <v>137</v>
      </c>
      <c r="J163" t="b">
        <v>0</v>
      </c>
      <c r="K163" t="s">
        <v>154</v>
      </c>
      <c r="L163" t="s">
        <v>155</v>
      </c>
      <c r="N163" t="s">
        <v>81</v>
      </c>
      <c r="O163" t="s">
        <v>82</v>
      </c>
      <c r="P163" t="s">
        <v>83</v>
      </c>
      <c r="Q163" t="s">
        <v>503</v>
      </c>
      <c r="R163">
        <v>15</v>
      </c>
      <c r="S163" t="s">
        <v>121</v>
      </c>
      <c r="T163" t="s">
        <v>121</v>
      </c>
      <c r="U163">
        <v>1111111</v>
      </c>
      <c r="V163" t="s">
        <v>122</v>
      </c>
      <c r="W163" t="s">
        <v>517</v>
      </c>
      <c r="X163" t="s">
        <v>518</v>
      </c>
      <c r="Y163" t="s">
        <v>89</v>
      </c>
      <c r="Z163" t="s">
        <v>90</v>
      </c>
      <c r="AA163" t="s">
        <v>506</v>
      </c>
      <c r="AB163">
        <v>1</v>
      </c>
      <c r="AC163">
        <v>6</v>
      </c>
      <c r="AD163" t="b">
        <v>1</v>
      </c>
      <c r="AE163">
        <v>2022</v>
      </c>
      <c r="AF163" s="3">
        <v>367</v>
      </c>
      <c r="AG163" s="3">
        <v>44748</v>
      </c>
      <c r="AH163" s="3">
        <v>45848</v>
      </c>
      <c r="AJ163" s="4"/>
      <c r="AK163" s="4"/>
      <c r="AL163" s="3">
        <v>367</v>
      </c>
      <c r="AM163" s="3">
        <v>367</v>
      </c>
      <c r="AN163">
        <v>-8.6299571000000004</v>
      </c>
      <c r="AO163">
        <v>115.1728555</v>
      </c>
      <c r="AP163" t="s">
        <v>936</v>
      </c>
      <c r="AT163">
        <v>99.2</v>
      </c>
      <c r="AW163">
        <v>0</v>
      </c>
      <c r="AX163">
        <v>0</v>
      </c>
      <c r="BA163">
        <v>0</v>
      </c>
      <c r="BB163">
        <v>0</v>
      </c>
      <c r="BE163">
        <v>0</v>
      </c>
      <c r="BF163">
        <v>0</v>
      </c>
      <c r="BJ163">
        <v>0</v>
      </c>
      <c r="BL163">
        <v>0</v>
      </c>
      <c r="BN163">
        <v>0</v>
      </c>
      <c r="BO163" s="6">
        <v>0</v>
      </c>
      <c r="BP163">
        <v>0</v>
      </c>
      <c r="BQ163">
        <v>0</v>
      </c>
      <c r="BR163">
        <v>0</v>
      </c>
    </row>
    <row r="164" spans="1:70" ht="15" customHeight="1" x14ac:dyDescent="0.35">
      <c r="A164" s="1" t="str">
        <f t="shared" si="5"/>
        <v>032Q</v>
      </c>
      <c r="B164" t="s">
        <v>937</v>
      </c>
      <c r="C164" t="s">
        <v>938</v>
      </c>
      <c r="D164" t="s">
        <v>939</v>
      </c>
      <c r="E164" t="s">
        <v>940</v>
      </c>
      <c r="F164" t="s">
        <v>516</v>
      </c>
      <c r="G164" t="s">
        <v>502</v>
      </c>
      <c r="H164" t="s">
        <v>502</v>
      </c>
      <c r="I164" t="s">
        <v>367</v>
      </c>
      <c r="J164" t="b">
        <v>0</v>
      </c>
      <c r="K164" t="s">
        <v>78</v>
      </c>
      <c r="L164" t="s">
        <v>79</v>
      </c>
      <c r="N164" t="s">
        <v>81</v>
      </c>
      <c r="O164" t="s">
        <v>82</v>
      </c>
      <c r="P164" t="s">
        <v>83</v>
      </c>
      <c r="Q164" t="s">
        <v>503</v>
      </c>
      <c r="R164">
        <v>24</v>
      </c>
      <c r="S164" t="s">
        <v>85</v>
      </c>
      <c r="T164" t="s">
        <v>121</v>
      </c>
      <c r="U164">
        <v>1111111</v>
      </c>
      <c r="V164" t="s">
        <v>122</v>
      </c>
      <c r="W164" t="s">
        <v>637</v>
      </c>
      <c r="X164" t="s">
        <v>638</v>
      </c>
      <c r="Y164" t="s">
        <v>89</v>
      </c>
      <c r="Z164" t="s">
        <v>90</v>
      </c>
      <c r="AA164" t="s">
        <v>506</v>
      </c>
      <c r="AB164">
        <v>1</v>
      </c>
      <c r="AC164">
        <v>6</v>
      </c>
      <c r="AD164" t="b">
        <v>1</v>
      </c>
      <c r="AE164">
        <v>2022</v>
      </c>
      <c r="AF164" s="3">
        <v>367</v>
      </c>
      <c r="AG164" s="3">
        <v>44725</v>
      </c>
      <c r="AH164" s="3">
        <v>45818</v>
      </c>
      <c r="AJ164" s="4"/>
      <c r="AK164" s="4"/>
      <c r="AL164" s="3">
        <v>367</v>
      </c>
      <c r="AM164" s="3">
        <v>367</v>
      </c>
      <c r="AN164">
        <v>-8.7811299999999992</v>
      </c>
      <c r="AO164">
        <v>115.164821</v>
      </c>
      <c r="AP164" t="s">
        <v>941</v>
      </c>
      <c r="AT164">
        <v>99.75</v>
      </c>
      <c r="AW164">
        <v>0</v>
      </c>
      <c r="AX164">
        <v>0</v>
      </c>
      <c r="BA164">
        <v>0</v>
      </c>
      <c r="BB164">
        <v>0</v>
      </c>
      <c r="BE164">
        <v>0</v>
      </c>
      <c r="BF164">
        <v>0</v>
      </c>
      <c r="BJ164">
        <v>0</v>
      </c>
      <c r="BL164">
        <v>0</v>
      </c>
      <c r="BN164">
        <v>0</v>
      </c>
      <c r="BO164" s="6">
        <v>0</v>
      </c>
      <c r="BP164">
        <v>0</v>
      </c>
      <c r="BQ164">
        <v>0</v>
      </c>
      <c r="BR164">
        <v>0</v>
      </c>
    </row>
    <row r="165" spans="1:70" ht="15" customHeight="1" x14ac:dyDescent="0.35">
      <c r="A165" s="1" t="str">
        <f t="shared" si="5"/>
        <v>00TR</v>
      </c>
      <c r="B165" t="s">
        <v>942</v>
      </c>
      <c r="C165" t="s">
        <v>943</v>
      </c>
      <c r="D165" t="s">
        <v>944</v>
      </c>
      <c r="E165" t="s">
        <v>945</v>
      </c>
      <c r="F165" t="s">
        <v>501</v>
      </c>
      <c r="G165" t="s">
        <v>502</v>
      </c>
      <c r="H165" t="s">
        <v>502</v>
      </c>
      <c r="I165" t="s">
        <v>137</v>
      </c>
      <c r="J165" t="b">
        <v>0</v>
      </c>
      <c r="K165" t="s">
        <v>78</v>
      </c>
      <c r="L165" t="s">
        <v>79</v>
      </c>
      <c r="N165" t="s">
        <v>81</v>
      </c>
      <c r="O165" t="s">
        <v>82</v>
      </c>
      <c r="P165" t="s">
        <v>83</v>
      </c>
      <c r="Q165" t="s">
        <v>549</v>
      </c>
      <c r="R165">
        <v>24</v>
      </c>
      <c r="S165" t="s">
        <v>85</v>
      </c>
      <c r="T165" t="s">
        <v>121</v>
      </c>
      <c r="U165">
        <v>1111111</v>
      </c>
      <c r="V165" t="s">
        <v>122</v>
      </c>
      <c r="W165" t="s">
        <v>550</v>
      </c>
      <c r="X165" t="s">
        <v>551</v>
      </c>
      <c r="Y165" t="s">
        <v>89</v>
      </c>
      <c r="Z165" t="s">
        <v>90</v>
      </c>
      <c r="AA165" t="s">
        <v>506</v>
      </c>
      <c r="AB165">
        <v>1</v>
      </c>
      <c r="AC165">
        <v>6</v>
      </c>
      <c r="AD165" t="b">
        <v>1</v>
      </c>
      <c r="AE165">
        <v>2022</v>
      </c>
      <c r="AF165" s="3">
        <v>367</v>
      </c>
      <c r="AG165" s="3">
        <v>44725</v>
      </c>
      <c r="AH165" s="3">
        <v>45818</v>
      </c>
      <c r="AJ165" s="4"/>
      <c r="AK165" s="4"/>
      <c r="AL165" s="3">
        <v>367</v>
      </c>
      <c r="AM165" s="3">
        <v>367</v>
      </c>
      <c r="AN165">
        <v>-8.6743217000000001</v>
      </c>
      <c r="AO165">
        <v>115.25451</v>
      </c>
      <c r="AP165" t="s">
        <v>945</v>
      </c>
      <c r="AT165">
        <v>99.75</v>
      </c>
      <c r="AW165">
        <v>0</v>
      </c>
      <c r="AX165">
        <v>0</v>
      </c>
      <c r="BA165">
        <v>0</v>
      </c>
      <c r="BB165">
        <v>0</v>
      </c>
      <c r="BE165">
        <v>0</v>
      </c>
      <c r="BF165">
        <v>0</v>
      </c>
      <c r="BJ165">
        <v>0</v>
      </c>
      <c r="BL165">
        <v>0</v>
      </c>
      <c r="BN165">
        <v>0</v>
      </c>
      <c r="BO165" s="6">
        <v>0</v>
      </c>
      <c r="BP165">
        <v>0</v>
      </c>
      <c r="BQ165">
        <v>0</v>
      </c>
      <c r="BR165">
        <v>0</v>
      </c>
    </row>
    <row r="166" spans="1:70" ht="15" customHeight="1" x14ac:dyDescent="0.35">
      <c r="A166" s="1" t="str">
        <f t="shared" si="5"/>
        <v>01DD</v>
      </c>
      <c r="B166" t="s">
        <v>946</v>
      </c>
      <c r="C166" t="s">
        <v>947</v>
      </c>
      <c r="D166" t="s">
        <v>948</v>
      </c>
      <c r="E166" t="s">
        <v>949</v>
      </c>
      <c r="F166" t="s">
        <v>501</v>
      </c>
      <c r="G166" t="s">
        <v>502</v>
      </c>
      <c r="H166" t="s">
        <v>502</v>
      </c>
      <c r="I166" t="s">
        <v>148</v>
      </c>
      <c r="J166" t="b">
        <v>0</v>
      </c>
      <c r="K166" t="s">
        <v>78</v>
      </c>
      <c r="L166" t="s">
        <v>79</v>
      </c>
      <c r="N166" t="s">
        <v>81</v>
      </c>
      <c r="O166" t="s">
        <v>82</v>
      </c>
      <c r="P166" t="s">
        <v>83</v>
      </c>
      <c r="Q166" t="s">
        <v>549</v>
      </c>
      <c r="R166">
        <v>24</v>
      </c>
      <c r="S166" t="s">
        <v>85</v>
      </c>
      <c r="T166" t="s">
        <v>121</v>
      </c>
      <c r="U166">
        <v>1111111</v>
      </c>
      <c r="V166" t="s">
        <v>122</v>
      </c>
      <c r="W166" t="s">
        <v>694</v>
      </c>
      <c r="X166" t="s">
        <v>695</v>
      </c>
      <c r="Y166" t="s">
        <v>89</v>
      </c>
      <c r="Z166" t="s">
        <v>90</v>
      </c>
      <c r="AA166" t="s">
        <v>506</v>
      </c>
      <c r="AB166">
        <v>1</v>
      </c>
      <c r="AC166">
        <v>6</v>
      </c>
      <c r="AD166" t="b">
        <v>1</v>
      </c>
      <c r="AE166">
        <v>2022</v>
      </c>
      <c r="AF166" s="3">
        <v>367</v>
      </c>
      <c r="AG166" s="3">
        <v>44725</v>
      </c>
      <c r="AH166" s="3">
        <v>45818</v>
      </c>
      <c r="AJ166" s="4"/>
      <c r="AK166" s="4"/>
      <c r="AL166" s="3">
        <v>367</v>
      </c>
      <c r="AM166" s="3">
        <v>367</v>
      </c>
      <c r="AN166">
        <v>-8.6737567000000002</v>
      </c>
      <c r="AO166">
        <v>115.22637330000001</v>
      </c>
      <c r="AP166" t="s">
        <v>950</v>
      </c>
      <c r="AT166">
        <v>99.75</v>
      </c>
      <c r="AW166">
        <v>0</v>
      </c>
      <c r="AX166">
        <v>0</v>
      </c>
      <c r="BA166">
        <v>0</v>
      </c>
      <c r="BB166">
        <v>0</v>
      </c>
      <c r="BE166">
        <v>0</v>
      </c>
      <c r="BF166">
        <v>0</v>
      </c>
      <c r="BJ166">
        <v>0</v>
      </c>
      <c r="BL166">
        <v>0</v>
      </c>
      <c r="BN166">
        <v>0</v>
      </c>
      <c r="BO166" s="6">
        <v>0</v>
      </c>
      <c r="BP166">
        <v>0</v>
      </c>
      <c r="BQ166">
        <v>0</v>
      </c>
      <c r="BR166">
        <v>0</v>
      </c>
    </row>
    <row r="167" spans="1:70" ht="15" customHeight="1" x14ac:dyDescent="0.35">
      <c r="A167" s="1" t="str">
        <f t="shared" si="5"/>
        <v>273M</v>
      </c>
      <c r="B167" t="s">
        <v>951</v>
      </c>
      <c r="C167" t="s">
        <v>952</v>
      </c>
      <c r="D167" t="s">
        <v>953</v>
      </c>
      <c r="E167" t="s">
        <v>954</v>
      </c>
      <c r="F167" t="s">
        <v>516</v>
      </c>
      <c r="G167" t="s">
        <v>502</v>
      </c>
      <c r="H167" t="s">
        <v>502</v>
      </c>
      <c r="I167" t="s">
        <v>137</v>
      </c>
      <c r="J167" t="b">
        <v>0</v>
      </c>
      <c r="K167" t="s">
        <v>78</v>
      </c>
      <c r="L167" t="s">
        <v>79</v>
      </c>
      <c r="N167" t="s">
        <v>81</v>
      </c>
      <c r="O167" t="s">
        <v>82</v>
      </c>
      <c r="P167" t="s">
        <v>83</v>
      </c>
      <c r="Q167" t="s">
        <v>503</v>
      </c>
      <c r="R167">
        <v>15</v>
      </c>
      <c r="S167" t="s">
        <v>85</v>
      </c>
      <c r="T167" t="s">
        <v>121</v>
      </c>
      <c r="U167">
        <v>1111111</v>
      </c>
      <c r="V167" t="s">
        <v>122</v>
      </c>
      <c r="W167" t="s">
        <v>523</v>
      </c>
      <c r="X167" t="s">
        <v>524</v>
      </c>
      <c r="Y167" t="s">
        <v>89</v>
      </c>
      <c r="Z167" t="s">
        <v>90</v>
      </c>
      <c r="AA167" t="s">
        <v>506</v>
      </c>
      <c r="AB167">
        <v>1</v>
      </c>
      <c r="AC167">
        <v>6</v>
      </c>
      <c r="AD167" t="b">
        <v>1</v>
      </c>
      <c r="AE167">
        <v>2022</v>
      </c>
      <c r="AF167" s="3">
        <v>367</v>
      </c>
      <c r="AG167" s="3">
        <v>44726</v>
      </c>
      <c r="AH167" s="3">
        <v>45818</v>
      </c>
      <c r="AJ167" s="4"/>
      <c r="AK167" s="4"/>
      <c r="AL167" s="3">
        <v>367</v>
      </c>
      <c r="AM167" s="3">
        <v>367</v>
      </c>
      <c r="AN167">
        <v>-8.7129816000000009</v>
      </c>
      <c r="AO167">
        <v>115.1679235</v>
      </c>
      <c r="AP167" t="s">
        <v>954</v>
      </c>
      <c r="AT167">
        <v>99.75</v>
      </c>
      <c r="AW167">
        <v>0</v>
      </c>
      <c r="AX167">
        <v>0</v>
      </c>
      <c r="BA167">
        <v>0</v>
      </c>
      <c r="BB167">
        <v>0</v>
      </c>
      <c r="BE167">
        <v>0</v>
      </c>
      <c r="BF167">
        <v>0</v>
      </c>
      <c r="BJ167">
        <v>0</v>
      </c>
      <c r="BL167">
        <v>0</v>
      </c>
      <c r="BN167">
        <v>0</v>
      </c>
      <c r="BO167" s="6">
        <v>0</v>
      </c>
      <c r="BP167">
        <v>0</v>
      </c>
      <c r="BQ167">
        <v>0</v>
      </c>
      <c r="BR167">
        <v>0</v>
      </c>
    </row>
    <row r="168" spans="1:70" ht="15" customHeight="1" x14ac:dyDescent="0.35">
      <c r="A168" s="1" t="str">
        <f t="shared" si="5"/>
        <v>00VH</v>
      </c>
      <c r="B168" t="s">
        <v>955</v>
      </c>
      <c r="C168" t="s">
        <v>956</v>
      </c>
      <c r="D168" t="s">
        <v>957</v>
      </c>
      <c r="E168" t="s">
        <v>958</v>
      </c>
      <c r="F168" t="s">
        <v>501</v>
      </c>
      <c r="G168" t="s">
        <v>502</v>
      </c>
      <c r="H168" t="s">
        <v>502</v>
      </c>
      <c r="I168" t="s">
        <v>137</v>
      </c>
      <c r="J168" t="b">
        <v>0</v>
      </c>
      <c r="K168" t="s">
        <v>78</v>
      </c>
      <c r="L168" t="s">
        <v>79</v>
      </c>
      <c r="N168" t="s">
        <v>81</v>
      </c>
      <c r="O168" t="s">
        <v>82</v>
      </c>
      <c r="P168" t="s">
        <v>83</v>
      </c>
      <c r="Q168" t="s">
        <v>503</v>
      </c>
      <c r="R168">
        <v>24</v>
      </c>
      <c r="S168" t="s">
        <v>85</v>
      </c>
      <c r="T168" t="s">
        <v>121</v>
      </c>
      <c r="U168">
        <v>1111111</v>
      </c>
      <c r="V168" t="s">
        <v>122</v>
      </c>
      <c r="W168" t="s">
        <v>523</v>
      </c>
      <c r="X168" t="s">
        <v>524</v>
      </c>
      <c r="Y168" t="s">
        <v>89</v>
      </c>
      <c r="Z168" t="s">
        <v>90</v>
      </c>
      <c r="AA168" t="s">
        <v>506</v>
      </c>
      <c r="AB168">
        <v>1</v>
      </c>
      <c r="AC168">
        <v>6</v>
      </c>
      <c r="AD168" t="b">
        <v>1</v>
      </c>
      <c r="AE168">
        <v>2022</v>
      </c>
      <c r="AF168" s="3">
        <v>367</v>
      </c>
      <c r="AG168" s="3">
        <v>44726</v>
      </c>
      <c r="AH168" s="3">
        <v>45818</v>
      </c>
      <c r="AJ168" s="4"/>
      <c r="AK168" s="4"/>
      <c r="AL168" s="3">
        <v>367</v>
      </c>
      <c r="AM168" s="3">
        <v>367</v>
      </c>
      <c r="AN168">
        <v>-8.6823399999999999</v>
      </c>
      <c r="AO168">
        <v>115.17763859999999</v>
      </c>
      <c r="AP168" t="s">
        <v>959</v>
      </c>
      <c r="AT168">
        <v>99.75</v>
      </c>
      <c r="AW168">
        <v>0</v>
      </c>
      <c r="AX168">
        <v>0</v>
      </c>
      <c r="BA168">
        <v>0</v>
      </c>
      <c r="BB168">
        <v>0</v>
      </c>
      <c r="BE168">
        <v>0</v>
      </c>
      <c r="BF168">
        <v>0</v>
      </c>
      <c r="BJ168">
        <v>0</v>
      </c>
      <c r="BL168">
        <v>0</v>
      </c>
      <c r="BN168">
        <v>0</v>
      </c>
      <c r="BO168" s="6">
        <v>0</v>
      </c>
      <c r="BP168">
        <v>0</v>
      </c>
      <c r="BQ168">
        <v>0</v>
      </c>
      <c r="BR168">
        <v>0</v>
      </c>
    </row>
    <row r="169" spans="1:70" ht="15" customHeight="1" x14ac:dyDescent="0.35">
      <c r="A169" s="1" t="str">
        <f t="shared" si="5"/>
        <v>00KP</v>
      </c>
      <c r="B169" t="s">
        <v>960</v>
      </c>
      <c r="C169" t="s">
        <v>961</v>
      </c>
      <c r="D169" t="s">
        <v>962</v>
      </c>
      <c r="E169" t="s">
        <v>963</v>
      </c>
      <c r="F169" t="s">
        <v>964</v>
      </c>
      <c r="G169" t="s">
        <v>502</v>
      </c>
      <c r="H169" t="s">
        <v>502</v>
      </c>
      <c r="I169" t="s">
        <v>137</v>
      </c>
      <c r="J169" t="b">
        <v>0</v>
      </c>
      <c r="K169" t="s">
        <v>78</v>
      </c>
      <c r="L169" t="s">
        <v>79</v>
      </c>
      <c r="N169" t="s">
        <v>81</v>
      </c>
      <c r="O169" t="s">
        <v>82</v>
      </c>
      <c r="P169" t="s">
        <v>83</v>
      </c>
      <c r="Q169" t="s">
        <v>503</v>
      </c>
      <c r="R169">
        <v>15</v>
      </c>
      <c r="S169" t="s">
        <v>965</v>
      </c>
      <c r="T169" t="s">
        <v>121</v>
      </c>
      <c r="U169">
        <v>1111111</v>
      </c>
      <c r="V169" t="s">
        <v>122</v>
      </c>
      <c r="W169" t="s">
        <v>550</v>
      </c>
      <c r="X169" t="s">
        <v>551</v>
      </c>
      <c r="Y169" t="s">
        <v>89</v>
      </c>
      <c r="Z169" t="s">
        <v>90</v>
      </c>
      <c r="AA169" t="s">
        <v>506</v>
      </c>
      <c r="AB169">
        <v>2</v>
      </c>
      <c r="AC169">
        <v>6</v>
      </c>
      <c r="AD169" t="b">
        <v>1</v>
      </c>
      <c r="AE169">
        <v>2022</v>
      </c>
      <c r="AF169" s="3">
        <v>367</v>
      </c>
      <c r="AG169" s="3">
        <v>44719</v>
      </c>
      <c r="AH169" s="3">
        <v>45818</v>
      </c>
      <c r="AJ169" s="4"/>
      <c r="AK169" s="4"/>
      <c r="AL169" s="3">
        <v>367</v>
      </c>
      <c r="AM169" s="3">
        <v>367</v>
      </c>
      <c r="AN169">
        <v>-8.2717443999999993</v>
      </c>
      <c r="AO169">
        <v>115.346301</v>
      </c>
      <c r="AP169" t="s">
        <v>966</v>
      </c>
      <c r="AT169">
        <v>99.75</v>
      </c>
      <c r="AW169">
        <v>0</v>
      </c>
      <c r="AX169">
        <v>0</v>
      </c>
      <c r="BA169">
        <v>0</v>
      </c>
      <c r="BB169">
        <v>0</v>
      </c>
      <c r="BE169">
        <v>0</v>
      </c>
      <c r="BF169">
        <v>0</v>
      </c>
      <c r="BJ169">
        <v>0</v>
      </c>
      <c r="BL169">
        <v>0</v>
      </c>
      <c r="BN169">
        <v>0</v>
      </c>
      <c r="BO169" s="6">
        <v>0</v>
      </c>
      <c r="BP169">
        <v>0</v>
      </c>
      <c r="BQ169">
        <v>0</v>
      </c>
      <c r="BR169">
        <v>0</v>
      </c>
    </row>
    <row r="170" spans="1:70" ht="15" customHeight="1" x14ac:dyDescent="0.35">
      <c r="A170" s="1" t="str">
        <f t="shared" si="5"/>
        <v>624F</v>
      </c>
      <c r="B170" t="s">
        <v>967</v>
      </c>
      <c r="C170" t="s">
        <v>968</v>
      </c>
      <c r="D170" t="s">
        <v>969</v>
      </c>
      <c r="E170" t="s">
        <v>970</v>
      </c>
      <c r="F170" t="s">
        <v>516</v>
      </c>
      <c r="G170" t="s">
        <v>502</v>
      </c>
      <c r="H170" t="s">
        <v>502</v>
      </c>
      <c r="I170" t="s">
        <v>137</v>
      </c>
      <c r="J170" t="b">
        <v>0</v>
      </c>
      <c r="K170" t="s">
        <v>78</v>
      </c>
      <c r="L170" t="s">
        <v>79</v>
      </c>
      <c r="N170" t="s">
        <v>81</v>
      </c>
      <c r="O170" t="s">
        <v>82</v>
      </c>
      <c r="P170" t="s">
        <v>83</v>
      </c>
      <c r="Q170" t="s">
        <v>503</v>
      </c>
      <c r="R170">
        <v>24</v>
      </c>
      <c r="S170" t="s">
        <v>85</v>
      </c>
      <c r="T170" t="s">
        <v>121</v>
      </c>
      <c r="U170">
        <v>1111111</v>
      </c>
      <c r="V170" t="s">
        <v>122</v>
      </c>
      <c r="W170" t="s">
        <v>637</v>
      </c>
      <c r="X170" t="s">
        <v>638</v>
      </c>
      <c r="Y170" t="s">
        <v>89</v>
      </c>
      <c r="Z170" t="s">
        <v>90</v>
      </c>
      <c r="AA170" t="s">
        <v>506</v>
      </c>
      <c r="AB170">
        <v>1</v>
      </c>
      <c r="AC170">
        <v>6</v>
      </c>
      <c r="AD170" t="b">
        <v>1</v>
      </c>
      <c r="AE170">
        <v>2022</v>
      </c>
      <c r="AF170" s="3">
        <v>367</v>
      </c>
      <c r="AG170" s="3">
        <v>44726</v>
      </c>
      <c r="AH170" s="3">
        <v>45818</v>
      </c>
      <c r="AJ170" s="4"/>
      <c r="AK170" s="4"/>
      <c r="AL170" s="3">
        <v>367</v>
      </c>
      <c r="AM170" s="3">
        <v>367</v>
      </c>
      <c r="AN170">
        <v>-8.7382171999999994</v>
      </c>
      <c r="AO170">
        <v>115.1709152</v>
      </c>
      <c r="AP170" t="s">
        <v>971</v>
      </c>
      <c r="AT170">
        <v>99.75</v>
      </c>
      <c r="AW170">
        <v>0</v>
      </c>
      <c r="AX170">
        <v>0</v>
      </c>
      <c r="BA170">
        <v>0</v>
      </c>
      <c r="BB170">
        <v>0</v>
      </c>
      <c r="BE170">
        <v>0</v>
      </c>
      <c r="BF170">
        <v>0</v>
      </c>
      <c r="BJ170">
        <v>0</v>
      </c>
      <c r="BL170">
        <v>0</v>
      </c>
      <c r="BN170">
        <v>0</v>
      </c>
      <c r="BO170" s="6">
        <v>0</v>
      </c>
      <c r="BP170">
        <v>0</v>
      </c>
      <c r="BQ170">
        <v>0</v>
      </c>
      <c r="BR170">
        <v>0</v>
      </c>
    </row>
    <row r="171" spans="1:70" ht="15" customHeight="1" x14ac:dyDescent="0.35">
      <c r="A171" s="1" t="str">
        <f t="shared" si="5"/>
        <v>498T</v>
      </c>
      <c r="B171" t="s">
        <v>972</v>
      </c>
      <c r="C171" t="s">
        <v>973</v>
      </c>
      <c r="D171" t="s">
        <v>974</v>
      </c>
      <c r="E171" t="s">
        <v>975</v>
      </c>
      <c r="F171" t="s">
        <v>724</v>
      </c>
      <c r="G171" t="s">
        <v>502</v>
      </c>
      <c r="H171" t="s">
        <v>502</v>
      </c>
      <c r="I171" t="s">
        <v>148</v>
      </c>
      <c r="J171" t="b">
        <v>0</v>
      </c>
      <c r="K171" t="s">
        <v>78</v>
      </c>
      <c r="L171" t="s">
        <v>79</v>
      </c>
      <c r="N171" t="s">
        <v>81</v>
      </c>
      <c r="O171" t="s">
        <v>82</v>
      </c>
      <c r="P171" t="s">
        <v>83</v>
      </c>
      <c r="Q171" t="s">
        <v>503</v>
      </c>
      <c r="R171">
        <v>15</v>
      </c>
      <c r="S171" t="s">
        <v>85</v>
      </c>
      <c r="T171" t="s">
        <v>121</v>
      </c>
      <c r="U171">
        <v>1111111</v>
      </c>
      <c r="V171" t="s">
        <v>122</v>
      </c>
      <c r="W171" t="s">
        <v>517</v>
      </c>
      <c r="X171" t="s">
        <v>518</v>
      </c>
      <c r="Y171" t="s">
        <v>89</v>
      </c>
      <c r="Z171" t="s">
        <v>90</v>
      </c>
      <c r="AA171" t="s">
        <v>506</v>
      </c>
      <c r="AB171">
        <v>2</v>
      </c>
      <c r="AC171">
        <v>6</v>
      </c>
      <c r="AD171" t="b">
        <v>1</v>
      </c>
      <c r="AE171">
        <v>2022</v>
      </c>
      <c r="AF171" s="3">
        <v>367</v>
      </c>
      <c r="AG171" s="3">
        <v>44723</v>
      </c>
      <c r="AH171" s="3">
        <v>45818</v>
      </c>
      <c r="AJ171" s="4"/>
      <c r="AK171" s="4"/>
      <c r="AL171" s="3">
        <v>367</v>
      </c>
      <c r="AM171" s="3">
        <v>367</v>
      </c>
      <c r="AN171">
        <v>-8.3727792000000001</v>
      </c>
      <c r="AO171">
        <v>115.19314009999999</v>
      </c>
      <c r="AP171" t="s">
        <v>976</v>
      </c>
      <c r="AT171">
        <v>99.75</v>
      </c>
      <c r="AW171">
        <v>0</v>
      </c>
      <c r="AX171">
        <v>0</v>
      </c>
      <c r="BA171">
        <v>0</v>
      </c>
      <c r="BB171">
        <v>0</v>
      </c>
      <c r="BE171">
        <v>0</v>
      </c>
      <c r="BF171">
        <v>0</v>
      </c>
      <c r="BJ171">
        <v>0</v>
      </c>
      <c r="BL171">
        <v>0</v>
      </c>
      <c r="BN171">
        <v>0</v>
      </c>
      <c r="BO171" s="6">
        <v>0</v>
      </c>
      <c r="BP171">
        <v>0</v>
      </c>
      <c r="BQ171">
        <v>0</v>
      </c>
      <c r="BR171">
        <v>0</v>
      </c>
    </row>
    <row r="172" spans="1:70" ht="15" customHeight="1" x14ac:dyDescent="0.35">
      <c r="A172" s="1" t="str">
        <f t="shared" si="5"/>
        <v>00N4</v>
      </c>
      <c r="B172" t="s">
        <v>977</v>
      </c>
      <c r="C172" t="s">
        <v>978</v>
      </c>
      <c r="D172" t="s">
        <v>979</v>
      </c>
      <c r="E172" t="s">
        <v>980</v>
      </c>
      <c r="F172" t="s">
        <v>516</v>
      </c>
      <c r="G172" t="s">
        <v>502</v>
      </c>
      <c r="H172" t="s">
        <v>502</v>
      </c>
      <c r="I172" t="s">
        <v>77</v>
      </c>
      <c r="J172" t="b">
        <v>0</v>
      </c>
      <c r="K172" t="s">
        <v>78</v>
      </c>
      <c r="L172" t="s">
        <v>79</v>
      </c>
      <c r="N172" t="s">
        <v>81</v>
      </c>
      <c r="O172" t="s">
        <v>82</v>
      </c>
      <c r="P172" t="s">
        <v>83</v>
      </c>
      <c r="Q172" t="s">
        <v>503</v>
      </c>
      <c r="R172">
        <v>24</v>
      </c>
      <c r="S172" t="s">
        <v>85</v>
      </c>
      <c r="T172" t="s">
        <v>121</v>
      </c>
      <c r="U172">
        <v>1111111</v>
      </c>
      <c r="V172" t="s">
        <v>122</v>
      </c>
      <c r="W172" t="s">
        <v>523</v>
      </c>
      <c r="X172" t="s">
        <v>524</v>
      </c>
      <c r="Y172" t="s">
        <v>89</v>
      </c>
      <c r="Z172" t="s">
        <v>90</v>
      </c>
      <c r="AA172" t="s">
        <v>506</v>
      </c>
      <c r="AB172">
        <v>1</v>
      </c>
      <c r="AC172">
        <v>6</v>
      </c>
      <c r="AD172" t="b">
        <v>1</v>
      </c>
      <c r="AE172">
        <v>2022</v>
      </c>
      <c r="AF172" s="3">
        <v>367</v>
      </c>
      <c r="AG172" s="3">
        <v>44726</v>
      </c>
      <c r="AH172" s="3">
        <v>45818</v>
      </c>
      <c r="AJ172" s="4"/>
      <c r="AK172" s="4"/>
      <c r="AL172" s="3">
        <v>367</v>
      </c>
      <c r="AM172" s="3">
        <v>367</v>
      </c>
      <c r="AN172">
        <v>-8.7023104999999994</v>
      </c>
      <c r="AO172">
        <v>115.1754597</v>
      </c>
      <c r="AP172" t="s">
        <v>980</v>
      </c>
      <c r="AT172">
        <v>99.75</v>
      </c>
      <c r="AW172">
        <v>0</v>
      </c>
      <c r="AX172">
        <v>0</v>
      </c>
      <c r="BA172">
        <v>0</v>
      </c>
      <c r="BB172">
        <v>0</v>
      </c>
      <c r="BE172">
        <v>0</v>
      </c>
      <c r="BF172">
        <v>0</v>
      </c>
      <c r="BJ172">
        <v>0</v>
      </c>
      <c r="BL172">
        <v>0</v>
      </c>
      <c r="BN172">
        <v>0</v>
      </c>
      <c r="BO172" s="6">
        <v>0</v>
      </c>
      <c r="BP172">
        <v>0</v>
      </c>
      <c r="BQ172">
        <v>0</v>
      </c>
      <c r="BR172">
        <v>0</v>
      </c>
    </row>
    <row r="173" spans="1:70" ht="15" customHeight="1" x14ac:dyDescent="0.35">
      <c r="A173" s="1" t="str">
        <f t="shared" si="5"/>
        <v>4079</v>
      </c>
      <c r="B173" t="s">
        <v>981</v>
      </c>
      <c r="C173" t="s">
        <v>982</v>
      </c>
      <c r="D173" t="s">
        <v>983</v>
      </c>
      <c r="E173" t="s">
        <v>984</v>
      </c>
      <c r="F173" t="s">
        <v>516</v>
      </c>
      <c r="G173" t="s">
        <v>502</v>
      </c>
      <c r="H173" t="s">
        <v>502</v>
      </c>
      <c r="I173" t="s">
        <v>148</v>
      </c>
      <c r="J173" t="b">
        <v>0</v>
      </c>
      <c r="K173" t="s">
        <v>78</v>
      </c>
      <c r="L173" t="s">
        <v>79</v>
      </c>
      <c r="N173" t="s">
        <v>81</v>
      </c>
      <c r="O173" t="s">
        <v>82</v>
      </c>
      <c r="P173" t="s">
        <v>83</v>
      </c>
      <c r="Q173" t="s">
        <v>503</v>
      </c>
      <c r="R173">
        <v>24</v>
      </c>
      <c r="S173" t="s">
        <v>85</v>
      </c>
      <c r="T173" t="s">
        <v>121</v>
      </c>
      <c r="U173">
        <v>1111111</v>
      </c>
      <c r="V173" t="s">
        <v>122</v>
      </c>
      <c r="W173" t="s">
        <v>523</v>
      </c>
      <c r="X173" t="s">
        <v>524</v>
      </c>
      <c r="Y173" t="s">
        <v>89</v>
      </c>
      <c r="Z173" t="s">
        <v>90</v>
      </c>
      <c r="AA173" t="s">
        <v>506</v>
      </c>
      <c r="AB173">
        <v>1</v>
      </c>
      <c r="AC173">
        <v>6</v>
      </c>
      <c r="AD173" t="b">
        <v>1</v>
      </c>
      <c r="AE173">
        <v>2022</v>
      </c>
      <c r="AF173" s="3">
        <v>367</v>
      </c>
      <c r="AG173" s="3">
        <v>44727</v>
      </c>
      <c r="AH173" s="3">
        <v>45818</v>
      </c>
      <c r="AJ173" s="4"/>
      <c r="AK173" s="4"/>
      <c r="AL173" s="3">
        <v>367</v>
      </c>
      <c r="AM173" s="3">
        <v>367</v>
      </c>
      <c r="AN173">
        <v>-8.6912382000000008</v>
      </c>
      <c r="AO173">
        <v>115.16483700000001</v>
      </c>
      <c r="AP173" t="s">
        <v>985</v>
      </c>
      <c r="AT173">
        <v>99.75</v>
      </c>
      <c r="AW173">
        <v>0</v>
      </c>
      <c r="AX173">
        <v>0</v>
      </c>
      <c r="BA173">
        <v>0</v>
      </c>
      <c r="BB173">
        <v>0</v>
      </c>
      <c r="BE173">
        <v>0</v>
      </c>
      <c r="BF173">
        <v>0</v>
      </c>
      <c r="BJ173">
        <v>0</v>
      </c>
      <c r="BL173">
        <v>0</v>
      </c>
      <c r="BN173">
        <v>0</v>
      </c>
      <c r="BO173" s="6">
        <v>0</v>
      </c>
      <c r="BP173">
        <v>0</v>
      </c>
      <c r="BQ173">
        <v>0</v>
      </c>
      <c r="BR173">
        <v>0</v>
      </c>
    </row>
    <row r="174" spans="1:70" ht="15" customHeight="1" x14ac:dyDescent="0.35">
      <c r="A174" s="1" t="str">
        <f t="shared" si="5"/>
        <v>516M</v>
      </c>
      <c r="B174" t="s">
        <v>986</v>
      </c>
      <c r="C174" t="s">
        <v>987</v>
      </c>
      <c r="D174" t="s">
        <v>988</v>
      </c>
      <c r="E174" t="s">
        <v>989</v>
      </c>
      <c r="F174" t="s">
        <v>501</v>
      </c>
      <c r="G174" t="s">
        <v>502</v>
      </c>
      <c r="H174" t="s">
        <v>502</v>
      </c>
      <c r="I174" t="s">
        <v>584</v>
      </c>
      <c r="J174" t="b">
        <v>0</v>
      </c>
      <c r="K174" t="s">
        <v>78</v>
      </c>
      <c r="L174" t="s">
        <v>79</v>
      </c>
      <c r="N174" t="s">
        <v>81</v>
      </c>
      <c r="O174" t="s">
        <v>82</v>
      </c>
      <c r="P174" t="s">
        <v>83</v>
      </c>
      <c r="Q174" t="s">
        <v>503</v>
      </c>
      <c r="R174">
        <v>24</v>
      </c>
      <c r="S174" t="s">
        <v>85</v>
      </c>
      <c r="T174" t="s">
        <v>121</v>
      </c>
      <c r="U174">
        <v>1111111</v>
      </c>
      <c r="V174" t="s">
        <v>122</v>
      </c>
      <c r="W174" t="s">
        <v>571</v>
      </c>
      <c r="X174" t="s">
        <v>572</v>
      </c>
      <c r="Y174" t="s">
        <v>89</v>
      </c>
      <c r="Z174" t="s">
        <v>90</v>
      </c>
      <c r="AA174" t="s">
        <v>506</v>
      </c>
      <c r="AB174">
        <v>1</v>
      </c>
      <c r="AC174">
        <v>6</v>
      </c>
      <c r="AD174" t="b">
        <v>1</v>
      </c>
      <c r="AE174">
        <v>2022</v>
      </c>
      <c r="AF174" s="3">
        <v>367</v>
      </c>
      <c r="AG174" s="3">
        <v>44727</v>
      </c>
      <c r="AH174" s="3">
        <v>45818</v>
      </c>
      <c r="AJ174" s="4"/>
      <c r="AK174" s="4"/>
      <c r="AL174" s="3">
        <v>367</v>
      </c>
      <c r="AM174" s="3">
        <v>367</v>
      </c>
      <c r="AN174">
        <v>-8.6272967999999999</v>
      </c>
      <c r="AO174">
        <v>115.19343790000001</v>
      </c>
      <c r="AP174" t="s">
        <v>989</v>
      </c>
      <c r="AT174">
        <v>99.75</v>
      </c>
      <c r="AW174">
        <v>0</v>
      </c>
      <c r="AX174">
        <v>0</v>
      </c>
      <c r="BA174">
        <v>0</v>
      </c>
      <c r="BB174">
        <v>0</v>
      </c>
      <c r="BE174">
        <v>0</v>
      </c>
      <c r="BF174">
        <v>0</v>
      </c>
      <c r="BJ174">
        <v>0</v>
      </c>
      <c r="BL174">
        <v>0</v>
      </c>
      <c r="BN174">
        <v>0</v>
      </c>
      <c r="BO174" s="6">
        <v>0</v>
      </c>
      <c r="BP174">
        <v>0</v>
      </c>
      <c r="BQ174">
        <v>0</v>
      </c>
      <c r="BR174">
        <v>0</v>
      </c>
    </row>
    <row r="175" spans="1:70" ht="15" customHeight="1" x14ac:dyDescent="0.35">
      <c r="A175" s="1" t="str">
        <f t="shared" si="5"/>
        <v>602Z</v>
      </c>
      <c r="B175" t="s">
        <v>990</v>
      </c>
      <c r="C175" t="s">
        <v>991</v>
      </c>
      <c r="D175" t="s">
        <v>992</v>
      </c>
      <c r="E175" t="s">
        <v>993</v>
      </c>
      <c r="F175" t="s">
        <v>501</v>
      </c>
      <c r="G175" t="s">
        <v>502</v>
      </c>
      <c r="H175" t="s">
        <v>502</v>
      </c>
      <c r="I175" t="s">
        <v>584</v>
      </c>
      <c r="J175" t="b">
        <v>0</v>
      </c>
      <c r="K175" t="s">
        <v>78</v>
      </c>
      <c r="L175" t="s">
        <v>79</v>
      </c>
      <c r="N175" t="s">
        <v>81</v>
      </c>
      <c r="O175" t="s">
        <v>82</v>
      </c>
      <c r="P175" t="s">
        <v>83</v>
      </c>
      <c r="Q175" t="s">
        <v>503</v>
      </c>
      <c r="R175">
        <v>24</v>
      </c>
      <c r="S175" t="s">
        <v>85</v>
      </c>
      <c r="T175" t="s">
        <v>121</v>
      </c>
      <c r="U175">
        <v>1111111</v>
      </c>
      <c r="V175" t="s">
        <v>122</v>
      </c>
      <c r="W175" t="s">
        <v>529</v>
      </c>
      <c r="X175" t="s">
        <v>530</v>
      </c>
      <c r="Y175" t="s">
        <v>89</v>
      </c>
      <c r="Z175" t="s">
        <v>90</v>
      </c>
      <c r="AA175" t="s">
        <v>506</v>
      </c>
      <c r="AB175">
        <v>1</v>
      </c>
      <c r="AC175">
        <v>6</v>
      </c>
      <c r="AD175" t="b">
        <v>1</v>
      </c>
      <c r="AE175">
        <v>2022</v>
      </c>
      <c r="AF175" s="3">
        <v>367</v>
      </c>
      <c r="AG175" s="3">
        <v>44723</v>
      </c>
      <c r="AH175" s="3">
        <v>45818</v>
      </c>
      <c r="AJ175" s="4"/>
      <c r="AK175" s="4"/>
      <c r="AL175" s="3">
        <v>367</v>
      </c>
      <c r="AM175" s="3">
        <v>367</v>
      </c>
      <c r="AN175">
        <v>-8.6881199999999996</v>
      </c>
      <c r="AO175">
        <v>115.1883596</v>
      </c>
      <c r="AP175" t="s">
        <v>994</v>
      </c>
      <c r="AT175">
        <v>99.75</v>
      </c>
      <c r="AW175">
        <v>0</v>
      </c>
      <c r="AX175">
        <v>0</v>
      </c>
      <c r="BA175">
        <v>0</v>
      </c>
      <c r="BB175">
        <v>0</v>
      </c>
      <c r="BE175">
        <v>0</v>
      </c>
      <c r="BF175">
        <v>0</v>
      </c>
      <c r="BJ175">
        <v>0</v>
      </c>
      <c r="BL175">
        <v>0</v>
      </c>
      <c r="BN175">
        <v>0</v>
      </c>
      <c r="BO175" s="6">
        <v>0</v>
      </c>
      <c r="BP175">
        <v>0</v>
      </c>
      <c r="BQ175">
        <v>0</v>
      </c>
      <c r="BR175">
        <v>0</v>
      </c>
    </row>
    <row r="176" spans="1:70" ht="15" customHeight="1" x14ac:dyDescent="0.35">
      <c r="A176" s="1" t="str">
        <f t="shared" si="5"/>
        <v>00H9</v>
      </c>
      <c r="B176" t="s">
        <v>995</v>
      </c>
      <c r="C176" t="s">
        <v>996</v>
      </c>
      <c r="D176" t="s">
        <v>997</v>
      </c>
      <c r="E176" t="s">
        <v>998</v>
      </c>
      <c r="F176" t="s">
        <v>516</v>
      </c>
      <c r="G176" t="s">
        <v>502</v>
      </c>
      <c r="H176" t="s">
        <v>502</v>
      </c>
      <c r="I176" t="s">
        <v>148</v>
      </c>
      <c r="J176" t="b">
        <v>0</v>
      </c>
      <c r="K176" t="s">
        <v>78</v>
      </c>
      <c r="L176" t="s">
        <v>79</v>
      </c>
      <c r="N176" t="s">
        <v>81</v>
      </c>
      <c r="O176" t="s">
        <v>82</v>
      </c>
      <c r="P176" t="s">
        <v>83</v>
      </c>
      <c r="Q176" t="s">
        <v>503</v>
      </c>
      <c r="R176">
        <v>15</v>
      </c>
      <c r="S176" t="s">
        <v>121</v>
      </c>
      <c r="T176" t="s">
        <v>121</v>
      </c>
      <c r="U176">
        <v>1111111</v>
      </c>
      <c r="V176" t="s">
        <v>122</v>
      </c>
      <c r="W176" t="s">
        <v>517</v>
      </c>
      <c r="X176" t="s">
        <v>518</v>
      </c>
      <c r="Y176" t="s">
        <v>89</v>
      </c>
      <c r="Z176" t="s">
        <v>90</v>
      </c>
      <c r="AA176" t="s">
        <v>506</v>
      </c>
      <c r="AB176">
        <v>1</v>
      </c>
      <c r="AC176">
        <v>6</v>
      </c>
      <c r="AD176" t="b">
        <v>1</v>
      </c>
      <c r="AE176">
        <v>2022</v>
      </c>
      <c r="AF176" s="3">
        <v>367</v>
      </c>
      <c r="AG176" s="3">
        <v>44727</v>
      </c>
      <c r="AH176" s="3">
        <v>45818</v>
      </c>
      <c r="AJ176" s="4"/>
      <c r="AK176" s="4"/>
      <c r="AL176" s="3">
        <v>367</v>
      </c>
      <c r="AM176" s="3">
        <v>367</v>
      </c>
      <c r="AN176">
        <v>-8.5757486000000007</v>
      </c>
      <c r="AO176">
        <v>115.1783341</v>
      </c>
      <c r="AP176" t="s">
        <v>999</v>
      </c>
      <c r="AT176">
        <v>99.75</v>
      </c>
      <c r="AW176">
        <v>0</v>
      </c>
      <c r="AX176">
        <v>0</v>
      </c>
      <c r="BA176">
        <v>0</v>
      </c>
      <c r="BB176">
        <v>0</v>
      </c>
      <c r="BE176">
        <v>0</v>
      </c>
      <c r="BF176">
        <v>0</v>
      </c>
      <c r="BJ176">
        <v>0</v>
      </c>
      <c r="BL176">
        <v>0</v>
      </c>
      <c r="BN176">
        <v>0</v>
      </c>
      <c r="BO176" s="6">
        <v>0</v>
      </c>
      <c r="BP176">
        <v>0</v>
      </c>
      <c r="BQ176">
        <v>0</v>
      </c>
      <c r="BR176">
        <v>0</v>
      </c>
    </row>
    <row r="177" spans="1:70" ht="15" customHeight="1" x14ac:dyDescent="0.35">
      <c r="A177" s="1" t="str">
        <f t="shared" si="5"/>
        <v>00E3</v>
      </c>
      <c r="B177" t="s">
        <v>1000</v>
      </c>
      <c r="C177" t="s">
        <v>1001</v>
      </c>
      <c r="D177" t="s">
        <v>1002</v>
      </c>
      <c r="E177" t="s">
        <v>1003</v>
      </c>
      <c r="F177" t="s">
        <v>501</v>
      </c>
      <c r="G177" t="s">
        <v>502</v>
      </c>
      <c r="H177" t="s">
        <v>502</v>
      </c>
      <c r="I177" t="s">
        <v>148</v>
      </c>
      <c r="J177" t="b">
        <v>0</v>
      </c>
      <c r="K177" t="s">
        <v>78</v>
      </c>
      <c r="L177" t="s">
        <v>79</v>
      </c>
      <c r="N177" t="s">
        <v>81</v>
      </c>
      <c r="O177" t="s">
        <v>82</v>
      </c>
      <c r="P177" t="s">
        <v>83</v>
      </c>
      <c r="Q177" t="s">
        <v>503</v>
      </c>
      <c r="R177">
        <v>24</v>
      </c>
      <c r="S177" t="s">
        <v>85</v>
      </c>
      <c r="T177" t="s">
        <v>121</v>
      </c>
      <c r="U177">
        <v>1111111</v>
      </c>
      <c r="V177" t="s">
        <v>122</v>
      </c>
      <c r="W177" t="s">
        <v>571</v>
      </c>
      <c r="X177" t="s">
        <v>572</v>
      </c>
      <c r="Y177" t="s">
        <v>89</v>
      </c>
      <c r="Z177" t="s">
        <v>90</v>
      </c>
      <c r="AA177" t="s">
        <v>506</v>
      </c>
      <c r="AB177">
        <v>1</v>
      </c>
      <c r="AC177">
        <v>6</v>
      </c>
      <c r="AD177" t="b">
        <v>1</v>
      </c>
      <c r="AE177">
        <v>2022</v>
      </c>
      <c r="AF177" s="3">
        <v>367</v>
      </c>
      <c r="AG177" s="3">
        <v>44724</v>
      </c>
      <c r="AH177" s="3">
        <v>45818</v>
      </c>
      <c r="AJ177" s="4"/>
      <c r="AK177" s="4"/>
      <c r="AL177" s="3">
        <v>367</v>
      </c>
      <c r="AM177" s="3">
        <v>367</v>
      </c>
      <c r="AN177">
        <v>-8.6488338999999996</v>
      </c>
      <c r="AO177">
        <v>115.21361280000001</v>
      </c>
      <c r="AP177" t="s">
        <v>1004</v>
      </c>
      <c r="AT177">
        <v>99.75</v>
      </c>
      <c r="AW177">
        <v>0</v>
      </c>
      <c r="AX177">
        <v>0</v>
      </c>
      <c r="BA177">
        <v>0</v>
      </c>
      <c r="BB177">
        <v>0</v>
      </c>
      <c r="BE177">
        <v>0</v>
      </c>
      <c r="BF177">
        <v>0</v>
      </c>
      <c r="BJ177">
        <v>0</v>
      </c>
      <c r="BL177">
        <v>0</v>
      </c>
      <c r="BN177">
        <v>0</v>
      </c>
      <c r="BO177" s="6">
        <v>0</v>
      </c>
      <c r="BP177">
        <v>0</v>
      </c>
      <c r="BQ177">
        <v>0</v>
      </c>
      <c r="BR177">
        <v>0</v>
      </c>
    </row>
    <row r="178" spans="1:70" ht="15" customHeight="1" x14ac:dyDescent="0.35">
      <c r="A178" s="1" t="str">
        <f t="shared" si="5"/>
        <v>4081</v>
      </c>
      <c r="B178" t="s">
        <v>1005</v>
      </c>
      <c r="C178" t="s">
        <v>1006</v>
      </c>
      <c r="D178" t="s">
        <v>1007</v>
      </c>
      <c r="E178" t="s">
        <v>1008</v>
      </c>
      <c r="F178" t="s">
        <v>516</v>
      </c>
      <c r="G178" t="s">
        <v>502</v>
      </c>
      <c r="H178" t="s">
        <v>502</v>
      </c>
      <c r="I178" t="s">
        <v>137</v>
      </c>
      <c r="J178" t="b">
        <v>0</v>
      </c>
      <c r="K178" t="s">
        <v>78</v>
      </c>
      <c r="L178" t="s">
        <v>79</v>
      </c>
      <c r="N178" t="s">
        <v>81</v>
      </c>
      <c r="O178" t="s">
        <v>82</v>
      </c>
      <c r="P178" t="s">
        <v>83</v>
      </c>
      <c r="Q178" t="s">
        <v>503</v>
      </c>
      <c r="R178">
        <v>24</v>
      </c>
      <c r="S178" t="s">
        <v>85</v>
      </c>
      <c r="T178" t="s">
        <v>121</v>
      </c>
      <c r="U178">
        <v>1111111</v>
      </c>
      <c r="V178" t="s">
        <v>122</v>
      </c>
      <c r="W178" t="s">
        <v>637</v>
      </c>
      <c r="X178" t="s">
        <v>638</v>
      </c>
      <c r="Y178" t="s">
        <v>89</v>
      </c>
      <c r="Z178" t="s">
        <v>90</v>
      </c>
      <c r="AA178" t="s">
        <v>506</v>
      </c>
      <c r="AB178">
        <v>1</v>
      </c>
      <c r="AC178">
        <v>6</v>
      </c>
      <c r="AD178" t="b">
        <v>1</v>
      </c>
      <c r="AE178">
        <v>2022</v>
      </c>
      <c r="AF178" s="3">
        <v>367</v>
      </c>
      <c r="AG178" s="3">
        <v>44724</v>
      </c>
      <c r="AH178" s="3">
        <v>45818</v>
      </c>
      <c r="AJ178" s="4"/>
      <c r="AK178" s="4"/>
      <c r="AL178" s="3">
        <v>367</v>
      </c>
      <c r="AM178" s="3">
        <v>367</v>
      </c>
      <c r="AN178">
        <v>-8.7633139999999994</v>
      </c>
      <c r="AO178">
        <v>115.1753094</v>
      </c>
      <c r="AP178" t="s">
        <v>1009</v>
      </c>
      <c r="AT178">
        <v>99.75</v>
      </c>
      <c r="AW178">
        <v>0</v>
      </c>
      <c r="AX178">
        <v>0</v>
      </c>
      <c r="BA178">
        <v>0</v>
      </c>
      <c r="BB178">
        <v>0</v>
      </c>
      <c r="BE178">
        <v>0</v>
      </c>
      <c r="BF178">
        <v>0</v>
      </c>
      <c r="BJ178">
        <v>0</v>
      </c>
      <c r="BL178">
        <v>0</v>
      </c>
      <c r="BN178">
        <v>0</v>
      </c>
      <c r="BO178" s="6">
        <v>0</v>
      </c>
      <c r="BP178">
        <v>0</v>
      </c>
      <c r="BQ178">
        <v>0</v>
      </c>
      <c r="BR178">
        <v>0</v>
      </c>
    </row>
    <row r="179" spans="1:70" ht="15" customHeight="1" x14ac:dyDescent="0.35">
      <c r="A179" s="1" t="str">
        <f t="shared" si="5"/>
        <v>656C</v>
      </c>
      <c r="B179" t="s">
        <v>1010</v>
      </c>
      <c r="C179" t="s">
        <v>1011</v>
      </c>
      <c r="D179" t="s">
        <v>1012</v>
      </c>
      <c r="E179" t="s">
        <v>1013</v>
      </c>
      <c r="F179" t="s">
        <v>516</v>
      </c>
      <c r="G179" t="s">
        <v>502</v>
      </c>
      <c r="H179" t="s">
        <v>502</v>
      </c>
      <c r="I179" t="s">
        <v>137</v>
      </c>
      <c r="J179" t="b">
        <v>0</v>
      </c>
      <c r="K179" t="s">
        <v>78</v>
      </c>
      <c r="L179" t="s">
        <v>79</v>
      </c>
      <c r="N179" t="s">
        <v>81</v>
      </c>
      <c r="O179" t="s">
        <v>82</v>
      </c>
      <c r="P179" t="s">
        <v>83</v>
      </c>
      <c r="Q179" t="s">
        <v>503</v>
      </c>
      <c r="R179">
        <v>24</v>
      </c>
      <c r="S179" t="s">
        <v>85</v>
      </c>
      <c r="T179" t="s">
        <v>121</v>
      </c>
      <c r="U179">
        <v>1111111</v>
      </c>
      <c r="V179" t="s">
        <v>122</v>
      </c>
      <c r="W179" t="s">
        <v>523</v>
      </c>
      <c r="X179" t="s">
        <v>524</v>
      </c>
      <c r="Y179" t="s">
        <v>89</v>
      </c>
      <c r="Z179" t="s">
        <v>90</v>
      </c>
      <c r="AA179" t="s">
        <v>506</v>
      </c>
      <c r="AB179">
        <v>1</v>
      </c>
      <c r="AC179">
        <v>6</v>
      </c>
      <c r="AD179" t="b">
        <v>1</v>
      </c>
      <c r="AE179">
        <v>2022</v>
      </c>
      <c r="AF179" s="3">
        <v>367</v>
      </c>
      <c r="AG179" s="3">
        <v>44724</v>
      </c>
      <c r="AH179" s="3">
        <v>45818</v>
      </c>
      <c r="AJ179" s="4"/>
      <c r="AK179" s="4"/>
      <c r="AL179" s="3">
        <v>367</v>
      </c>
      <c r="AM179" s="3">
        <v>367</v>
      </c>
      <c r="AN179">
        <v>-8.6888044000000004</v>
      </c>
      <c r="AO179">
        <v>115.1735419</v>
      </c>
      <c r="AP179" t="s">
        <v>1014</v>
      </c>
      <c r="AT179">
        <v>99.75</v>
      </c>
      <c r="AW179">
        <v>0</v>
      </c>
      <c r="AX179">
        <v>0</v>
      </c>
      <c r="BA179">
        <v>0</v>
      </c>
      <c r="BB179">
        <v>0</v>
      </c>
      <c r="BE179">
        <v>0</v>
      </c>
      <c r="BF179">
        <v>0</v>
      </c>
      <c r="BJ179">
        <v>0</v>
      </c>
      <c r="BL179">
        <v>0</v>
      </c>
      <c r="BN179">
        <v>0</v>
      </c>
      <c r="BO179" s="6">
        <v>0</v>
      </c>
      <c r="BP179">
        <v>0</v>
      </c>
      <c r="BQ179">
        <v>0</v>
      </c>
      <c r="BR179">
        <v>0</v>
      </c>
    </row>
    <row r="180" spans="1:70" ht="15" customHeight="1" x14ac:dyDescent="0.35">
      <c r="A180" s="1" t="str">
        <f t="shared" si="5"/>
        <v>273J</v>
      </c>
      <c r="B180" t="s">
        <v>1015</v>
      </c>
      <c r="C180" t="s">
        <v>1016</v>
      </c>
      <c r="D180" t="s">
        <v>1017</v>
      </c>
      <c r="E180" t="s">
        <v>1018</v>
      </c>
      <c r="F180" t="s">
        <v>516</v>
      </c>
      <c r="G180" t="s">
        <v>502</v>
      </c>
      <c r="H180" t="s">
        <v>502</v>
      </c>
      <c r="I180" t="s">
        <v>137</v>
      </c>
      <c r="J180" t="b">
        <v>0</v>
      </c>
      <c r="K180" t="s">
        <v>78</v>
      </c>
      <c r="L180" t="s">
        <v>79</v>
      </c>
      <c r="N180" t="s">
        <v>81</v>
      </c>
      <c r="O180" t="s">
        <v>82</v>
      </c>
      <c r="P180" t="s">
        <v>83</v>
      </c>
      <c r="Q180" t="s">
        <v>503</v>
      </c>
      <c r="R180">
        <v>24</v>
      </c>
      <c r="S180" t="s">
        <v>85</v>
      </c>
      <c r="T180" t="s">
        <v>121</v>
      </c>
      <c r="U180">
        <v>1111111</v>
      </c>
      <c r="V180" t="s">
        <v>122</v>
      </c>
      <c r="W180" t="s">
        <v>504</v>
      </c>
      <c r="X180" t="s">
        <v>505</v>
      </c>
      <c r="Y180" t="s">
        <v>89</v>
      </c>
      <c r="Z180" t="s">
        <v>90</v>
      </c>
      <c r="AA180" t="s">
        <v>506</v>
      </c>
      <c r="AB180">
        <v>1</v>
      </c>
      <c r="AC180">
        <v>6</v>
      </c>
      <c r="AD180" t="b">
        <v>1</v>
      </c>
      <c r="AE180">
        <v>2022</v>
      </c>
      <c r="AF180" s="3">
        <v>367</v>
      </c>
      <c r="AG180" s="3">
        <v>44725</v>
      </c>
      <c r="AH180" s="3">
        <v>45818</v>
      </c>
      <c r="AJ180" s="4"/>
      <c r="AK180" s="4"/>
      <c r="AL180" s="3">
        <v>367</v>
      </c>
      <c r="AM180" s="3">
        <v>367</v>
      </c>
      <c r="AN180">
        <v>-8.7827266000000002</v>
      </c>
      <c r="AO180">
        <v>115.17862390000001</v>
      </c>
      <c r="AP180" t="s">
        <v>1019</v>
      </c>
      <c r="AT180">
        <v>99.75</v>
      </c>
      <c r="AW180">
        <v>0</v>
      </c>
      <c r="AX180">
        <v>0</v>
      </c>
      <c r="BA180">
        <v>0</v>
      </c>
      <c r="BB180">
        <v>0</v>
      </c>
      <c r="BE180">
        <v>0</v>
      </c>
      <c r="BF180">
        <v>0</v>
      </c>
      <c r="BJ180">
        <v>0</v>
      </c>
      <c r="BL180">
        <v>0</v>
      </c>
      <c r="BN180">
        <v>0</v>
      </c>
      <c r="BO180" s="6">
        <v>0</v>
      </c>
      <c r="BP180">
        <v>0</v>
      </c>
      <c r="BQ180">
        <v>0</v>
      </c>
      <c r="BR180">
        <v>0</v>
      </c>
    </row>
    <row r="181" spans="1:70" ht="15" customHeight="1" x14ac:dyDescent="0.35">
      <c r="A181" s="1" t="str">
        <f t="shared" si="5"/>
        <v>273K</v>
      </c>
      <c r="B181" t="s">
        <v>1020</v>
      </c>
      <c r="C181" t="s">
        <v>1021</v>
      </c>
      <c r="D181" t="s">
        <v>1022</v>
      </c>
      <c r="E181" t="s">
        <v>1023</v>
      </c>
      <c r="F181" t="s">
        <v>516</v>
      </c>
      <c r="G181" t="s">
        <v>502</v>
      </c>
      <c r="H181" t="s">
        <v>502</v>
      </c>
      <c r="I181" t="s">
        <v>148</v>
      </c>
      <c r="J181" t="b">
        <v>0</v>
      </c>
      <c r="K181" t="s">
        <v>78</v>
      </c>
      <c r="L181" t="s">
        <v>79</v>
      </c>
      <c r="N181" t="s">
        <v>81</v>
      </c>
      <c r="O181" t="s">
        <v>82</v>
      </c>
      <c r="P181" t="s">
        <v>83</v>
      </c>
      <c r="Q181" t="s">
        <v>503</v>
      </c>
      <c r="R181">
        <v>24</v>
      </c>
      <c r="S181" t="s">
        <v>85</v>
      </c>
      <c r="T181" t="s">
        <v>121</v>
      </c>
      <c r="U181">
        <v>1111111</v>
      </c>
      <c r="V181" t="s">
        <v>122</v>
      </c>
      <c r="W181" t="s">
        <v>504</v>
      </c>
      <c r="X181" t="s">
        <v>505</v>
      </c>
      <c r="Y181" t="s">
        <v>89</v>
      </c>
      <c r="Z181" t="s">
        <v>90</v>
      </c>
      <c r="AA181" t="s">
        <v>506</v>
      </c>
      <c r="AB181">
        <v>1</v>
      </c>
      <c r="AC181">
        <v>6</v>
      </c>
      <c r="AD181" t="b">
        <v>1</v>
      </c>
      <c r="AE181">
        <v>2022</v>
      </c>
      <c r="AF181" s="3">
        <v>367</v>
      </c>
      <c r="AG181" s="3">
        <v>44725</v>
      </c>
      <c r="AH181" s="3">
        <v>45818</v>
      </c>
      <c r="AJ181" s="4"/>
      <c r="AK181" s="4"/>
      <c r="AL181" s="3">
        <v>367</v>
      </c>
      <c r="AM181" s="3">
        <v>367</v>
      </c>
      <c r="AN181">
        <v>-8.8069635000000002</v>
      </c>
      <c r="AO181">
        <v>115.1587754</v>
      </c>
      <c r="AP181" t="s">
        <v>1024</v>
      </c>
      <c r="AT181">
        <v>99.75</v>
      </c>
      <c r="AW181">
        <v>0</v>
      </c>
      <c r="AX181">
        <v>0</v>
      </c>
      <c r="BA181">
        <v>0</v>
      </c>
      <c r="BB181">
        <v>0</v>
      </c>
      <c r="BE181">
        <v>0</v>
      </c>
      <c r="BF181">
        <v>0</v>
      </c>
      <c r="BJ181">
        <v>0</v>
      </c>
      <c r="BL181">
        <v>0</v>
      </c>
      <c r="BN181">
        <v>0</v>
      </c>
      <c r="BO181" s="6">
        <v>0</v>
      </c>
      <c r="BP181">
        <v>0</v>
      </c>
      <c r="BQ181">
        <v>0</v>
      </c>
      <c r="BR181">
        <v>0</v>
      </c>
    </row>
    <row r="182" spans="1:70" ht="15" customHeight="1" x14ac:dyDescent="0.35">
      <c r="A182" s="1" t="str">
        <f t="shared" si="5"/>
        <v>00KJ</v>
      </c>
      <c r="B182" t="s">
        <v>1025</v>
      </c>
      <c r="C182" t="s">
        <v>1026</v>
      </c>
      <c r="D182" t="s">
        <v>1027</v>
      </c>
      <c r="E182" t="s">
        <v>1028</v>
      </c>
      <c r="F182" t="s">
        <v>964</v>
      </c>
      <c r="G182" t="s">
        <v>502</v>
      </c>
      <c r="H182" t="s">
        <v>502</v>
      </c>
      <c r="I182" t="s">
        <v>137</v>
      </c>
      <c r="J182" t="b">
        <v>0</v>
      </c>
      <c r="K182" t="s">
        <v>78</v>
      </c>
      <c r="L182" t="s">
        <v>79</v>
      </c>
      <c r="N182" t="s">
        <v>81</v>
      </c>
      <c r="O182" t="s">
        <v>82</v>
      </c>
      <c r="P182" t="s">
        <v>83</v>
      </c>
      <c r="Q182" t="s">
        <v>503</v>
      </c>
      <c r="R182">
        <v>24</v>
      </c>
      <c r="S182" t="s">
        <v>121</v>
      </c>
      <c r="T182" t="s">
        <v>85</v>
      </c>
      <c r="U182">
        <v>1111111</v>
      </c>
      <c r="V182" t="s">
        <v>122</v>
      </c>
      <c r="W182" t="s">
        <v>550</v>
      </c>
      <c r="X182" t="s">
        <v>551</v>
      </c>
      <c r="Y182" t="s">
        <v>89</v>
      </c>
      <c r="Z182" t="s">
        <v>90</v>
      </c>
      <c r="AA182" t="s">
        <v>506</v>
      </c>
      <c r="AB182">
        <v>2</v>
      </c>
      <c r="AC182">
        <v>6</v>
      </c>
      <c r="AD182" t="b">
        <v>1</v>
      </c>
      <c r="AE182">
        <v>2022</v>
      </c>
      <c r="AF182" s="3">
        <v>367</v>
      </c>
      <c r="AG182" s="3">
        <v>44726</v>
      </c>
      <c r="AH182" s="3">
        <v>45818</v>
      </c>
      <c r="AJ182" s="4"/>
      <c r="AK182" s="4"/>
      <c r="AL182" s="3">
        <v>367</v>
      </c>
      <c r="AM182" s="3">
        <v>367</v>
      </c>
      <c r="AN182">
        <v>-8.4638580999999995</v>
      </c>
      <c r="AO182">
        <v>115.354748</v>
      </c>
      <c r="AP182" t="s">
        <v>1029</v>
      </c>
      <c r="AT182">
        <v>99.75</v>
      </c>
      <c r="AW182">
        <v>0</v>
      </c>
      <c r="AX182">
        <v>0</v>
      </c>
      <c r="BA182">
        <v>0</v>
      </c>
      <c r="BB182">
        <v>0</v>
      </c>
      <c r="BE182">
        <v>0</v>
      </c>
      <c r="BF182">
        <v>0</v>
      </c>
      <c r="BJ182">
        <v>0</v>
      </c>
      <c r="BL182">
        <v>0</v>
      </c>
      <c r="BN182">
        <v>0</v>
      </c>
      <c r="BO182" s="6">
        <v>0</v>
      </c>
      <c r="BP182">
        <v>0</v>
      </c>
      <c r="BQ182">
        <v>0</v>
      </c>
      <c r="BR182">
        <v>0</v>
      </c>
    </row>
    <row r="183" spans="1:70" ht="15" customHeight="1" x14ac:dyDescent="0.35">
      <c r="A183" s="1" t="str">
        <f t="shared" si="5"/>
        <v>619A</v>
      </c>
      <c r="B183" t="s">
        <v>1030</v>
      </c>
      <c r="C183" t="s">
        <v>1031</v>
      </c>
      <c r="D183" t="s">
        <v>1032</v>
      </c>
      <c r="E183" t="s">
        <v>1033</v>
      </c>
      <c r="F183" t="s">
        <v>516</v>
      </c>
      <c r="G183" t="s">
        <v>502</v>
      </c>
      <c r="H183" t="s">
        <v>502</v>
      </c>
      <c r="I183" t="s">
        <v>148</v>
      </c>
      <c r="J183" t="b">
        <v>0</v>
      </c>
      <c r="K183" t="s">
        <v>78</v>
      </c>
      <c r="L183" t="s">
        <v>79</v>
      </c>
      <c r="N183" t="s">
        <v>81</v>
      </c>
      <c r="O183" t="s">
        <v>82</v>
      </c>
      <c r="P183" t="s">
        <v>83</v>
      </c>
      <c r="Q183" t="s">
        <v>503</v>
      </c>
      <c r="R183">
        <v>24</v>
      </c>
      <c r="S183" t="s">
        <v>121</v>
      </c>
      <c r="T183" t="s">
        <v>121</v>
      </c>
      <c r="U183">
        <v>1111111</v>
      </c>
      <c r="V183" t="s">
        <v>122</v>
      </c>
      <c r="W183" t="s">
        <v>504</v>
      </c>
      <c r="X183" t="s">
        <v>505</v>
      </c>
      <c r="Y183" t="s">
        <v>89</v>
      </c>
      <c r="Z183" t="s">
        <v>90</v>
      </c>
      <c r="AA183" t="s">
        <v>506</v>
      </c>
      <c r="AB183">
        <v>1</v>
      </c>
      <c r="AC183">
        <v>6</v>
      </c>
      <c r="AD183" t="b">
        <v>1</v>
      </c>
      <c r="AE183">
        <v>2022</v>
      </c>
      <c r="AF183" s="3">
        <v>367</v>
      </c>
      <c r="AG183" s="3">
        <v>44726</v>
      </c>
      <c r="AH183" s="3">
        <v>45818</v>
      </c>
      <c r="AJ183" s="4"/>
      <c r="AK183" s="4"/>
      <c r="AL183" s="3">
        <v>367</v>
      </c>
      <c r="AM183" s="3">
        <v>367</v>
      </c>
      <c r="AN183">
        <v>-8.8007120000000008</v>
      </c>
      <c r="AO183">
        <v>115.1459875</v>
      </c>
      <c r="AP183" t="s">
        <v>1034</v>
      </c>
      <c r="AT183">
        <v>99.75</v>
      </c>
      <c r="AW183">
        <v>0</v>
      </c>
      <c r="AX183">
        <v>0</v>
      </c>
      <c r="BA183">
        <v>0</v>
      </c>
      <c r="BB183">
        <v>0</v>
      </c>
      <c r="BE183">
        <v>0</v>
      </c>
      <c r="BF183">
        <v>0</v>
      </c>
      <c r="BJ183">
        <v>0</v>
      </c>
      <c r="BL183">
        <v>0</v>
      </c>
      <c r="BN183">
        <v>0</v>
      </c>
      <c r="BO183" s="6">
        <v>0</v>
      </c>
      <c r="BP183">
        <v>0</v>
      </c>
      <c r="BQ183">
        <v>0</v>
      </c>
      <c r="BR183">
        <v>0</v>
      </c>
    </row>
    <row r="184" spans="1:70" ht="15" customHeight="1" x14ac:dyDescent="0.35">
      <c r="A184" s="1" t="str">
        <f t="shared" si="5"/>
        <v>226K</v>
      </c>
      <c r="B184" t="s">
        <v>1035</v>
      </c>
      <c r="C184" t="s">
        <v>1036</v>
      </c>
      <c r="D184" t="s">
        <v>1037</v>
      </c>
      <c r="E184" t="s">
        <v>1038</v>
      </c>
      <c r="F184" t="s">
        <v>537</v>
      </c>
      <c r="G184" t="s">
        <v>502</v>
      </c>
      <c r="H184" t="s">
        <v>502</v>
      </c>
      <c r="I184" t="s">
        <v>148</v>
      </c>
      <c r="J184" t="b">
        <v>0</v>
      </c>
      <c r="K184" t="s">
        <v>78</v>
      </c>
      <c r="L184" t="s">
        <v>79</v>
      </c>
      <c r="N184" t="s">
        <v>81</v>
      </c>
      <c r="O184" t="s">
        <v>82</v>
      </c>
      <c r="P184" t="s">
        <v>83</v>
      </c>
      <c r="Q184" t="s">
        <v>503</v>
      </c>
      <c r="R184">
        <v>24</v>
      </c>
      <c r="S184" t="s">
        <v>85</v>
      </c>
      <c r="T184" t="s">
        <v>121</v>
      </c>
      <c r="U184">
        <v>1111111</v>
      </c>
      <c r="V184" t="s">
        <v>122</v>
      </c>
      <c r="W184" t="s">
        <v>550</v>
      </c>
      <c r="X184" t="s">
        <v>551</v>
      </c>
      <c r="Y184" t="s">
        <v>89</v>
      </c>
      <c r="Z184" t="s">
        <v>90</v>
      </c>
      <c r="AA184" t="s">
        <v>506</v>
      </c>
      <c r="AB184">
        <v>1</v>
      </c>
      <c r="AC184">
        <v>6</v>
      </c>
      <c r="AD184" t="b">
        <v>1</v>
      </c>
      <c r="AE184">
        <v>2022</v>
      </c>
      <c r="AF184" s="3">
        <v>367</v>
      </c>
      <c r="AG184" s="3">
        <v>44723</v>
      </c>
      <c r="AH184" s="3">
        <v>45818</v>
      </c>
      <c r="AJ184" s="4"/>
      <c r="AK184" s="4"/>
      <c r="AL184" s="3">
        <v>367</v>
      </c>
      <c r="AM184" s="3">
        <v>367</v>
      </c>
      <c r="AN184">
        <v>-8.5848674999999997</v>
      </c>
      <c r="AO184">
        <v>115.3477748</v>
      </c>
      <c r="AP184" t="s">
        <v>1039</v>
      </c>
      <c r="AT184">
        <v>99.75</v>
      </c>
      <c r="AW184">
        <v>0</v>
      </c>
      <c r="AX184">
        <v>0</v>
      </c>
      <c r="BA184">
        <v>0</v>
      </c>
      <c r="BB184">
        <v>0</v>
      </c>
      <c r="BE184">
        <v>0</v>
      </c>
      <c r="BF184">
        <v>0</v>
      </c>
      <c r="BJ184">
        <v>0</v>
      </c>
      <c r="BL184">
        <v>0</v>
      </c>
      <c r="BN184">
        <v>0</v>
      </c>
      <c r="BO184" s="6">
        <v>0</v>
      </c>
      <c r="BP184">
        <v>0</v>
      </c>
      <c r="BQ184">
        <v>0</v>
      </c>
      <c r="BR184">
        <v>0</v>
      </c>
    </row>
    <row r="185" spans="1:70" ht="15" customHeight="1" x14ac:dyDescent="0.35">
      <c r="A185" s="1" t="str">
        <f t="shared" si="5"/>
        <v>00X4</v>
      </c>
      <c r="B185" t="s">
        <v>1040</v>
      </c>
      <c r="C185" t="s">
        <v>1041</v>
      </c>
      <c r="D185" t="s">
        <v>1042</v>
      </c>
      <c r="E185" t="s">
        <v>1043</v>
      </c>
      <c r="F185" t="s">
        <v>537</v>
      </c>
      <c r="G185" t="s">
        <v>502</v>
      </c>
      <c r="H185" t="s">
        <v>502</v>
      </c>
      <c r="I185" t="s">
        <v>148</v>
      </c>
      <c r="J185" t="b">
        <v>0</v>
      </c>
      <c r="K185" t="s">
        <v>78</v>
      </c>
      <c r="L185" t="s">
        <v>79</v>
      </c>
      <c r="N185" t="s">
        <v>81</v>
      </c>
      <c r="O185" t="s">
        <v>82</v>
      </c>
      <c r="P185" t="s">
        <v>83</v>
      </c>
      <c r="Q185" t="s">
        <v>503</v>
      </c>
      <c r="R185">
        <v>24</v>
      </c>
      <c r="S185" t="s">
        <v>85</v>
      </c>
      <c r="T185" t="s">
        <v>121</v>
      </c>
      <c r="U185">
        <v>1111111</v>
      </c>
      <c r="V185" t="s">
        <v>122</v>
      </c>
      <c r="W185" t="s">
        <v>529</v>
      </c>
      <c r="X185" t="s">
        <v>530</v>
      </c>
      <c r="Y185" t="s">
        <v>89</v>
      </c>
      <c r="Z185" t="s">
        <v>90</v>
      </c>
      <c r="AA185" t="s">
        <v>506</v>
      </c>
      <c r="AB185">
        <v>2</v>
      </c>
      <c r="AC185">
        <v>6</v>
      </c>
      <c r="AD185" t="b">
        <v>1</v>
      </c>
      <c r="AE185">
        <v>2022</v>
      </c>
      <c r="AF185" s="3">
        <v>367</v>
      </c>
      <c r="AG185" s="3">
        <v>44723</v>
      </c>
      <c r="AH185" s="3">
        <v>45818</v>
      </c>
      <c r="AJ185" s="4">
        <f>VLOOKUP(A185,'[1]1'!B:Q,16,0)</f>
        <v>1440</v>
      </c>
      <c r="AK185" s="7">
        <f t="shared" ref="AK185:AK198" si="6">AJ185/250</f>
        <v>5.76</v>
      </c>
      <c r="AL185" s="3">
        <v>367</v>
      </c>
      <c r="AM185" s="3">
        <v>367</v>
      </c>
      <c r="AN185">
        <v>-8.4359070000000003</v>
      </c>
      <c r="AO185">
        <v>115.2791673</v>
      </c>
      <c r="AP185" t="s">
        <v>1044</v>
      </c>
      <c r="AT185">
        <v>99.75</v>
      </c>
      <c r="AW185">
        <v>0</v>
      </c>
      <c r="AX185">
        <v>0</v>
      </c>
      <c r="BA185">
        <v>0</v>
      </c>
      <c r="BB185">
        <v>0</v>
      </c>
      <c r="BE185">
        <v>0</v>
      </c>
      <c r="BF185">
        <v>0</v>
      </c>
      <c r="BJ185">
        <v>0</v>
      </c>
      <c r="BL185">
        <v>0</v>
      </c>
      <c r="BN185">
        <v>0</v>
      </c>
      <c r="BO185" s="6">
        <v>0</v>
      </c>
      <c r="BP185">
        <v>0</v>
      </c>
      <c r="BQ185">
        <v>0</v>
      </c>
      <c r="BR185">
        <v>0</v>
      </c>
    </row>
    <row r="186" spans="1:70" ht="15" customHeight="1" x14ac:dyDescent="0.35">
      <c r="A186" s="1" t="str">
        <f t="shared" si="5"/>
        <v>01H2</v>
      </c>
      <c r="B186" t="s">
        <v>1045</v>
      </c>
      <c r="C186" t="s">
        <v>1046</v>
      </c>
      <c r="D186" t="s">
        <v>1047</v>
      </c>
      <c r="E186" t="s">
        <v>1048</v>
      </c>
      <c r="F186" t="s">
        <v>537</v>
      </c>
      <c r="G186" t="s">
        <v>502</v>
      </c>
      <c r="H186" t="s">
        <v>502</v>
      </c>
      <c r="I186" t="s">
        <v>148</v>
      </c>
      <c r="J186" t="b">
        <v>0</v>
      </c>
      <c r="K186" t="s">
        <v>78</v>
      </c>
      <c r="L186" t="s">
        <v>79</v>
      </c>
      <c r="N186" t="s">
        <v>81</v>
      </c>
      <c r="O186" t="s">
        <v>82</v>
      </c>
      <c r="P186" t="s">
        <v>83</v>
      </c>
      <c r="Q186" t="s">
        <v>503</v>
      </c>
      <c r="R186">
        <v>24</v>
      </c>
      <c r="S186" t="s">
        <v>85</v>
      </c>
      <c r="T186" t="s">
        <v>121</v>
      </c>
      <c r="U186">
        <v>1111111</v>
      </c>
      <c r="V186" t="s">
        <v>122</v>
      </c>
      <c r="W186" t="s">
        <v>550</v>
      </c>
      <c r="X186" t="s">
        <v>551</v>
      </c>
      <c r="Y186" t="s">
        <v>89</v>
      </c>
      <c r="Z186" t="s">
        <v>90</v>
      </c>
      <c r="AA186" t="s">
        <v>506</v>
      </c>
      <c r="AB186">
        <v>2</v>
      </c>
      <c r="AC186">
        <v>6</v>
      </c>
      <c r="AD186" t="b">
        <v>1</v>
      </c>
      <c r="AE186">
        <v>2022</v>
      </c>
      <c r="AF186" s="3">
        <v>367</v>
      </c>
      <c r="AG186" s="3">
        <v>44723</v>
      </c>
      <c r="AH186" s="3">
        <v>45818</v>
      </c>
      <c r="AJ186" s="4">
        <f>VLOOKUP(A186,'[1]1'!B:Q,16,0)</f>
        <v>1440</v>
      </c>
      <c r="AK186" s="7">
        <f t="shared" si="6"/>
        <v>5.76</v>
      </c>
      <c r="AL186" s="3">
        <v>367</v>
      </c>
      <c r="AM186" s="3">
        <v>367</v>
      </c>
      <c r="AN186">
        <v>-8.5662576000000001</v>
      </c>
      <c r="AO186">
        <v>115.29670830000001</v>
      </c>
      <c r="AP186" t="s">
        <v>1048</v>
      </c>
      <c r="AT186">
        <v>99.75</v>
      </c>
      <c r="AW186">
        <v>0</v>
      </c>
      <c r="AX186">
        <v>0</v>
      </c>
      <c r="BA186">
        <v>0</v>
      </c>
      <c r="BB186">
        <v>0</v>
      </c>
      <c r="BE186">
        <v>0</v>
      </c>
      <c r="BF186">
        <v>0</v>
      </c>
      <c r="BJ186">
        <v>0</v>
      </c>
      <c r="BL186">
        <v>0</v>
      </c>
      <c r="BN186">
        <v>0</v>
      </c>
      <c r="BO186" s="6">
        <v>0</v>
      </c>
      <c r="BP186">
        <v>0</v>
      </c>
      <c r="BQ186">
        <v>0</v>
      </c>
      <c r="BR186">
        <v>0</v>
      </c>
    </row>
    <row r="187" spans="1:70" ht="15" customHeight="1" x14ac:dyDescent="0.35">
      <c r="A187" s="1" t="str">
        <f t="shared" si="5"/>
        <v>263L</v>
      </c>
      <c r="B187" t="s">
        <v>1049</v>
      </c>
      <c r="C187" t="s">
        <v>1050</v>
      </c>
      <c r="D187" t="s">
        <v>1051</v>
      </c>
      <c r="E187" t="s">
        <v>1052</v>
      </c>
      <c r="F187" t="s">
        <v>501</v>
      </c>
      <c r="G187" t="s">
        <v>502</v>
      </c>
      <c r="H187" t="s">
        <v>502</v>
      </c>
      <c r="I187" t="s">
        <v>137</v>
      </c>
      <c r="J187" t="b">
        <v>0</v>
      </c>
      <c r="K187" t="s">
        <v>78</v>
      </c>
      <c r="L187" t="s">
        <v>79</v>
      </c>
      <c r="N187" t="s">
        <v>81</v>
      </c>
      <c r="O187" t="s">
        <v>82</v>
      </c>
      <c r="P187" t="s">
        <v>83</v>
      </c>
      <c r="Q187" t="s">
        <v>549</v>
      </c>
      <c r="R187">
        <v>15</v>
      </c>
      <c r="S187" t="s">
        <v>85</v>
      </c>
      <c r="T187" t="s">
        <v>121</v>
      </c>
      <c r="U187">
        <v>1111111</v>
      </c>
      <c r="V187" t="s">
        <v>122</v>
      </c>
      <c r="W187" t="s">
        <v>694</v>
      </c>
      <c r="X187" t="s">
        <v>695</v>
      </c>
      <c r="Y187" t="s">
        <v>89</v>
      </c>
      <c r="Z187" t="s">
        <v>90</v>
      </c>
      <c r="AA187" t="s">
        <v>506</v>
      </c>
      <c r="AB187">
        <v>1</v>
      </c>
      <c r="AC187">
        <v>6</v>
      </c>
      <c r="AD187" t="b">
        <v>1</v>
      </c>
      <c r="AE187">
        <v>2022</v>
      </c>
      <c r="AF187" s="3">
        <v>367</v>
      </c>
      <c r="AG187" s="3">
        <v>44727</v>
      </c>
      <c r="AH187" s="3">
        <v>45818</v>
      </c>
      <c r="AJ187" s="4">
        <f>VLOOKUP(A187,'[1]1'!B:Q,16,0)</f>
        <v>1440</v>
      </c>
      <c r="AK187" s="7">
        <f t="shared" si="6"/>
        <v>5.76</v>
      </c>
      <c r="AL187" s="3">
        <v>367</v>
      </c>
      <c r="AM187" s="3">
        <v>367</v>
      </c>
      <c r="AN187">
        <v>-8.6777846000000007</v>
      </c>
      <c r="AO187">
        <v>115.21847750000001</v>
      </c>
      <c r="AP187" t="s">
        <v>1052</v>
      </c>
      <c r="AT187">
        <v>99.75</v>
      </c>
      <c r="AW187">
        <v>0</v>
      </c>
      <c r="AX187">
        <v>0</v>
      </c>
      <c r="BA187">
        <v>0</v>
      </c>
      <c r="BB187">
        <v>0</v>
      </c>
      <c r="BE187">
        <v>0</v>
      </c>
      <c r="BF187">
        <v>0</v>
      </c>
      <c r="BJ187">
        <v>0</v>
      </c>
      <c r="BL187">
        <v>0</v>
      </c>
      <c r="BN187">
        <v>0</v>
      </c>
      <c r="BO187" s="6">
        <v>0</v>
      </c>
      <c r="BP187">
        <v>0</v>
      </c>
      <c r="BQ187">
        <v>0</v>
      </c>
      <c r="BR187">
        <v>0</v>
      </c>
    </row>
    <row r="188" spans="1:70" ht="15" customHeight="1" x14ac:dyDescent="0.35">
      <c r="A188" s="1" t="str">
        <f t="shared" si="5"/>
        <v>602Y</v>
      </c>
      <c r="B188" t="s">
        <v>1053</v>
      </c>
      <c r="C188" t="s">
        <v>1054</v>
      </c>
      <c r="D188" t="s">
        <v>1055</v>
      </c>
      <c r="E188" t="s">
        <v>1056</v>
      </c>
      <c r="F188" t="s">
        <v>501</v>
      </c>
      <c r="G188" t="s">
        <v>502</v>
      </c>
      <c r="H188" t="s">
        <v>502</v>
      </c>
      <c r="I188" t="s">
        <v>148</v>
      </c>
      <c r="J188" t="b">
        <v>1</v>
      </c>
      <c r="K188" t="s">
        <v>78</v>
      </c>
      <c r="L188" t="s">
        <v>79</v>
      </c>
      <c r="N188" t="s">
        <v>81</v>
      </c>
      <c r="O188" t="s">
        <v>82</v>
      </c>
      <c r="P188" t="s">
        <v>83</v>
      </c>
      <c r="Q188" t="s">
        <v>503</v>
      </c>
      <c r="R188">
        <v>24</v>
      </c>
      <c r="S188" t="s">
        <v>85</v>
      </c>
      <c r="T188" t="s">
        <v>121</v>
      </c>
      <c r="U188">
        <v>1111111</v>
      </c>
      <c r="V188" t="s">
        <v>122</v>
      </c>
      <c r="W188" t="s">
        <v>694</v>
      </c>
      <c r="X188" t="s">
        <v>695</v>
      </c>
      <c r="Y188" t="s">
        <v>89</v>
      </c>
      <c r="Z188" t="s">
        <v>90</v>
      </c>
      <c r="AA188" t="s">
        <v>506</v>
      </c>
      <c r="AB188">
        <v>1</v>
      </c>
      <c r="AC188">
        <v>6</v>
      </c>
      <c r="AD188" t="b">
        <v>1</v>
      </c>
      <c r="AE188">
        <v>2022</v>
      </c>
      <c r="AF188" s="3">
        <v>367</v>
      </c>
      <c r="AG188" s="3">
        <v>44723</v>
      </c>
      <c r="AH188" s="3">
        <v>45818</v>
      </c>
      <c r="AJ188" s="4">
        <f>VLOOKUP(A188,'[1]1'!B:Q,16,0)</f>
        <v>1440</v>
      </c>
      <c r="AK188" s="7">
        <f t="shared" si="6"/>
        <v>5.76</v>
      </c>
      <c r="AL188" s="3">
        <v>367</v>
      </c>
      <c r="AM188" s="3">
        <v>367</v>
      </c>
      <c r="AN188">
        <v>-8.6783596999999997</v>
      </c>
      <c r="AO188">
        <v>115.214753</v>
      </c>
      <c r="AP188" t="s">
        <v>1057</v>
      </c>
      <c r="AT188">
        <v>99.75</v>
      </c>
      <c r="AW188">
        <v>0</v>
      </c>
      <c r="AX188">
        <v>0</v>
      </c>
      <c r="BA188">
        <v>0</v>
      </c>
      <c r="BB188">
        <v>0</v>
      </c>
      <c r="BE188">
        <v>0</v>
      </c>
      <c r="BF188">
        <v>0</v>
      </c>
      <c r="BJ188">
        <v>0</v>
      </c>
      <c r="BL188">
        <v>0</v>
      </c>
      <c r="BN188">
        <v>0</v>
      </c>
      <c r="BO188" s="6">
        <v>0</v>
      </c>
      <c r="BP188">
        <v>0</v>
      </c>
      <c r="BQ188">
        <v>0</v>
      </c>
      <c r="BR188">
        <v>0</v>
      </c>
    </row>
    <row r="189" spans="1:70" ht="15" customHeight="1" x14ac:dyDescent="0.35">
      <c r="A189" s="1" t="str">
        <f t="shared" si="5"/>
        <v>6520</v>
      </c>
      <c r="B189" t="s">
        <v>1058</v>
      </c>
      <c r="C189" t="s">
        <v>1059</v>
      </c>
      <c r="D189" t="s">
        <v>1060</v>
      </c>
      <c r="E189" t="s">
        <v>1061</v>
      </c>
      <c r="F189" t="s">
        <v>516</v>
      </c>
      <c r="G189" t="s">
        <v>502</v>
      </c>
      <c r="H189" t="s">
        <v>502</v>
      </c>
      <c r="I189" t="s">
        <v>148</v>
      </c>
      <c r="J189" t="b">
        <v>0</v>
      </c>
      <c r="K189" t="s">
        <v>78</v>
      </c>
      <c r="L189" t="s">
        <v>79</v>
      </c>
      <c r="N189" t="s">
        <v>81</v>
      </c>
      <c r="O189" t="s">
        <v>82</v>
      </c>
      <c r="P189" t="s">
        <v>83</v>
      </c>
      <c r="Q189" t="s">
        <v>503</v>
      </c>
      <c r="R189">
        <v>24</v>
      </c>
      <c r="S189" t="s">
        <v>85</v>
      </c>
      <c r="T189" t="s">
        <v>121</v>
      </c>
      <c r="U189">
        <v>1111111</v>
      </c>
      <c r="V189" t="s">
        <v>122</v>
      </c>
      <c r="W189" t="s">
        <v>504</v>
      </c>
      <c r="X189" t="s">
        <v>505</v>
      </c>
      <c r="Y189" t="s">
        <v>89</v>
      </c>
      <c r="Z189" t="s">
        <v>90</v>
      </c>
      <c r="AA189" t="s">
        <v>506</v>
      </c>
      <c r="AB189">
        <v>1</v>
      </c>
      <c r="AC189">
        <v>6</v>
      </c>
      <c r="AD189" t="b">
        <v>1</v>
      </c>
      <c r="AE189">
        <v>2022</v>
      </c>
      <c r="AF189" s="3">
        <v>367</v>
      </c>
      <c r="AG189" s="3">
        <v>44723</v>
      </c>
      <c r="AH189" s="3">
        <v>45818</v>
      </c>
      <c r="AJ189" s="4">
        <f>VLOOKUP(A189,'[1]1'!B:Q,16,0)</f>
        <v>1440</v>
      </c>
      <c r="AK189" s="7">
        <f t="shared" si="6"/>
        <v>5.76</v>
      </c>
      <c r="AL189" s="3">
        <v>367</v>
      </c>
      <c r="AM189" s="3">
        <v>367</v>
      </c>
      <c r="AN189">
        <v>-8.8122849999999993</v>
      </c>
      <c r="AO189">
        <v>115.22318850000001</v>
      </c>
      <c r="AP189" t="s">
        <v>1062</v>
      </c>
      <c r="AT189">
        <v>99.75</v>
      </c>
      <c r="AW189">
        <v>0</v>
      </c>
      <c r="AX189">
        <v>0</v>
      </c>
      <c r="BA189">
        <v>0</v>
      </c>
      <c r="BB189">
        <v>0</v>
      </c>
      <c r="BE189">
        <v>0</v>
      </c>
      <c r="BF189">
        <v>0</v>
      </c>
      <c r="BJ189">
        <v>0</v>
      </c>
      <c r="BL189">
        <v>0</v>
      </c>
      <c r="BN189">
        <v>0</v>
      </c>
      <c r="BO189" s="6">
        <v>0</v>
      </c>
      <c r="BP189">
        <v>0</v>
      </c>
      <c r="BQ189">
        <v>0</v>
      </c>
      <c r="BR189">
        <v>0</v>
      </c>
    </row>
    <row r="190" spans="1:70" ht="15" customHeight="1" x14ac:dyDescent="0.35">
      <c r="A190" s="1" t="str">
        <f t="shared" si="5"/>
        <v>01P2</v>
      </c>
      <c r="B190" t="s">
        <v>1063</v>
      </c>
      <c r="C190" t="s">
        <v>1064</v>
      </c>
      <c r="D190" t="s">
        <v>1065</v>
      </c>
      <c r="E190" t="s">
        <v>1066</v>
      </c>
      <c r="F190" t="s">
        <v>501</v>
      </c>
      <c r="G190" t="s">
        <v>502</v>
      </c>
      <c r="H190" t="s">
        <v>502</v>
      </c>
      <c r="I190" t="s">
        <v>137</v>
      </c>
      <c r="J190" t="b">
        <v>0</v>
      </c>
      <c r="K190" t="s">
        <v>78</v>
      </c>
      <c r="L190" t="s">
        <v>79</v>
      </c>
      <c r="N190" t="s">
        <v>81</v>
      </c>
      <c r="O190" t="s">
        <v>82</v>
      </c>
      <c r="P190" t="s">
        <v>83</v>
      </c>
      <c r="Q190" t="s">
        <v>503</v>
      </c>
      <c r="R190">
        <v>15</v>
      </c>
      <c r="S190" t="s">
        <v>121</v>
      </c>
      <c r="T190" t="s">
        <v>121</v>
      </c>
      <c r="U190">
        <v>1111111</v>
      </c>
      <c r="V190" t="s">
        <v>122</v>
      </c>
      <c r="W190" t="s">
        <v>694</v>
      </c>
      <c r="X190" t="s">
        <v>695</v>
      </c>
      <c r="Y190" t="s">
        <v>89</v>
      </c>
      <c r="Z190" t="s">
        <v>90</v>
      </c>
      <c r="AA190" t="s">
        <v>506</v>
      </c>
      <c r="AB190">
        <v>1</v>
      </c>
      <c r="AC190">
        <v>6</v>
      </c>
      <c r="AD190" t="b">
        <v>1</v>
      </c>
      <c r="AE190">
        <v>2022</v>
      </c>
      <c r="AF190" s="3">
        <v>367</v>
      </c>
      <c r="AG190" s="3">
        <v>44723</v>
      </c>
      <c r="AH190" s="3">
        <v>45818</v>
      </c>
      <c r="AJ190" s="4">
        <f>VLOOKUP(A190,'[1]1'!B:Q,16,0)</f>
        <v>900</v>
      </c>
      <c r="AK190" s="7">
        <f t="shared" si="6"/>
        <v>3.6</v>
      </c>
      <c r="AL190" s="3">
        <v>367</v>
      </c>
      <c r="AM190" s="3">
        <v>367</v>
      </c>
      <c r="AN190">
        <v>-8.6947960999999996</v>
      </c>
      <c r="AO190">
        <v>115.21503749999999</v>
      </c>
      <c r="AP190" t="s">
        <v>1067</v>
      </c>
      <c r="AT190">
        <v>99.75</v>
      </c>
      <c r="AW190">
        <v>0</v>
      </c>
      <c r="AX190">
        <v>0</v>
      </c>
      <c r="BA190">
        <v>0</v>
      </c>
      <c r="BB190">
        <v>0</v>
      </c>
      <c r="BE190">
        <v>0</v>
      </c>
      <c r="BF190">
        <v>0</v>
      </c>
      <c r="BJ190">
        <v>0</v>
      </c>
      <c r="BL190">
        <v>0</v>
      </c>
      <c r="BN190">
        <v>0</v>
      </c>
      <c r="BO190" s="6">
        <v>0</v>
      </c>
      <c r="BP190">
        <v>0</v>
      </c>
      <c r="BQ190">
        <v>0</v>
      </c>
      <c r="BR190">
        <v>0</v>
      </c>
    </row>
    <row r="191" spans="1:70" ht="15" customHeight="1" x14ac:dyDescent="0.35">
      <c r="A191" s="1" t="str">
        <f t="shared" si="5"/>
        <v>00FT</v>
      </c>
      <c r="B191" t="s">
        <v>1068</v>
      </c>
      <c r="C191" t="s">
        <v>1069</v>
      </c>
      <c r="D191" t="s">
        <v>1070</v>
      </c>
      <c r="E191" t="s">
        <v>1071</v>
      </c>
      <c r="F191" t="s">
        <v>537</v>
      </c>
      <c r="G191" t="s">
        <v>502</v>
      </c>
      <c r="H191" t="s">
        <v>502</v>
      </c>
      <c r="I191" t="s">
        <v>137</v>
      </c>
      <c r="J191" t="b">
        <v>0</v>
      </c>
      <c r="K191" t="s">
        <v>78</v>
      </c>
      <c r="L191" t="s">
        <v>79</v>
      </c>
      <c r="N191" t="s">
        <v>81</v>
      </c>
      <c r="O191" t="s">
        <v>82</v>
      </c>
      <c r="P191" t="s">
        <v>83</v>
      </c>
      <c r="Q191" t="s">
        <v>503</v>
      </c>
      <c r="R191">
        <v>24</v>
      </c>
      <c r="S191" t="s">
        <v>121</v>
      </c>
      <c r="T191" t="s">
        <v>121</v>
      </c>
      <c r="U191">
        <v>1111111</v>
      </c>
      <c r="V191" t="s">
        <v>122</v>
      </c>
      <c r="W191" t="s">
        <v>550</v>
      </c>
      <c r="X191" t="s">
        <v>551</v>
      </c>
      <c r="Y191" t="s">
        <v>89</v>
      </c>
      <c r="Z191" t="s">
        <v>90</v>
      </c>
      <c r="AA191" t="s">
        <v>506</v>
      </c>
      <c r="AB191">
        <v>1</v>
      </c>
      <c r="AC191">
        <v>6</v>
      </c>
      <c r="AD191" t="b">
        <v>1</v>
      </c>
      <c r="AE191">
        <v>2022</v>
      </c>
      <c r="AF191" s="3">
        <v>367</v>
      </c>
      <c r="AG191" s="3">
        <v>44724</v>
      </c>
      <c r="AH191" s="3">
        <v>45818</v>
      </c>
      <c r="AJ191" s="4">
        <f>VLOOKUP(A191,'[1]1'!B:Q,16,0)</f>
        <v>900</v>
      </c>
      <c r="AK191" s="7">
        <f t="shared" si="6"/>
        <v>3.6</v>
      </c>
      <c r="AL191" s="3">
        <v>367</v>
      </c>
      <c r="AM191" s="3">
        <v>367</v>
      </c>
      <c r="AN191">
        <v>-8.5481221999999999</v>
      </c>
      <c r="AO191">
        <v>115.26189669999999</v>
      </c>
      <c r="AP191" t="s">
        <v>1071</v>
      </c>
      <c r="AT191">
        <v>99.75</v>
      </c>
      <c r="AW191">
        <v>0</v>
      </c>
      <c r="AX191">
        <v>0</v>
      </c>
      <c r="BA191">
        <v>0</v>
      </c>
      <c r="BB191">
        <v>0</v>
      </c>
      <c r="BE191">
        <v>0</v>
      </c>
      <c r="BF191">
        <v>0</v>
      </c>
      <c r="BJ191">
        <v>0</v>
      </c>
      <c r="BL191">
        <v>0</v>
      </c>
      <c r="BN191">
        <v>0</v>
      </c>
      <c r="BO191" s="6">
        <v>0</v>
      </c>
      <c r="BP191">
        <v>0</v>
      </c>
      <c r="BQ191">
        <v>0</v>
      </c>
      <c r="BR191">
        <v>0</v>
      </c>
    </row>
    <row r="192" spans="1:70" ht="15" customHeight="1" x14ac:dyDescent="0.35">
      <c r="A192" s="1" t="str">
        <f t="shared" si="5"/>
        <v>00U3</v>
      </c>
      <c r="B192" t="s">
        <v>1072</v>
      </c>
      <c r="C192" t="s">
        <v>1073</v>
      </c>
      <c r="D192" t="s">
        <v>1074</v>
      </c>
      <c r="E192" t="s">
        <v>1075</v>
      </c>
      <c r="F192" t="s">
        <v>501</v>
      </c>
      <c r="G192" t="s">
        <v>502</v>
      </c>
      <c r="H192" t="s">
        <v>502</v>
      </c>
      <c r="I192" t="s">
        <v>137</v>
      </c>
      <c r="J192" t="b">
        <v>0</v>
      </c>
      <c r="K192" t="s">
        <v>78</v>
      </c>
      <c r="L192" t="s">
        <v>79</v>
      </c>
      <c r="N192" t="s">
        <v>81</v>
      </c>
      <c r="O192" t="s">
        <v>82</v>
      </c>
      <c r="P192" t="s">
        <v>83</v>
      </c>
      <c r="Q192" t="s">
        <v>549</v>
      </c>
      <c r="R192">
        <v>24</v>
      </c>
      <c r="S192" t="s">
        <v>85</v>
      </c>
      <c r="T192" t="s">
        <v>121</v>
      </c>
      <c r="U192">
        <v>1111111</v>
      </c>
      <c r="V192" t="s">
        <v>122</v>
      </c>
      <c r="W192" t="s">
        <v>694</v>
      </c>
      <c r="X192" t="s">
        <v>695</v>
      </c>
      <c r="Y192" t="s">
        <v>89</v>
      </c>
      <c r="Z192" t="s">
        <v>90</v>
      </c>
      <c r="AA192" t="s">
        <v>506</v>
      </c>
      <c r="AB192">
        <v>1</v>
      </c>
      <c r="AC192">
        <v>6</v>
      </c>
      <c r="AD192" t="b">
        <v>1</v>
      </c>
      <c r="AE192">
        <v>2022</v>
      </c>
      <c r="AF192" s="3">
        <v>367</v>
      </c>
      <c r="AG192" s="3">
        <v>44724</v>
      </c>
      <c r="AH192" s="3">
        <v>45818</v>
      </c>
      <c r="AJ192" s="4">
        <f>VLOOKUP(A192,'[1]1'!B:Q,16,0)</f>
        <v>1440</v>
      </c>
      <c r="AK192" s="7">
        <f t="shared" si="6"/>
        <v>5.76</v>
      </c>
      <c r="AL192" s="3">
        <v>367</v>
      </c>
      <c r="AM192" s="3">
        <v>367</v>
      </c>
      <c r="AN192">
        <v>-8.6714122000000007</v>
      </c>
      <c r="AO192">
        <v>115.207943</v>
      </c>
      <c r="AP192" t="s">
        <v>1076</v>
      </c>
      <c r="AT192">
        <v>99.75</v>
      </c>
      <c r="AW192">
        <v>0</v>
      </c>
      <c r="AX192">
        <v>0</v>
      </c>
      <c r="BA192">
        <v>0</v>
      </c>
      <c r="BB192">
        <v>0</v>
      </c>
      <c r="BE192">
        <v>0</v>
      </c>
      <c r="BF192">
        <v>0</v>
      </c>
      <c r="BJ192">
        <v>0</v>
      </c>
      <c r="BL192">
        <v>0</v>
      </c>
      <c r="BN192">
        <v>0</v>
      </c>
      <c r="BO192" s="6">
        <v>0</v>
      </c>
      <c r="BP192">
        <v>0</v>
      </c>
      <c r="BQ192">
        <v>0</v>
      </c>
      <c r="BR192">
        <v>0</v>
      </c>
    </row>
    <row r="193" spans="1:70" ht="15" customHeight="1" x14ac:dyDescent="0.35">
      <c r="A193" s="1" t="str">
        <f t="shared" si="5"/>
        <v>2900</v>
      </c>
      <c r="B193" t="s">
        <v>1077</v>
      </c>
      <c r="C193" t="s">
        <v>1078</v>
      </c>
      <c r="D193" t="s">
        <v>1079</v>
      </c>
      <c r="E193" t="s">
        <v>1080</v>
      </c>
      <c r="F193" t="s">
        <v>537</v>
      </c>
      <c r="G193" t="s">
        <v>502</v>
      </c>
      <c r="H193" t="s">
        <v>502</v>
      </c>
      <c r="I193" t="s">
        <v>367</v>
      </c>
      <c r="J193" t="b">
        <v>0</v>
      </c>
      <c r="K193" t="s">
        <v>78</v>
      </c>
      <c r="L193" t="s">
        <v>79</v>
      </c>
      <c r="N193" t="s">
        <v>81</v>
      </c>
      <c r="O193" t="s">
        <v>82</v>
      </c>
      <c r="P193" t="s">
        <v>83</v>
      </c>
      <c r="Q193" t="s">
        <v>503</v>
      </c>
      <c r="R193">
        <v>24</v>
      </c>
      <c r="S193" t="s">
        <v>85</v>
      </c>
      <c r="T193" t="s">
        <v>121</v>
      </c>
      <c r="U193">
        <v>1111111</v>
      </c>
      <c r="V193" t="s">
        <v>122</v>
      </c>
      <c r="W193" t="s">
        <v>529</v>
      </c>
      <c r="X193" t="s">
        <v>530</v>
      </c>
      <c r="Y193" t="s">
        <v>89</v>
      </c>
      <c r="Z193" t="s">
        <v>90</v>
      </c>
      <c r="AA193" t="s">
        <v>506</v>
      </c>
      <c r="AB193">
        <v>1</v>
      </c>
      <c r="AC193">
        <v>6</v>
      </c>
      <c r="AD193" t="b">
        <v>1</v>
      </c>
      <c r="AE193">
        <v>2022</v>
      </c>
      <c r="AF193" s="3">
        <v>367</v>
      </c>
      <c r="AG193" s="3">
        <v>44724</v>
      </c>
      <c r="AH193" s="3">
        <v>45818</v>
      </c>
      <c r="AJ193" s="4">
        <f>VLOOKUP(A193,'[1]1'!B:Q,16,0)</f>
        <v>1440</v>
      </c>
      <c r="AK193" s="7">
        <f t="shared" si="6"/>
        <v>5.76</v>
      </c>
      <c r="AL193" s="3">
        <v>367</v>
      </c>
      <c r="AM193" s="3">
        <v>367</v>
      </c>
      <c r="AN193">
        <v>-8.5175903999999996</v>
      </c>
      <c r="AO193">
        <v>115.2635932</v>
      </c>
      <c r="AP193" t="s">
        <v>1081</v>
      </c>
      <c r="AT193">
        <v>99.75</v>
      </c>
      <c r="AW193">
        <v>0</v>
      </c>
      <c r="AX193">
        <v>0</v>
      </c>
      <c r="BA193">
        <v>0</v>
      </c>
      <c r="BB193">
        <v>0</v>
      </c>
      <c r="BE193">
        <v>0</v>
      </c>
      <c r="BF193">
        <v>0</v>
      </c>
      <c r="BJ193">
        <v>0</v>
      </c>
      <c r="BL193">
        <v>0</v>
      </c>
      <c r="BN193">
        <v>0</v>
      </c>
      <c r="BO193" s="6">
        <v>0</v>
      </c>
      <c r="BP193">
        <v>0</v>
      </c>
      <c r="BQ193">
        <v>0</v>
      </c>
      <c r="BR193">
        <v>0</v>
      </c>
    </row>
    <row r="194" spans="1:70" ht="15" customHeight="1" x14ac:dyDescent="0.35">
      <c r="A194" s="1" t="str">
        <f t="shared" si="5"/>
        <v>4078</v>
      </c>
      <c r="B194" t="s">
        <v>1082</v>
      </c>
      <c r="C194" t="s">
        <v>1083</v>
      </c>
      <c r="D194" t="s">
        <v>1084</v>
      </c>
      <c r="E194" t="s">
        <v>1085</v>
      </c>
      <c r="F194" t="s">
        <v>537</v>
      </c>
      <c r="G194" t="s">
        <v>502</v>
      </c>
      <c r="H194" t="s">
        <v>502</v>
      </c>
      <c r="I194" t="s">
        <v>148</v>
      </c>
      <c r="J194" t="b">
        <v>0</v>
      </c>
      <c r="K194" t="s">
        <v>78</v>
      </c>
      <c r="L194" t="s">
        <v>79</v>
      </c>
      <c r="N194" t="s">
        <v>81</v>
      </c>
      <c r="O194" t="s">
        <v>82</v>
      </c>
      <c r="P194" t="s">
        <v>83</v>
      </c>
      <c r="Q194" t="s">
        <v>503</v>
      </c>
      <c r="R194">
        <v>24</v>
      </c>
      <c r="S194" t="s">
        <v>85</v>
      </c>
      <c r="T194" t="s">
        <v>121</v>
      </c>
      <c r="U194">
        <v>1111111</v>
      </c>
      <c r="V194" t="s">
        <v>122</v>
      </c>
      <c r="W194" t="s">
        <v>529</v>
      </c>
      <c r="X194" t="s">
        <v>530</v>
      </c>
      <c r="Y194" t="s">
        <v>89</v>
      </c>
      <c r="Z194" t="s">
        <v>90</v>
      </c>
      <c r="AA194" t="s">
        <v>506</v>
      </c>
      <c r="AB194">
        <v>1</v>
      </c>
      <c r="AC194">
        <v>6</v>
      </c>
      <c r="AD194" t="b">
        <v>1</v>
      </c>
      <c r="AE194">
        <v>2022</v>
      </c>
      <c r="AF194" s="3">
        <v>367</v>
      </c>
      <c r="AG194" s="3">
        <v>44724</v>
      </c>
      <c r="AH194" s="3">
        <v>45818</v>
      </c>
      <c r="AJ194" s="4">
        <f>VLOOKUP(A194,'[1]1'!B:Q,16,0)</f>
        <v>1440</v>
      </c>
      <c r="AK194" s="7">
        <f t="shared" si="6"/>
        <v>5.76</v>
      </c>
      <c r="AL194" s="3">
        <v>367</v>
      </c>
      <c r="AM194" s="3">
        <v>367</v>
      </c>
      <c r="AN194">
        <v>-8.5079323000000002</v>
      </c>
      <c r="AO194">
        <v>115.2713863</v>
      </c>
      <c r="AP194" t="s">
        <v>1086</v>
      </c>
      <c r="AT194">
        <v>99.75</v>
      </c>
      <c r="AW194">
        <v>0</v>
      </c>
      <c r="AX194">
        <v>0</v>
      </c>
      <c r="BA194">
        <v>0</v>
      </c>
      <c r="BB194">
        <v>0</v>
      </c>
      <c r="BE194">
        <v>0</v>
      </c>
      <c r="BF194">
        <v>0</v>
      </c>
      <c r="BJ194">
        <v>0</v>
      </c>
      <c r="BL194">
        <v>0</v>
      </c>
      <c r="BN194">
        <v>0</v>
      </c>
      <c r="BO194" s="6">
        <v>0</v>
      </c>
      <c r="BP194">
        <v>0</v>
      </c>
      <c r="BQ194">
        <v>0</v>
      </c>
      <c r="BR194">
        <v>0</v>
      </c>
    </row>
    <row r="195" spans="1:70" ht="15" customHeight="1" x14ac:dyDescent="0.35">
      <c r="A195" s="1" t="str">
        <f t="shared" ref="A195:A258" si="7">LEFT(B195,LEN(B195)-3)</f>
        <v>694Q</v>
      </c>
      <c r="B195" t="s">
        <v>1087</v>
      </c>
      <c r="C195" t="s">
        <v>1088</v>
      </c>
      <c r="D195" t="s">
        <v>1089</v>
      </c>
      <c r="E195" t="s">
        <v>1090</v>
      </c>
      <c r="F195" t="s">
        <v>724</v>
      </c>
      <c r="G195" t="s">
        <v>502</v>
      </c>
      <c r="H195" t="s">
        <v>502</v>
      </c>
      <c r="I195" t="s">
        <v>137</v>
      </c>
      <c r="J195" t="b">
        <v>0</v>
      </c>
      <c r="K195" t="s">
        <v>78</v>
      </c>
      <c r="L195" t="s">
        <v>79</v>
      </c>
      <c r="N195" t="s">
        <v>81</v>
      </c>
      <c r="O195" t="s">
        <v>82</v>
      </c>
      <c r="P195" t="s">
        <v>83</v>
      </c>
      <c r="Q195" t="s">
        <v>503</v>
      </c>
      <c r="R195">
        <v>15</v>
      </c>
      <c r="S195" t="s">
        <v>121</v>
      </c>
      <c r="T195" t="s">
        <v>121</v>
      </c>
      <c r="U195">
        <v>1111111</v>
      </c>
      <c r="V195" t="s">
        <v>122</v>
      </c>
      <c r="W195" t="s">
        <v>517</v>
      </c>
      <c r="X195" t="s">
        <v>518</v>
      </c>
      <c r="Y195" t="s">
        <v>89</v>
      </c>
      <c r="Z195" t="s">
        <v>90</v>
      </c>
      <c r="AA195" t="s">
        <v>506</v>
      </c>
      <c r="AB195">
        <v>1</v>
      </c>
      <c r="AC195">
        <v>6</v>
      </c>
      <c r="AD195" t="b">
        <v>1</v>
      </c>
      <c r="AE195">
        <v>2022</v>
      </c>
      <c r="AF195" s="3">
        <v>367</v>
      </c>
      <c r="AG195" s="3">
        <v>44727</v>
      </c>
      <c r="AH195" s="3">
        <v>45818</v>
      </c>
      <c r="AJ195" s="4">
        <f>VLOOKUP(A195,'[1]1'!B:Q,16,0)</f>
        <v>900</v>
      </c>
      <c r="AK195" s="7">
        <f t="shared" si="6"/>
        <v>3.6</v>
      </c>
      <c r="AL195" s="3">
        <v>367</v>
      </c>
      <c r="AM195" s="3">
        <v>367</v>
      </c>
      <c r="AN195">
        <v>-8.6078600000000005</v>
      </c>
      <c r="AO195">
        <v>115.1014838</v>
      </c>
      <c r="AP195" t="s">
        <v>1091</v>
      </c>
      <c r="AT195">
        <v>99.75</v>
      </c>
      <c r="AW195">
        <v>0</v>
      </c>
      <c r="AX195">
        <v>0</v>
      </c>
      <c r="BA195">
        <v>0</v>
      </c>
      <c r="BB195">
        <v>0</v>
      </c>
      <c r="BE195">
        <v>0</v>
      </c>
      <c r="BF195">
        <v>0</v>
      </c>
      <c r="BJ195">
        <v>0</v>
      </c>
      <c r="BL195">
        <v>0</v>
      </c>
      <c r="BN195">
        <v>0</v>
      </c>
      <c r="BO195" s="6">
        <v>0</v>
      </c>
      <c r="BP195">
        <v>0</v>
      </c>
      <c r="BQ195">
        <v>0</v>
      </c>
      <c r="BR195">
        <v>0</v>
      </c>
    </row>
    <row r="196" spans="1:70" ht="15" customHeight="1" x14ac:dyDescent="0.35">
      <c r="A196" s="1" t="str">
        <f t="shared" si="7"/>
        <v>142Z</v>
      </c>
      <c r="B196" t="s">
        <v>1092</v>
      </c>
      <c r="C196" t="s">
        <v>1093</v>
      </c>
      <c r="D196" t="s">
        <v>1094</v>
      </c>
      <c r="E196" t="s">
        <v>1095</v>
      </c>
      <c r="F196" t="s">
        <v>516</v>
      </c>
      <c r="G196" t="s">
        <v>502</v>
      </c>
      <c r="H196" t="s">
        <v>502</v>
      </c>
      <c r="I196" t="s">
        <v>137</v>
      </c>
      <c r="J196" t="b">
        <v>0</v>
      </c>
      <c r="K196" t="s">
        <v>78</v>
      </c>
      <c r="L196" t="s">
        <v>79</v>
      </c>
      <c r="N196" t="s">
        <v>81</v>
      </c>
      <c r="O196" t="s">
        <v>82</v>
      </c>
      <c r="P196" t="s">
        <v>83</v>
      </c>
      <c r="Q196" t="s">
        <v>503</v>
      </c>
      <c r="R196">
        <v>24</v>
      </c>
      <c r="S196" t="s">
        <v>85</v>
      </c>
      <c r="T196" t="s">
        <v>121</v>
      </c>
      <c r="U196">
        <v>1111111</v>
      </c>
      <c r="V196" t="s">
        <v>122</v>
      </c>
      <c r="W196" t="s">
        <v>694</v>
      </c>
      <c r="X196" t="s">
        <v>695</v>
      </c>
      <c r="Y196" t="s">
        <v>89</v>
      </c>
      <c r="Z196" t="s">
        <v>90</v>
      </c>
      <c r="AA196" t="s">
        <v>506</v>
      </c>
      <c r="AB196">
        <v>1</v>
      </c>
      <c r="AC196">
        <v>6</v>
      </c>
      <c r="AD196" t="b">
        <v>1</v>
      </c>
      <c r="AE196">
        <v>2022</v>
      </c>
      <c r="AF196" s="3">
        <v>367</v>
      </c>
      <c r="AG196" s="3">
        <v>44727</v>
      </c>
      <c r="AH196" s="3">
        <v>45818</v>
      </c>
      <c r="AJ196" s="4">
        <f>VLOOKUP(A196,'[1]1'!B:Q,16,0)</f>
        <v>1440</v>
      </c>
      <c r="AK196" s="7">
        <f t="shared" si="6"/>
        <v>5.76</v>
      </c>
      <c r="AL196" s="3">
        <v>367</v>
      </c>
      <c r="AM196" s="3">
        <v>367</v>
      </c>
      <c r="AN196">
        <v>-8.6769496000000004</v>
      </c>
      <c r="AO196">
        <v>115.1549018</v>
      </c>
      <c r="AP196" t="s">
        <v>1096</v>
      </c>
      <c r="AT196">
        <v>99.75</v>
      </c>
      <c r="AW196">
        <v>0</v>
      </c>
      <c r="AX196">
        <v>0</v>
      </c>
      <c r="BA196">
        <v>0</v>
      </c>
      <c r="BB196">
        <v>0</v>
      </c>
      <c r="BE196">
        <v>0</v>
      </c>
      <c r="BF196">
        <v>0</v>
      </c>
      <c r="BJ196">
        <v>0</v>
      </c>
      <c r="BL196">
        <v>0</v>
      </c>
      <c r="BN196">
        <v>0</v>
      </c>
      <c r="BO196" s="6">
        <v>0</v>
      </c>
      <c r="BP196">
        <v>0</v>
      </c>
      <c r="BQ196">
        <v>0</v>
      </c>
      <c r="BR196">
        <v>0</v>
      </c>
    </row>
    <row r="197" spans="1:70" ht="15" customHeight="1" x14ac:dyDescent="0.35">
      <c r="A197" s="1" t="str">
        <f t="shared" si="7"/>
        <v>175C</v>
      </c>
      <c r="B197" t="s">
        <v>1097</v>
      </c>
      <c r="C197" t="s">
        <v>1098</v>
      </c>
      <c r="D197" t="s">
        <v>1099</v>
      </c>
      <c r="E197" t="s">
        <v>1100</v>
      </c>
      <c r="F197" t="s">
        <v>516</v>
      </c>
      <c r="G197" t="s">
        <v>502</v>
      </c>
      <c r="H197" t="s">
        <v>502</v>
      </c>
      <c r="I197" t="s">
        <v>148</v>
      </c>
      <c r="J197" t="b">
        <v>0</v>
      </c>
      <c r="K197" t="s">
        <v>78</v>
      </c>
      <c r="L197" t="s">
        <v>79</v>
      </c>
      <c r="N197" t="s">
        <v>81</v>
      </c>
      <c r="O197" t="s">
        <v>82</v>
      </c>
      <c r="P197" t="s">
        <v>83</v>
      </c>
      <c r="Q197" t="s">
        <v>503</v>
      </c>
      <c r="R197">
        <v>24</v>
      </c>
      <c r="S197" t="s">
        <v>85</v>
      </c>
      <c r="T197" t="s">
        <v>121</v>
      </c>
      <c r="U197">
        <v>1111111</v>
      </c>
      <c r="V197" t="s">
        <v>122</v>
      </c>
      <c r="W197" t="s">
        <v>504</v>
      </c>
      <c r="X197" t="s">
        <v>505</v>
      </c>
      <c r="Y197" t="s">
        <v>89</v>
      </c>
      <c r="Z197" t="s">
        <v>90</v>
      </c>
      <c r="AA197" t="s">
        <v>506</v>
      </c>
      <c r="AB197">
        <v>1</v>
      </c>
      <c r="AC197">
        <v>6</v>
      </c>
      <c r="AD197" t="b">
        <v>1</v>
      </c>
      <c r="AE197">
        <v>2022</v>
      </c>
      <c r="AF197" s="3">
        <v>367</v>
      </c>
      <c r="AG197" s="3">
        <v>44723</v>
      </c>
      <c r="AH197" s="3">
        <v>45818</v>
      </c>
      <c r="AJ197" s="4">
        <f>VLOOKUP(A197,'[1]1'!B:Q,16,0)</f>
        <v>1440</v>
      </c>
      <c r="AK197" s="7">
        <f t="shared" si="6"/>
        <v>5.76</v>
      </c>
      <c r="AL197" s="3">
        <v>367</v>
      </c>
      <c r="AM197" s="3">
        <v>367</v>
      </c>
      <c r="AN197">
        <v>-8.8121772000000007</v>
      </c>
      <c r="AO197">
        <v>115.10627390000001</v>
      </c>
      <c r="AP197" t="s">
        <v>1101</v>
      </c>
      <c r="AT197">
        <v>99.75</v>
      </c>
      <c r="AW197">
        <v>0</v>
      </c>
      <c r="AX197">
        <v>0</v>
      </c>
      <c r="BA197">
        <v>0</v>
      </c>
      <c r="BB197">
        <v>0</v>
      </c>
      <c r="BE197">
        <v>0</v>
      </c>
      <c r="BF197">
        <v>0</v>
      </c>
      <c r="BJ197">
        <v>0</v>
      </c>
      <c r="BL197">
        <v>0</v>
      </c>
      <c r="BN197">
        <v>0</v>
      </c>
      <c r="BO197" s="6">
        <v>0</v>
      </c>
      <c r="BP197">
        <v>0</v>
      </c>
      <c r="BQ197">
        <v>0</v>
      </c>
      <c r="BR197">
        <v>0</v>
      </c>
    </row>
    <row r="198" spans="1:70" ht="15" customHeight="1" x14ac:dyDescent="0.35">
      <c r="A198" s="1" t="str">
        <f t="shared" si="7"/>
        <v>093U</v>
      </c>
      <c r="B198" t="s">
        <v>1102</v>
      </c>
      <c r="C198" t="s">
        <v>1103</v>
      </c>
      <c r="D198" t="s">
        <v>1104</v>
      </c>
      <c r="E198" t="s">
        <v>1105</v>
      </c>
      <c r="F198" t="s">
        <v>583</v>
      </c>
      <c r="G198" t="s">
        <v>502</v>
      </c>
      <c r="H198" t="s">
        <v>502</v>
      </c>
      <c r="I198" t="s">
        <v>113</v>
      </c>
      <c r="J198" t="b">
        <v>0</v>
      </c>
      <c r="K198" t="s">
        <v>78</v>
      </c>
      <c r="L198" t="s">
        <v>79</v>
      </c>
      <c r="N198" t="s">
        <v>81</v>
      </c>
      <c r="O198" t="s">
        <v>82</v>
      </c>
      <c r="P198" t="s">
        <v>83</v>
      </c>
      <c r="Q198" t="s">
        <v>503</v>
      </c>
      <c r="R198">
        <v>24</v>
      </c>
      <c r="S198" t="s">
        <v>85</v>
      </c>
      <c r="T198" t="s">
        <v>121</v>
      </c>
      <c r="U198">
        <v>1111111</v>
      </c>
      <c r="V198" t="s">
        <v>122</v>
      </c>
      <c r="W198" t="s">
        <v>550</v>
      </c>
      <c r="X198" t="s">
        <v>551</v>
      </c>
      <c r="Y198" t="s">
        <v>89</v>
      </c>
      <c r="Z198" t="s">
        <v>90</v>
      </c>
      <c r="AA198" t="s">
        <v>506</v>
      </c>
      <c r="AB198">
        <v>2</v>
      </c>
      <c r="AC198">
        <v>6</v>
      </c>
      <c r="AD198" t="b">
        <v>1</v>
      </c>
      <c r="AE198">
        <v>2022</v>
      </c>
      <c r="AF198" s="3">
        <v>367</v>
      </c>
      <c r="AG198" s="3">
        <v>44727</v>
      </c>
      <c r="AH198" s="3">
        <v>45818</v>
      </c>
      <c r="AJ198" s="4">
        <f>VLOOKUP(A198,'[1]1'!B:Q,16,0)</f>
        <v>1440</v>
      </c>
      <c r="AK198" s="7">
        <f t="shared" si="6"/>
        <v>5.76</v>
      </c>
      <c r="AL198" s="3">
        <v>367</v>
      </c>
      <c r="AM198" s="3">
        <v>367</v>
      </c>
      <c r="AN198">
        <v>-8.5069619000000003</v>
      </c>
      <c r="AO198">
        <v>115.5627463</v>
      </c>
      <c r="AP198" t="s">
        <v>1106</v>
      </c>
      <c r="AT198">
        <v>99.75</v>
      </c>
      <c r="AW198">
        <v>0</v>
      </c>
      <c r="AX198">
        <v>0</v>
      </c>
      <c r="BA198">
        <v>0</v>
      </c>
      <c r="BB198">
        <v>0</v>
      </c>
      <c r="BE198">
        <v>0</v>
      </c>
      <c r="BF198">
        <v>0</v>
      </c>
      <c r="BJ198">
        <v>0</v>
      </c>
      <c r="BL198">
        <v>0</v>
      </c>
      <c r="BN198">
        <v>0</v>
      </c>
      <c r="BO198" s="6">
        <v>0</v>
      </c>
      <c r="BP198">
        <v>0</v>
      </c>
      <c r="BQ198">
        <v>0</v>
      </c>
      <c r="BR198">
        <v>0</v>
      </c>
    </row>
    <row r="199" spans="1:70" ht="15" customHeight="1" x14ac:dyDescent="0.35">
      <c r="A199" s="1" t="str">
        <f t="shared" si="7"/>
        <v>205H</v>
      </c>
      <c r="B199" t="s">
        <v>1107</v>
      </c>
      <c r="C199" t="s">
        <v>1108</v>
      </c>
      <c r="D199" t="s">
        <v>1109</v>
      </c>
      <c r="E199" t="s">
        <v>1110</v>
      </c>
      <c r="F199" t="s">
        <v>516</v>
      </c>
      <c r="G199" t="s">
        <v>502</v>
      </c>
      <c r="H199" t="s">
        <v>502</v>
      </c>
      <c r="I199" t="s">
        <v>148</v>
      </c>
      <c r="J199" t="b">
        <v>0</v>
      </c>
      <c r="K199" t="s">
        <v>78</v>
      </c>
      <c r="L199" t="s">
        <v>79</v>
      </c>
      <c r="N199" t="s">
        <v>81</v>
      </c>
      <c r="O199" t="s">
        <v>82</v>
      </c>
      <c r="P199" t="s">
        <v>83</v>
      </c>
      <c r="Q199" t="s">
        <v>503</v>
      </c>
      <c r="R199">
        <v>24</v>
      </c>
      <c r="S199" t="s">
        <v>85</v>
      </c>
      <c r="T199" t="s">
        <v>121</v>
      </c>
      <c r="U199">
        <v>1111111</v>
      </c>
      <c r="V199" t="s">
        <v>122</v>
      </c>
      <c r="W199" t="s">
        <v>637</v>
      </c>
      <c r="X199" t="s">
        <v>638</v>
      </c>
      <c r="Y199" t="s">
        <v>89</v>
      </c>
      <c r="Z199" t="s">
        <v>90</v>
      </c>
      <c r="AA199" t="s">
        <v>506</v>
      </c>
      <c r="AB199">
        <v>1</v>
      </c>
      <c r="AC199">
        <v>6</v>
      </c>
      <c r="AD199" t="b">
        <v>1</v>
      </c>
      <c r="AE199">
        <v>2022</v>
      </c>
      <c r="AF199" s="3">
        <v>367</v>
      </c>
      <c r="AG199" s="3">
        <v>44727</v>
      </c>
      <c r="AH199" s="3">
        <v>45818</v>
      </c>
      <c r="AJ199" s="4"/>
      <c r="AK199" s="4"/>
      <c r="AL199" s="3">
        <v>367</v>
      </c>
      <c r="AM199" s="3">
        <v>367</v>
      </c>
      <c r="AN199">
        <v>-8.7416467000000004</v>
      </c>
      <c r="AO199">
        <v>115.17894459999999</v>
      </c>
      <c r="AP199" t="s">
        <v>1111</v>
      </c>
      <c r="AT199">
        <v>99.75</v>
      </c>
      <c r="AW199">
        <v>0</v>
      </c>
      <c r="AX199">
        <v>0</v>
      </c>
      <c r="BA199">
        <v>0</v>
      </c>
      <c r="BB199">
        <v>0</v>
      </c>
      <c r="BE199">
        <v>0</v>
      </c>
      <c r="BF199">
        <v>0</v>
      </c>
      <c r="BJ199">
        <v>0</v>
      </c>
      <c r="BL199">
        <v>0</v>
      </c>
      <c r="BN199">
        <v>0</v>
      </c>
      <c r="BO199" s="6">
        <v>0</v>
      </c>
      <c r="BP199">
        <v>0</v>
      </c>
      <c r="BQ199">
        <v>0</v>
      </c>
      <c r="BR199">
        <v>0</v>
      </c>
    </row>
    <row r="200" spans="1:70" ht="15" customHeight="1" x14ac:dyDescent="0.35">
      <c r="A200" s="1" t="str">
        <f t="shared" si="7"/>
        <v>687L</v>
      </c>
      <c r="B200" t="s">
        <v>1112</v>
      </c>
      <c r="C200" t="s">
        <v>1113</v>
      </c>
      <c r="D200" t="s">
        <v>1114</v>
      </c>
      <c r="E200" t="s">
        <v>1115</v>
      </c>
      <c r="F200" t="s">
        <v>537</v>
      </c>
      <c r="G200" t="s">
        <v>502</v>
      </c>
      <c r="H200" t="s">
        <v>502</v>
      </c>
      <c r="I200" t="s">
        <v>137</v>
      </c>
      <c r="J200" t="b">
        <v>0</v>
      </c>
      <c r="K200" t="s">
        <v>78</v>
      </c>
      <c r="L200" t="s">
        <v>79</v>
      </c>
      <c r="N200" t="s">
        <v>81</v>
      </c>
      <c r="O200" t="s">
        <v>82</v>
      </c>
      <c r="P200" t="s">
        <v>83</v>
      </c>
      <c r="Q200" t="s">
        <v>503</v>
      </c>
      <c r="R200">
        <v>24</v>
      </c>
      <c r="S200" t="s">
        <v>85</v>
      </c>
      <c r="T200" t="s">
        <v>121</v>
      </c>
      <c r="U200">
        <v>1111111</v>
      </c>
      <c r="V200" t="s">
        <v>122</v>
      </c>
      <c r="W200" t="s">
        <v>550</v>
      </c>
      <c r="X200" t="s">
        <v>551</v>
      </c>
      <c r="Y200" t="s">
        <v>89</v>
      </c>
      <c r="Z200" t="s">
        <v>90</v>
      </c>
      <c r="AA200" t="s">
        <v>506</v>
      </c>
      <c r="AB200">
        <v>1</v>
      </c>
      <c r="AC200">
        <v>6</v>
      </c>
      <c r="AD200" t="b">
        <v>1</v>
      </c>
      <c r="AE200">
        <v>2022</v>
      </c>
      <c r="AF200" s="3">
        <v>367</v>
      </c>
      <c r="AG200" s="3">
        <v>44723</v>
      </c>
      <c r="AH200" s="3">
        <v>45818</v>
      </c>
      <c r="AJ200" s="4"/>
      <c r="AK200" s="4"/>
      <c r="AL200" s="3">
        <v>367</v>
      </c>
      <c r="AM200" s="3">
        <v>367</v>
      </c>
      <c r="AN200">
        <v>-8.5818057000000003</v>
      </c>
      <c r="AO200">
        <v>115.2770615</v>
      </c>
      <c r="AP200" t="s">
        <v>1116</v>
      </c>
      <c r="AT200">
        <v>99.75</v>
      </c>
      <c r="AW200">
        <v>0</v>
      </c>
      <c r="AX200">
        <v>0</v>
      </c>
      <c r="BA200">
        <v>0</v>
      </c>
      <c r="BB200">
        <v>0</v>
      </c>
      <c r="BE200">
        <v>0</v>
      </c>
      <c r="BF200">
        <v>0</v>
      </c>
      <c r="BJ200">
        <v>0</v>
      </c>
      <c r="BL200">
        <v>0</v>
      </c>
      <c r="BN200">
        <v>0</v>
      </c>
      <c r="BO200" s="6">
        <v>0</v>
      </c>
      <c r="BP200">
        <v>0</v>
      </c>
      <c r="BQ200">
        <v>0</v>
      </c>
      <c r="BR200">
        <v>0</v>
      </c>
    </row>
    <row r="201" spans="1:70" ht="15" customHeight="1" x14ac:dyDescent="0.35">
      <c r="A201" s="1" t="str">
        <f t="shared" si="7"/>
        <v>685B</v>
      </c>
      <c r="B201" t="s">
        <v>1117</v>
      </c>
      <c r="C201" t="s">
        <v>1118</v>
      </c>
      <c r="D201" t="s">
        <v>1119</v>
      </c>
      <c r="E201" t="s">
        <v>1120</v>
      </c>
      <c r="F201" t="s">
        <v>516</v>
      </c>
      <c r="G201" t="s">
        <v>502</v>
      </c>
      <c r="H201" t="s">
        <v>502</v>
      </c>
      <c r="I201" t="s">
        <v>137</v>
      </c>
      <c r="J201" t="b">
        <v>0</v>
      </c>
      <c r="K201" t="s">
        <v>78</v>
      </c>
      <c r="L201" t="s">
        <v>79</v>
      </c>
      <c r="N201" t="s">
        <v>81</v>
      </c>
      <c r="O201" t="s">
        <v>82</v>
      </c>
      <c r="P201" t="s">
        <v>83</v>
      </c>
      <c r="Q201" t="s">
        <v>503</v>
      </c>
      <c r="R201">
        <v>15</v>
      </c>
      <c r="S201" t="s">
        <v>121</v>
      </c>
      <c r="T201" t="s">
        <v>121</v>
      </c>
      <c r="U201">
        <v>1111111</v>
      </c>
      <c r="V201" t="s">
        <v>122</v>
      </c>
      <c r="W201" t="s">
        <v>571</v>
      </c>
      <c r="X201" t="s">
        <v>572</v>
      </c>
      <c r="Y201" t="s">
        <v>89</v>
      </c>
      <c r="Z201" t="s">
        <v>90</v>
      </c>
      <c r="AA201" t="s">
        <v>506</v>
      </c>
      <c r="AB201">
        <v>1</v>
      </c>
      <c r="AC201">
        <v>6</v>
      </c>
      <c r="AD201" t="b">
        <v>1</v>
      </c>
      <c r="AE201">
        <v>2022</v>
      </c>
      <c r="AF201" s="3">
        <v>367</v>
      </c>
      <c r="AG201" s="3">
        <v>44781</v>
      </c>
      <c r="AH201" s="3">
        <v>46254</v>
      </c>
      <c r="AJ201" s="4">
        <f>VLOOKUP(A201,'[1]1'!B:Q,16,0)</f>
        <v>900</v>
      </c>
      <c r="AK201" s="7">
        <f t="shared" ref="AK201:AK233" si="8">AJ201/250</f>
        <v>3.6</v>
      </c>
      <c r="AL201" s="3">
        <v>367</v>
      </c>
      <c r="AM201" s="3">
        <v>367</v>
      </c>
      <c r="AN201">
        <v>-8.4808988999999997</v>
      </c>
      <c r="AO201">
        <v>115.20918500000001</v>
      </c>
      <c r="AP201" t="s">
        <v>1121</v>
      </c>
      <c r="AT201">
        <v>99.75</v>
      </c>
      <c r="AW201">
        <v>0</v>
      </c>
      <c r="AX201">
        <v>0</v>
      </c>
      <c r="BA201">
        <v>0</v>
      </c>
      <c r="BB201">
        <v>0</v>
      </c>
      <c r="BE201">
        <v>0</v>
      </c>
      <c r="BF201">
        <v>0</v>
      </c>
      <c r="BJ201">
        <v>0</v>
      </c>
      <c r="BL201">
        <v>0</v>
      </c>
      <c r="BN201">
        <v>0</v>
      </c>
      <c r="BO201" s="6">
        <v>0</v>
      </c>
      <c r="BP201">
        <v>0</v>
      </c>
      <c r="BQ201">
        <v>0</v>
      </c>
      <c r="BR201">
        <v>0</v>
      </c>
    </row>
    <row r="202" spans="1:70" ht="15" customHeight="1" x14ac:dyDescent="0.35">
      <c r="A202" s="1" t="str">
        <f t="shared" si="7"/>
        <v>685E</v>
      </c>
      <c r="B202" t="s">
        <v>1122</v>
      </c>
      <c r="C202" t="s">
        <v>1123</v>
      </c>
      <c r="D202" t="s">
        <v>1124</v>
      </c>
      <c r="E202" t="s">
        <v>1125</v>
      </c>
      <c r="F202" t="s">
        <v>516</v>
      </c>
      <c r="G202" t="s">
        <v>502</v>
      </c>
      <c r="H202" t="s">
        <v>502</v>
      </c>
      <c r="I202" t="s">
        <v>148</v>
      </c>
      <c r="J202" t="b">
        <v>0</v>
      </c>
      <c r="K202" t="s">
        <v>78</v>
      </c>
      <c r="L202" t="s">
        <v>79</v>
      </c>
      <c r="N202" t="s">
        <v>81</v>
      </c>
      <c r="O202" t="s">
        <v>82</v>
      </c>
      <c r="P202" t="s">
        <v>83</v>
      </c>
      <c r="Q202" t="s">
        <v>503</v>
      </c>
      <c r="R202">
        <v>24</v>
      </c>
      <c r="S202" t="s">
        <v>85</v>
      </c>
      <c r="T202" t="s">
        <v>121</v>
      </c>
      <c r="U202">
        <v>1111111</v>
      </c>
      <c r="V202" t="s">
        <v>122</v>
      </c>
      <c r="W202" t="s">
        <v>504</v>
      </c>
      <c r="X202" t="s">
        <v>505</v>
      </c>
      <c r="Y202" t="s">
        <v>89</v>
      </c>
      <c r="Z202" t="s">
        <v>90</v>
      </c>
      <c r="AA202" t="s">
        <v>506</v>
      </c>
      <c r="AB202">
        <v>1</v>
      </c>
      <c r="AC202">
        <v>6</v>
      </c>
      <c r="AD202" t="b">
        <v>1</v>
      </c>
      <c r="AE202">
        <v>2022</v>
      </c>
      <c r="AF202" s="3">
        <v>367</v>
      </c>
      <c r="AG202" s="3">
        <v>44783</v>
      </c>
      <c r="AH202" s="3">
        <v>46254</v>
      </c>
      <c r="AJ202" s="4">
        <f>VLOOKUP(A202,'[1]1'!B:Q,16,0)</f>
        <v>1440</v>
      </c>
      <c r="AK202" s="7">
        <f t="shared" si="8"/>
        <v>5.76</v>
      </c>
      <c r="AL202" s="3">
        <v>367</v>
      </c>
      <c r="AM202" s="3">
        <v>367</v>
      </c>
      <c r="AN202">
        <v>-8.8292599999999997</v>
      </c>
      <c r="AO202">
        <v>115.1736564</v>
      </c>
      <c r="AP202" t="s">
        <v>1126</v>
      </c>
      <c r="AT202">
        <v>99.75</v>
      </c>
      <c r="AW202">
        <v>0</v>
      </c>
      <c r="AX202">
        <v>0</v>
      </c>
      <c r="BA202">
        <v>0</v>
      </c>
      <c r="BB202">
        <v>0</v>
      </c>
      <c r="BE202">
        <v>0</v>
      </c>
      <c r="BF202">
        <v>0</v>
      </c>
      <c r="BJ202">
        <v>0</v>
      </c>
      <c r="BL202">
        <v>0</v>
      </c>
      <c r="BN202">
        <v>0</v>
      </c>
      <c r="BO202" s="6">
        <v>0</v>
      </c>
      <c r="BP202">
        <v>0</v>
      </c>
      <c r="BQ202">
        <v>0</v>
      </c>
      <c r="BR202">
        <v>0</v>
      </c>
    </row>
    <row r="203" spans="1:70" ht="15" customHeight="1" x14ac:dyDescent="0.35">
      <c r="A203" s="1" t="str">
        <f t="shared" si="7"/>
        <v>688B</v>
      </c>
      <c r="B203" t="s">
        <v>1127</v>
      </c>
      <c r="C203" t="s">
        <v>1128</v>
      </c>
      <c r="D203" t="s">
        <v>1129</v>
      </c>
      <c r="E203" t="s">
        <v>1130</v>
      </c>
      <c r="F203" t="s">
        <v>537</v>
      </c>
      <c r="G203" t="s">
        <v>502</v>
      </c>
      <c r="H203" t="s">
        <v>502</v>
      </c>
      <c r="I203" t="s">
        <v>137</v>
      </c>
      <c r="J203" t="b">
        <v>0</v>
      </c>
      <c r="K203" t="s">
        <v>78</v>
      </c>
      <c r="L203" t="s">
        <v>79</v>
      </c>
      <c r="N203" t="s">
        <v>81</v>
      </c>
      <c r="O203" t="s">
        <v>82</v>
      </c>
      <c r="P203" t="s">
        <v>83</v>
      </c>
      <c r="Q203" t="s">
        <v>503</v>
      </c>
      <c r="R203">
        <v>15</v>
      </c>
      <c r="S203" t="s">
        <v>121</v>
      </c>
      <c r="T203" t="s">
        <v>121</v>
      </c>
      <c r="U203">
        <v>1111111</v>
      </c>
      <c r="V203" t="s">
        <v>122</v>
      </c>
      <c r="W203" t="s">
        <v>529</v>
      </c>
      <c r="X203" t="s">
        <v>530</v>
      </c>
      <c r="Y203" t="s">
        <v>89</v>
      </c>
      <c r="Z203" t="s">
        <v>90</v>
      </c>
      <c r="AA203" t="s">
        <v>506</v>
      </c>
      <c r="AB203">
        <v>1</v>
      </c>
      <c r="AC203">
        <v>6</v>
      </c>
      <c r="AD203" t="b">
        <v>1</v>
      </c>
      <c r="AE203">
        <v>2022</v>
      </c>
      <c r="AF203" s="3">
        <v>367</v>
      </c>
      <c r="AG203" s="3">
        <v>44800</v>
      </c>
      <c r="AH203" s="3">
        <v>45896</v>
      </c>
      <c r="AJ203" s="4">
        <f>VLOOKUP(A203,'[1]1'!B:Q,16,0)</f>
        <v>900</v>
      </c>
      <c r="AK203" s="7">
        <f t="shared" si="8"/>
        <v>3.6</v>
      </c>
      <c r="AL203" s="3">
        <v>367</v>
      </c>
      <c r="AM203" s="3">
        <v>367</v>
      </c>
      <c r="AN203">
        <v>-8.4988081999999991</v>
      </c>
      <c r="AO203">
        <v>115.2724604</v>
      </c>
      <c r="AP203" t="s">
        <v>1131</v>
      </c>
      <c r="AT203">
        <v>99.75</v>
      </c>
      <c r="AW203">
        <v>0</v>
      </c>
      <c r="AX203">
        <v>0</v>
      </c>
      <c r="BA203">
        <v>0</v>
      </c>
      <c r="BB203">
        <v>0</v>
      </c>
      <c r="BE203">
        <v>0</v>
      </c>
      <c r="BF203">
        <v>0</v>
      </c>
      <c r="BJ203">
        <v>0</v>
      </c>
      <c r="BL203">
        <v>0</v>
      </c>
      <c r="BN203">
        <v>0</v>
      </c>
      <c r="BO203" s="6">
        <v>0</v>
      </c>
      <c r="BP203">
        <v>0</v>
      </c>
      <c r="BQ203">
        <v>0</v>
      </c>
      <c r="BR203">
        <v>0</v>
      </c>
    </row>
    <row r="204" spans="1:70" ht="15" customHeight="1" x14ac:dyDescent="0.35">
      <c r="A204" s="1" t="str">
        <f t="shared" si="7"/>
        <v>00AN</v>
      </c>
      <c r="B204" t="s">
        <v>1132</v>
      </c>
      <c r="C204" t="s">
        <v>1133</v>
      </c>
      <c r="D204" t="s">
        <v>1134</v>
      </c>
      <c r="E204" t="s">
        <v>1135</v>
      </c>
      <c r="F204" t="s">
        <v>583</v>
      </c>
      <c r="G204" t="s">
        <v>502</v>
      </c>
      <c r="H204" t="s">
        <v>502</v>
      </c>
      <c r="I204" t="s">
        <v>137</v>
      </c>
      <c r="J204" t="b">
        <v>0</v>
      </c>
      <c r="K204" t="s">
        <v>78</v>
      </c>
      <c r="L204" t="s">
        <v>79</v>
      </c>
      <c r="N204" t="s">
        <v>81</v>
      </c>
      <c r="O204" t="s">
        <v>82</v>
      </c>
      <c r="P204" t="s">
        <v>83</v>
      </c>
      <c r="Q204" t="s">
        <v>503</v>
      </c>
      <c r="R204">
        <v>15</v>
      </c>
      <c r="S204" t="s">
        <v>121</v>
      </c>
      <c r="T204" t="s">
        <v>121</v>
      </c>
      <c r="U204">
        <v>1111111</v>
      </c>
      <c r="V204" t="s">
        <v>122</v>
      </c>
      <c r="W204" t="s">
        <v>550</v>
      </c>
      <c r="X204" t="s">
        <v>551</v>
      </c>
      <c r="Y204" t="s">
        <v>89</v>
      </c>
      <c r="Z204" t="s">
        <v>90</v>
      </c>
      <c r="AA204" t="s">
        <v>506</v>
      </c>
      <c r="AB204">
        <v>3</v>
      </c>
      <c r="AC204">
        <v>6</v>
      </c>
      <c r="AD204" t="b">
        <v>1</v>
      </c>
      <c r="AE204">
        <v>2022</v>
      </c>
      <c r="AF204" s="3">
        <v>367</v>
      </c>
      <c r="AG204" s="3">
        <v>44810</v>
      </c>
      <c r="AH204" s="3">
        <v>45906</v>
      </c>
      <c r="AJ204" s="4">
        <f>VLOOKUP(A204,'[1]1'!B:Q,16,0)</f>
        <v>900</v>
      </c>
      <c r="AK204" s="7">
        <f t="shared" si="8"/>
        <v>3.6</v>
      </c>
      <c r="AL204" s="3">
        <v>367</v>
      </c>
      <c r="AM204" s="3">
        <v>367</v>
      </c>
      <c r="AN204">
        <v>-8.3357557</v>
      </c>
      <c r="AO204">
        <v>115.65080810000001</v>
      </c>
      <c r="AP204" t="s">
        <v>1136</v>
      </c>
      <c r="AT204">
        <v>99.75</v>
      </c>
      <c r="AW204">
        <v>0</v>
      </c>
      <c r="AX204">
        <v>0</v>
      </c>
      <c r="BA204">
        <v>0</v>
      </c>
      <c r="BB204">
        <v>0</v>
      </c>
      <c r="BE204">
        <v>0</v>
      </c>
      <c r="BF204">
        <v>0</v>
      </c>
      <c r="BJ204">
        <v>0</v>
      </c>
      <c r="BL204">
        <v>0</v>
      </c>
      <c r="BN204">
        <v>0</v>
      </c>
      <c r="BO204" s="6">
        <v>0</v>
      </c>
      <c r="BP204">
        <v>0</v>
      </c>
      <c r="BQ204">
        <v>0</v>
      </c>
      <c r="BR204">
        <v>0</v>
      </c>
    </row>
    <row r="205" spans="1:70" ht="15" customHeight="1" x14ac:dyDescent="0.35">
      <c r="A205" s="1" t="str">
        <f t="shared" si="7"/>
        <v>683X</v>
      </c>
      <c r="B205" t="s">
        <v>1137</v>
      </c>
      <c r="C205" t="s">
        <v>1138</v>
      </c>
      <c r="D205" t="s">
        <v>1139</v>
      </c>
      <c r="E205" t="s">
        <v>1140</v>
      </c>
      <c r="F205" t="s">
        <v>501</v>
      </c>
      <c r="G205" t="s">
        <v>502</v>
      </c>
      <c r="H205" t="s">
        <v>502</v>
      </c>
      <c r="I205" t="s">
        <v>137</v>
      </c>
      <c r="J205" t="b">
        <v>0</v>
      </c>
      <c r="K205" t="s">
        <v>78</v>
      </c>
      <c r="L205" t="s">
        <v>79</v>
      </c>
      <c r="N205" t="s">
        <v>81</v>
      </c>
      <c r="O205" t="s">
        <v>82</v>
      </c>
      <c r="P205" t="s">
        <v>83</v>
      </c>
      <c r="Q205" t="s">
        <v>549</v>
      </c>
      <c r="R205">
        <v>13</v>
      </c>
      <c r="S205" t="s">
        <v>339</v>
      </c>
      <c r="T205" t="s">
        <v>85</v>
      </c>
      <c r="U205">
        <v>1111111</v>
      </c>
      <c r="V205" t="s">
        <v>122</v>
      </c>
      <c r="W205" t="s">
        <v>694</v>
      </c>
      <c r="X205" t="s">
        <v>695</v>
      </c>
      <c r="Y205" t="s">
        <v>89</v>
      </c>
      <c r="Z205" t="s">
        <v>90</v>
      </c>
      <c r="AA205" t="s">
        <v>506</v>
      </c>
      <c r="AB205">
        <v>1</v>
      </c>
      <c r="AC205">
        <v>6</v>
      </c>
      <c r="AD205" t="b">
        <v>1</v>
      </c>
      <c r="AE205">
        <v>2022</v>
      </c>
      <c r="AF205" s="3">
        <v>367</v>
      </c>
      <c r="AG205" s="3">
        <v>44824</v>
      </c>
      <c r="AH205" s="3">
        <v>45920</v>
      </c>
      <c r="AJ205" s="4">
        <f>VLOOKUP(A205,'[1]1'!B:Q,16,0)</f>
        <v>780</v>
      </c>
      <c r="AK205" s="7">
        <f t="shared" si="8"/>
        <v>3.12</v>
      </c>
      <c r="AL205" s="3">
        <v>367</v>
      </c>
      <c r="AM205" s="3">
        <v>367</v>
      </c>
      <c r="AN205">
        <v>-8.6676205999999993</v>
      </c>
      <c r="AO205">
        <v>115.2187898</v>
      </c>
      <c r="AP205" t="s">
        <v>1141</v>
      </c>
      <c r="AT205">
        <v>99.75</v>
      </c>
      <c r="AW205">
        <v>0</v>
      </c>
      <c r="AX205">
        <v>0</v>
      </c>
      <c r="BA205">
        <v>0</v>
      </c>
      <c r="BB205">
        <v>0</v>
      </c>
      <c r="BE205">
        <v>0</v>
      </c>
      <c r="BF205">
        <v>0</v>
      </c>
      <c r="BJ205">
        <v>0</v>
      </c>
      <c r="BL205">
        <v>0</v>
      </c>
      <c r="BN205">
        <v>0</v>
      </c>
      <c r="BO205" s="6">
        <v>0</v>
      </c>
      <c r="BP205">
        <v>0</v>
      </c>
      <c r="BQ205">
        <v>0</v>
      </c>
      <c r="BR205">
        <v>0</v>
      </c>
    </row>
    <row r="206" spans="1:70" ht="15" customHeight="1" x14ac:dyDescent="0.35">
      <c r="A206" s="1" t="str">
        <f t="shared" si="7"/>
        <v>00E2</v>
      </c>
      <c r="B206" t="s">
        <v>1142</v>
      </c>
      <c r="C206" t="s">
        <v>1143</v>
      </c>
      <c r="D206" t="s">
        <v>1144</v>
      </c>
      <c r="E206" t="s">
        <v>1145</v>
      </c>
      <c r="F206" t="s">
        <v>516</v>
      </c>
      <c r="G206" t="s">
        <v>502</v>
      </c>
      <c r="H206" t="s">
        <v>502</v>
      </c>
      <c r="I206" t="s">
        <v>148</v>
      </c>
      <c r="J206" t="b">
        <v>0</v>
      </c>
      <c r="K206" t="s">
        <v>78</v>
      </c>
      <c r="L206" t="s">
        <v>79</v>
      </c>
      <c r="N206" t="s">
        <v>81</v>
      </c>
      <c r="O206" t="s">
        <v>82</v>
      </c>
      <c r="P206" t="s">
        <v>83</v>
      </c>
      <c r="Q206" t="s">
        <v>503</v>
      </c>
      <c r="R206">
        <v>24</v>
      </c>
      <c r="S206" t="s">
        <v>85</v>
      </c>
      <c r="T206" t="s">
        <v>121</v>
      </c>
      <c r="U206">
        <v>1111111</v>
      </c>
      <c r="V206" t="s">
        <v>122</v>
      </c>
      <c r="W206" t="s">
        <v>517</v>
      </c>
      <c r="X206" t="s">
        <v>518</v>
      </c>
      <c r="Y206" t="s">
        <v>89</v>
      </c>
      <c r="Z206" t="s">
        <v>90</v>
      </c>
      <c r="AA206" t="s">
        <v>506</v>
      </c>
      <c r="AB206">
        <v>1</v>
      </c>
      <c r="AC206">
        <v>6</v>
      </c>
      <c r="AD206" t="b">
        <v>1</v>
      </c>
      <c r="AE206">
        <v>2023</v>
      </c>
      <c r="AF206" s="3">
        <v>367</v>
      </c>
      <c r="AG206" s="3">
        <v>45057</v>
      </c>
      <c r="AH206" s="3">
        <v>46143</v>
      </c>
      <c r="AJ206" s="4">
        <f>VLOOKUP(A206,'[1]1'!B:Q,16,0)</f>
        <v>1440</v>
      </c>
      <c r="AK206" s="7">
        <f t="shared" si="8"/>
        <v>5.76</v>
      </c>
      <c r="AL206" s="3">
        <v>367</v>
      </c>
      <c r="AM206" s="3">
        <v>367</v>
      </c>
      <c r="AN206">
        <v>-8.6455122000000006</v>
      </c>
      <c r="AO206">
        <v>115.14101239999999</v>
      </c>
      <c r="AP206" t="s">
        <v>1146</v>
      </c>
      <c r="AT206">
        <v>99.75</v>
      </c>
      <c r="AW206">
        <v>0</v>
      </c>
      <c r="AX206">
        <v>0</v>
      </c>
      <c r="BA206">
        <v>0</v>
      </c>
      <c r="BB206">
        <v>0</v>
      </c>
      <c r="BE206">
        <v>0</v>
      </c>
      <c r="BF206">
        <v>0</v>
      </c>
      <c r="BJ206">
        <v>0</v>
      </c>
      <c r="BL206">
        <v>0</v>
      </c>
      <c r="BN206">
        <v>0</v>
      </c>
      <c r="BO206" s="6">
        <v>0</v>
      </c>
      <c r="BP206">
        <v>0</v>
      </c>
      <c r="BQ206">
        <v>0</v>
      </c>
      <c r="BR206">
        <v>0</v>
      </c>
    </row>
    <row r="207" spans="1:70" ht="15" customHeight="1" x14ac:dyDescent="0.35">
      <c r="A207" s="1" t="str">
        <f t="shared" si="7"/>
        <v>556E</v>
      </c>
      <c r="B207" t="s">
        <v>1147</v>
      </c>
      <c r="C207" t="s">
        <v>1148</v>
      </c>
      <c r="D207" t="s">
        <v>1149</v>
      </c>
      <c r="E207" t="s">
        <v>1150</v>
      </c>
      <c r="F207" t="s">
        <v>516</v>
      </c>
      <c r="G207" t="s">
        <v>502</v>
      </c>
      <c r="H207" t="s">
        <v>502</v>
      </c>
      <c r="I207" t="s">
        <v>137</v>
      </c>
      <c r="J207" t="b">
        <v>0</v>
      </c>
      <c r="K207" t="s">
        <v>78</v>
      </c>
      <c r="L207" t="s">
        <v>79</v>
      </c>
      <c r="N207" t="s">
        <v>81</v>
      </c>
      <c r="O207" t="s">
        <v>82</v>
      </c>
      <c r="P207" t="s">
        <v>83</v>
      </c>
      <c r="Q207" t="s">
        <v>503</v>
      </c>
      <c r="R207">
        <v>24</v>
      </c>
      <c r="S207" t="s">
        <v>85</v>
      </c>
      <c r="T207" t="s">
        <v>121</v>
      </c>
      <c r="U207">
        <v>1111111</v>
      </c>
      <c r="V207" t="s">
        <v>122</v>
      </c>
      <c r="W207" t="s">
        <v>517</v>
      </c>
      <c r="X207" t="s">
        <v>518</v>
      </c>
      <c r="Y207" t="s">
        <v>89</v>
      </c>
      <c r="Z207" t="s">
        <v>90</v>
      </c>
      <c r="AA207" t="s">
        <v>506</v>
      </c>
      <c r="AB207">
        <v>1</v>
      </c>
      <c r="AC207">
        <v>6</v>
      </c>
      <c r="AD207" t="b">
        <v>1</v>
      </c>
      <c r="AE207">
        <v>2023</v>
      </c>
      <c r="AF207" s="3">
        <v>367</v>
      </c>
      <c r="AG207" s="3">
        <v>45057</v>
      </c>
      <c r="AH207" s="3">
        <v>46143</v>
      </c>
      <c r="AJ207" s="4">
        <f>VLOOKUP(A207,'[1]1'!B:Q,16,0)</f>
        <v>1440</v>
      </c>
      <c r="AK207" s="7">
        <f t="shared" si="8"/>
        <v>5.76</v>
      </c>
      <c r="AL207" s="3">
        <v>367</v>
      </c>
      <c r="AM207" s="3">
        <v>367</v>
      </c>
      <c r="AN207">
        <v>-8.6408427999999997</v>
      </c>
      <c r="AO207">
        <v>115.1431568</v>
      </c>
      <c r="AP207" t="s">
        <v>1151</v>
      </c>
      <c r="AT207">
        <v>99.75</v>
      </c>
      <c r="AW207">
        <v>0</v>
      </c>
      <c r="AX207">
        <v>0</v>
      </c>
      <c r="BA207">
        <v>0</v>
      </c>
      <c r="BB207">
        <v>0</v>
      </c>
      <c r="BE207">
        <v>0</v>
      </c>
      <c r="BF207">
        <v>0</v>
      </c>
      <c r="BJ207">
        <v>0</v>
      </c>
      <c r="BL207">
        <v>0</v>
      </c>
      <c r="BN207">
        <v>0</v>
      </c>
      <c r="BO207" s="6">
        <v>0</v>
      </c>
      <c r="BP207">
        <v>0</v>
      </c>
      <c r="BQ207">
        <v>0</v>
      </c>
      <c r="BR207">
        <v>0</v>
      </c>
    </row>
    <row r="208" spans="1:70" ht="15" customHeight="1" x14ac:dyDescent="0.35">
      <c r="A208" s="1" t="str">
        <f t="shared" si="7"/>
        <v>688A</v>
      </c>
      <c r="B208" t="s">
        <v>1152</v>
      </c>
      <c r="C208" t="s">
        <v>1153</v>
      </c>
      <c r="D208" t="s">
        <v>1154</v>
      </c>
      <c r="E208" t="s">
        <v>1155</v>
      </c>
      <c r="F208" t="s">
        <v>516</v>
      </c>
      <c r="G208" t="s">
        <v>502</v>
      </c>
      <c r="H208" t="s">
        <v>502</v>
      </c>
      <c r="I208" t="s">
        <v>137</v>
      </c>
      <c r="J208" t="b">
        <v>0</v>
      </c>
      <c r="K208" t="s">
        <v>78</v>
      </c>
      <c r="L208" t="s">
        <v>79</v>
      </c>
      <c r="N208" t="s">
        <v>81</v>
      </c>
      <c r="O208" t="s">
        <v>82</v>
      </c>
      <c r="P208" t="s">
        <v>83</v>
      </c>
      <c r="Q208" t="s">
        <v>503</v>
      </c>
      <c r="R208">
        <v>17</v>
      </c>
      <c r="S208" t="s">
        <v>162</v>
      </c>
      <c r="T208" t="s">
        <v>121</v>
      </c>
      <c r="U208">
        <v>1111111</v>
      </c>
      <c r="V208" t="s">
        <v>122</v>
      </c>
      <c r="W208" t="s">
        <v>517</v>
      </c>
      <c r="X208" t="s">
        <v>518</v>
      </c>
      <c r="Y208" t="s">
        <v>89</v>
      </c>
      <c r="Z208" t="s">
        <v>90</v>
      </c>
      <c r="AA208" t="s">
        <v>506</v>
      </c>
      <c r="AB208">
        <v>1</v>
      </c>
      <c r="AC208">
        <v>6</v>
      </c>
      <c r="AD208" t="b">
        <v>1</v>
      </c>
      <c r="AE208">
        <v>2023</v>
      </c>
      <c r="AF208" s="3">
        <v>367</v>
      </c>
      <c r="AG208" s="3">
        <v>45057</v>
      </c>
      <c r="AH208" s="3">
        <v>46143</v>
      </c>
      <c r="AJ208" s="4">
        <f>VLOOKUP(A208,'[1]1'!B:Q,16,0)</f>
        <v>1440</v>
      </c>
      <c r="AK208" s="7">
        <f t="shared" si="8"/>
        <v>5.76</v>
      </c>
      <c r="AL208" s="3">
        <v>367</v>
      </c>
      <c r="AM208" s="3">
        <v>367</v>
      </c>
      <c r="AN208">
        <v>-8.6277833000000008</v>
      </c>
      <c r="AO208">
        <v>115.17074700000001</v>
      </c>
      <c r="AP208" t="s">
        <v>1156</v>
      </c>
      <c r="AT208">
        <v>99.75</v>
      </c>
      <c r="AW208">
        <v>0</v>
      </c>
      <c r="AX208">
        <v>0</v>
      </c>
      <c r="BA208">
        <v>0</v>
      </c>
      <c r="BB208">
        <v>0</v>
      </c>
      <c r="BE208">
        <v>0</v>
      </c>
      <c r="BF208">
        <v>0</v>
      </c>
      <c r="BJ208">
        <v>0</v>
      </c>
      <c r="BL208">
        <v>0</v>
      </c>
      <c r="BN208">
        <v>0</v>
      </c>
      <c r="BO208" s="6">
        <v>0</v>
      </c>
      <c r="BP208">
        <v>0</v>
      </c>
      <c r="BQ208">
        <v>0</v>
      </c>
      <c r="BR208">
        <v>0</v>
      </c>
    </row>
    <row r="209" spans="1:70" ht="15" customHeight="1" x14ac:dyDescent="0.35">
      <c r="A209" s="1" t="str">
        <f t="shared" si="7"/>
        <v>689H</v>
      </c>
      <c r="B209" t="s">
        <v>1157</v>
      </c>
      <c r="C209" t="s">
        <v>1158</v>
      </c>
      <c r="D209" t="s">
        <v>1159</v>
      </c>
      <c r="E209" t="s">
        <v>1160</v>
      </c>
      <c r="F209" t="s">
        <v>516</v>
      </c>
      <c r="G209" t="s">
        <v>502</v>
      </c>
      <c r="H209" t="s">
        <v>502</v>
      </c>
      <c r="I209" t="s">
        <v>148</v>
      </c>
      <c r="J209" t="b">
        <v>0</v>
      </c>
      <c r="K209" t="s">
        <v>78</v>
      </c>
      <c r="L209" t="s">
        <v>79</v>
      </c>
      <c r="N209" t="s">
        <v>81</v>
      </c>
      <c r="O209" t="s">
        <v>82</v>
      </c>
      <c r="P209" t="s">
        <v>83</v>
      </c>
      <c r="Q209" t="s">
        <v>503</v>
      </c>
      <c r="R209">
        <v>24</v>
      </c>
      <c r="S209" t="s">
        <v>85</v>
      </c>
      <c r="T209" t="s">
        <v>121</v>
      </c>
      <c r="U209">
        <v>1111111</v>
      </c>
      <c r="V209" t="s">
        <v>122</v>
      </c>
      <c r="W209" t="s">
        <v>517</v>
      </c>
      <c r="X209" t="s">
        <v>518</v>
      </c>
      <c r="Y209" t="s">
        <v>89</v>
      </c>
      <c r="Z209" t="s">
        <v>90</v>
      </c>
      <c r="AA209" t="s">
        <v>506</v>
      </c>
      <c r="AB209">
        <v>1</v>
      </c>
      <c r="AC209">
        <v>6</v>
      </c>
      <c r="AD209" t="b">
        <v>1</v>
      </c>
      <c r="AE209">
        <v>2023</v>
      </c>
      <c r="AF209" s="3">
        <v>367</v>
      </c>
      <c r="AG209" s="3">
        <v>45057</v>
      </c>
      <c r="AH209" s="3">
        <v>46143</v>
      </c>
      <c r="AJ209" s="4">
        <f>VLOOKUP(A209,'[1]1'!B:Q,16,0)</f>
        <v>1440</v>
      </c>
      <c r="AK209" s="7">
        <f t="shared" si="8"/>
        <v>5.76</v>
      </c>
      <c r="AL209" s="3">
        <v>367</v>
      </c>
      <c r="AM209" s="3">
        <v>367</v>
      </c>
      <c r="AN209">
        <v>-8.6514811999999992</v>
      </c>
      <c r="AO209">
        <v>115.134017</v>
      </c>
      <c r="AP209" t="s">
        <v>1161</v>
      </c>
      <c r="AT209">
        <v>99.75</v>
      </c>
      <c r="AW209">
        <v>0</v>
      </c>
      <c r="AX209">
        <v>0</v>
      </c>
      <c r="BA209">
        <v>0</v>
      </c>
      <c r="BB209">
        <v>0</v>
      </c>
      <c r="BE209">
        <v>0</v>
      </c>
      <c r="BF209">
        <v>0</v>
      </c>
      <c r="BJ209">
        <v>0</v>
      </c>
      <c r="BL209">
        <v>0</v>
      </c>
      <c r="BN209">
        <v>0</v>
      </c>
      <c r="BO209" s="6">
        <v>0</v>
      </c>
      <c r="BP209">
        <v>0</v>
      </c>
      <c r="BQ209">
        <v>0</v>
      </c>
      <c r="BR209">
        <v>0</v>
      </c>
    </row>
    <row r="210" spans="1:70" ht="15" customHeight="1" x14ac:dyDescent="0.35">
      <c r="A210" s="1" t="str">
        <f t="shared" si="7"/>
        <v>663N</v>
      </c>
      <c r="B210" t="s">
        <v>1162</v>
      </c>
      <c r="C210" t="s">
        <v>1163</v>
      </c>
      <c r="D210" t="s">
        <v>1164</v>
      </c>
      <c r="E210" t="s">
        <v>1165</v>
      </c>
      <c r="F210" t="s">
        <v>516</v>
      </c>
      <c r="G210" t="s">
        <v>502</v>
      </c>
      <c r="H210" t="s">
        <v>502</v>
      </c>
      <c r="I210" t="s">
        <v>137</v>
      </c>
      <c r="J210" t="b">
        <v>0</v>
      </c>
      <c r="K210" t="s">
        <v>78</v>
      </c>
      <c r="L210" t="s">
        <v>79</v>
      </c>
      <c r="N210" t="s">
        <v>81</v>
      </c>
      <c r="O210" t="s">
        <v>82</v>
      </c>
      <c r="P210" t="s">
        <v>83</v>
      </c>
      <c r="Q210" t="s">
        <v>503</v>
      </c>
      <c r="R210">
        <v>24</v>
      </c>
      <c r="S210" t="s">
        <v>85</v>
      </c>
      <c r="T210" t="s">
        <v>121</v>
      </c>
      <c r="U210">
        <v>1111111</v>
      </c>
      <c r="V210" t="s">
        <v>122</v>
      </c>
      <c r="W210" t="s">
        <v>523</v>
      </c>
      <c r="X210" t="s">
        <v>524</v>
      </c>
      <c r="Y210" t="s">
        <v>89</v>
      </c>
      <c r="Z210" t="s">
        <v>90</v>
      </c>
      <c r="AA210" t="s">
        <v>506</v>
      </c>
      <c r="AB210">
        <v>1</v>
      </c>
      <c r="AC210">
        <v>6</v>
      </c>
      <c r="AD210" t="b">
        <v>1</v>
      </c>
      <c r="AE210">
        <v>2023</v>
      </c>
      <c r="AF210" s="3">
        <v>367</v>
      </c>
      <c r="AG210" s="3">
        <v>45059</v>
      </c>
      <c r="AH210" s="3">
        <v>46143</v>
      </c>
      <c r="AJ210" s="4">
        <f>VLOOKUP(A210,'[1]1'!B:Q,16,0)</f>
        <v>1440</v>
      </c>
      <c r="AK210" s="7">
        <f t="shared" si="8"/>
        <v>5.76</v>
      </c>
      <c r="AL210" s="3">
        <v>367</v>
      </c>
      <c r="AM210" s="3">
        <v>367</v>
      </c>
      <c r="AN210">
        <v>-8.6987190999999999</v>
      </c>
      <c r="AO210">
        <v>115.1772438</v>
      </c>
      <c r="AP210" t="s">
        <v>1166</v>
      </c>
      <c r="AT210">
        <v>99.75</v>
      </c>
      <c r="AW210">
        <v>0</v>
      </c>
      <c r="AX210">
        <v>0</v>
      </c>
      <c r="BA210">
        <v>0</v>
      </c>
      <c r="BB210">
        <v>0</v>
      </c>
      <c r="BE210">
        <v>0</v>
      </c>
      <c r="BF210">
        <v>0</v>
      </c>
      <c r="BJ210">
        <v>0</v>
      </c>
      <c r="BL210">
        <v>0</v>
      </c>
      <c r="BN210">
        <v>0</v>
      </c>
      <c r="BO210" s="6">
        <v>0</v>
      </c>
      <c r="BP210">
        <v>0</v>
      </c>
      <c r="BQ210">
        <v>0</v>
      </c>
      <c r="BR210">
        <v>0</v>
      </c>
    </row>
    <row r="211" spans="1:70" ht="15" customHeight="1" x14ac:dyDescent="0.35">
      <c r="A211" s="1" t="str">
        <f t="shared" si="7"/>
        <v>00V9</v>
      </c>
      <c r="B211" t="s">
        <v>1167</v>
      </c>
      <c r="C211" t="s">
        <v>1168</v>
      </c>
      <c r="D211" t="s">
        <v>1169</v>
      </c>
      <c r="E211" t="s">
        <v>1170</v>
      </c>
      <c r="F211" t="s">
        <v>537</v>
      </c>
      <c r="G211" t="s">
        <v>502</v>
      </c>
      <c r="H211" t="s">
        <v>502</v>
      </c>
      <c r="I211" t="s">
        <v>178</v>
      </c>
      <c r="J211" t="b">
        <v>0</v>
      </c>
      <c r="K211" t="s">
        <v>78</v>
      </c>
      <c r="L211" t="s">
        <v>79</v>
      </c>
      <c r="N211" t="s">
        <v>81</v>
      </c>
      <c r="O211" t="s">
        <v>82</v>
      </c>
      <c r="P211" t="s">
        <v>83</v>
      </c>
      <c r="Q211" t="s">
        <v>503</v>
      </c>
      <c r="R211">
        <v>24</v>
      </c>
      <c r="S211" t="s">
        <v>85</v>
      </c>
      <c r="T211" t="s">
        <v>121</v>
      </c>
      <c r="U211">
        <v>1111111</v>
      </c>
      <c r="V211" t="s">
        <v>122</v>
      </c>
      <c r="W211" t="s">
        <v>550</v>
      </c>
      <c r="X211" t="s">
        <v>551</v>
      </c>
      <c r="Y211" t="s">
        <v>89</v>
      </c>
      <c r="Z211" t="s">
        <v>90</v>
      </c>
      <c r="AA211" t="s">
        <v>506</v>
      </c>
      <c r="AB211">
        <v>1</v>
      </c>
      <c r="AC211">
        <v>6</v>
      </c>
      <c r="AD211" t="b">
        <v>1</v>
      </c>
      <c r="AE211">
        <v>2023</v>
      </c>
      <c r="AF211" s="3">
        <v>367</v>
      </c>
      <c r="AG211" s="3">
        <v>45059</v>
      </c>
      <c r="AH211" s="3">
        <v>46143</v>
      </c>
      <c r="AJ211" s="4">
        <f>VLOOKUP(A211,'[1]1'!B:Q,16,0)</f>
        <v>1440</v>
      </c>
      <c r="AK211" s="7">
        <f t="shared" si="8"/>
        <v>5.76</v>
      </c>
      <c r="AL211" s="3">
        <v>367</v>
      </c>
      <c r="AM211" s="3">
        <v>367</v>
      </c>
      <c r="AN211">
        <v>-8.6013400000000004</v>
      </c>
      <c r="AO211">
        <v>115.2641691</v>
      </c>
      <c r="AP211" t="s">
        <v>1171</v>
      </c>
      <c r="AT211">
        <v>99.75</v>
      </c>
      <c r="AW211">
        <v>0</v>
      </c>
      <c r="AX211">
        <v>0</v>
      </c>
      <c r="BA211">
        <v>0</v>
      </c>
      <c r="BB211">
        <v>0</v>
      </c>
      <c r="BE211">
        <v>0</v>
      </c>
      <c r="BF211">
        <v>0</v>
      </c>
      <c r="BJ211">
        <v>0</v>
      </c>
      <c r="BL211">
        <v>0</v>
      </c>
      <c r="BN211">
        <v>0</v>
      </c>
      <c r="BO211" s="6">
        <v>0</v>
      </c>
      <c r="BP211">
        <v>0</v>
      </c>
      <c r="BQ211">
        <v>0</v>
      </c>
      <c r="BR211">
        <v>0</v>
      </c>
    </row>
    <row r="212" spans="1:70" ht="15" customHeight="1" x14ac:dyDescent="0.35">
      <c r="A212" s="1" t="str">
        <f t="shared" si="7"/>
        <v>561J</v>
      </c>
      <c r="B212" t="s">
        <v>1172</v>
      </c>
      <c r="C212" t="s">
        <v>1173</v>
      </c>
      <c r="D212" t="s">
        <v>1174</v>
      </c>
      <c r="E212" t="s">
        <v>1175</v>
      </c>
      <c r="F212" t="s">
        <v>516</v>
      </c>
      <c r="G212" t="s">
        <v>502</v>
      </c>
      <c r="H212" t="s">
        <v>502</v>
      </c>
      <c r="I212" t="s">
        <v>148</v>
      </c>
      <c r="J212" t="b">
        <v>0</v>
      </c>
      <c r="K212" t="s">
        <v>78</v>
      </c>
      <c r="L212" t="s">
        <v>79</v>
      </c>
      <c r="N212" t="s">
        <v>81</v>
      </c>
      <c r="O212" t="s">
        <v>82</v>
      </c>
      <c r="P212" t="s">
        <v>83</v>
      </c>
      <c r="Q212" t="s">
        <v>503</v>
      </c>
      <c r="R212">
        <v>24</v>
      </c>
      <c r="S212" t="s">
        <v>85</v>
      </c>
      <c r="T212" t="s">
        <v>121</v>
      </c>
      <c r="U212">
        <v>1111111</v>
      </c>
      <c r="V212" t="s">
        <v>122</v>
      </c>
      <c r="W212" t="s">
        <v>637</v>
      </c>
      <c r="X212" t="s">
        <v>638</v>
      </c>
      <c r="Y212" t="s">
        <v>89</v>
      </c>
      <c r="Z212" t="s">
        <v>90</v>
      </c>
      <c r="AA212" t="s">
        <v>506</v>
      </c>
      <c r="AB212">
        <v>1</v>
      </c>
      <c r="AC212">
        <v>6</v>
      </c>
      <c r="AD212" t="b">
        <v>1</v>
      </c>
      <c r="AE212">
        <v>2023</v>
      </c>
      <c r="AF212" s="3">
        <v>367</v>
      </c>
      <c r="AG212" s="3">
        <v>45059</v>
      </c>
      <c r="AH212" s="3">
        <v>46143</v>
      </c>
      <c r="AJ212" s="4">
        <f>VLOOKUP(A212,'[1]1'!B:Q,16,0)</f>
        <v>1440</v>
      </c>
      <c r="AK212" s="7">
        <f t="shared" si="8"/>
        <v>5.76</v>
      </c>
      <c r="AL212" s="3">
        <v>367</v>
      </c>
      <c r="AM212" s="3">
        <v>367</v>
      </c>
      <c r="AN212">
        <v>-8.7856799999999993</v>
      </c>
      <c r="AO212">
        <v>115.1641391</v>
      </c>
      <c r="AP212" t="s">
        <v>1176</v>
      </c>
      <c r="AT212">
        <v>99.75</v>
      </c>
      <c r="AW212">
        <v>0</v>
      </c>
      <c r="AX212">
        <v>0</v>
      </c>
      <c r="BA212">
        <v>0</v>
      </c>
      <c r="BB212">
        <v>0</v>
      </c>
      <c r="BE212">
        <v>0</v>
      </c>
      <c r="BF212">
        <v>0</v>
      </c>
      <c r="BJ212">
        <v>0</v>
      </c>
      <c r="BL212">
        <v>0</v>
      </c>
      <c r="BN212">
        <v>0</v>
      </c>
      <c r="BO212" s="6">
        <v>0</v>
      </c>
      <c r="BP212">
        <v>0</v>
      </c>
      <c r="BQ212">
        <v>0</v>
      </c>
      <c r="BR212">
        <v>0</v>
      </c>
    </row>
    <row r="213" spans="1:70" ht="15" customHeight="1" x14ac:dyDescent="0.35">
      <c r="A213" s="1" t="str">
        <f t="shared" si="7"/>
        <v>6519</v>
      </c>
      <c r="B213" t="s">
        <v>1177</v>
      </c>
      <c r="C213" t="s">
        <v>1178</v>
      </c>
      <c r="D213" t="s">
        <v>1179</v>
      </c>
      <c r="E213" t="s">
        <v>1180</v>
      </c>
      <c r="F213" t="s">
        <v>501</v>
      </c>
      <c r="G213" t="s">
        <v>502</v>
      </c>
      <c r="H213" t="s">
        <v>502</v>
      </c>
      <c r="I213" t="s">
        <v>148</v>
      </c>
      <c r="J213" t="b">
        <v>0</v>
      </c>
      <c r="K213" t="s">
        <v>78</v>
      </c>
      <c r="L213" t="s">
        <v>79</v>
      </c>
      <c r="N213" t="s">
        <v>81</v>
      </c>
      <c r="O213" t="s">
        <v>82</v>
      </c>
      <c r="P213" t="s">
        <v>83</v>
      </c>
      <c r="Q213" t="s">
        <v>503</v>
      </c>
      <c r="R213">
        <v>24</v>
      </c>
      <c r="S213" t="s">
        <v>85</v>
      </c>
      <c r="T213" t="s">
        <v>121</v>
      </c>
      <c r="U213">
        <v>1111111</v>
      </c>
      <c r="V213" t="s">
        <v>122</v>
      </c>
      <c r="W213" t="s">
        <v>571</v>
      </c>
      <c r="X213" t="s">
        <v>572</v>
      </c>
      <c r="Y213" t="s">
        <v>89</v>
      </c>
      <c r="Z213" t="s">
        <v>90</v>
      </c>
      <c r="AA213" t="s">
        <v>506</v>
      </c>
      <c r="AB213">
        <v>1</v>
      </c>
      <c r="AC213">
        <v>6</v>
      </c>
      <c r="AD213" t="b">
        <v>1</v>
      </c>
      <c r="AE213">
        <v>2023</v>
      </c>
      <c r="AF213" s="3">
        <v>367</v>
      </c>
      <c r="AG213" s="3">
        <v>45058</v>
      </c>
      <c r="AH213" s="3">
        <v>46143</v>
      </c>
      <c r="AJ213" s="4">
        <f>VLOOKUP(A213,'[1]1'!B:Q,16,0)</f>
        <v>1440</v>
      </c>
      <c r="AK213" s="7">
        <f t="shared" si="8"/>
        <v>5.76</v>
      </c>
      <c r="AL213" s="3">
        <v>367</v>
      </c>
      <c r="AM213" s="3">
        <v>367</v>
      </c>
      <c r="AN213">
        <v>-8.6466998000000004</v>
      </c>
      <c r="AO213">
        <v>115.1955203</v>
      </c>
      <c r="AP213" t="s">
        <v>1180</v>
      </c>
      <c r="AT213">
        <v>99.75</v>
      </c>
      <c r="AW213">
        <v>0</v>
      </c>
      <c r="AX213">
        <v>0</v>
      </c>
      <c r="BA213">
        <v>0</v>
      </c>
      <c r="BB213">
        <v>0</v>
      </c>
      <c r="BE213">
        <v>0</v>
      </c>
      <c r="BF213">
        <v>0</v>
      </c>
      <c r="BJ213">
        <v>0</v>
      </c>
      <c r="BL213">
        <v>0</v>
      </c>
      <c r="BN213">
        <v>0</v>
      </c>
      <c r="BO213" s="6">
        <v>0</v>
      </c>
      <c r="BP213">
        <v>0</v>
      </c>
      <c r="BQ213">
        <v>0</v>
      </c>
      <c r="BR213">
        <v>0</v>
      </c>
    </row>
    <row r="214" spans="1:70" ht="15" customHeight="1" x14ac:dyDescent="0.35">
      <c r="A214" s="1" t="str">
        <f t="shared" si="7"/>
        <v>00UL</v>
      </c>
      <c r="B214" t="s">
        <v>1181</v>
      </c>
      <c r="C214" t="s">
        <v>1182</v>
      </c>
      <c r="D214" t="s">
        <v>1183</v>
      </c>
      <c r="E214" t="s">
        <v>1184</v>
      </c>
      <c r="F214" t="s">
        <v>501</v>
      </c>
      <c r="G214" t="s">
        <v>502</v>
      </c>
      <c r="H214" t="s">
        <v>502</v>
      </c>
      <c r="I214" t="s">
        <v>137</v>
      </c>
      <c r="J214" t="b">
        <v>0</v>
      </c>
      <c r="K214" t="s">
        <v>78</v>
      </c>
      <c r="L214" t="s">
        <v>79</v>
      </c>
      <c r="N214" t="s">
        <v>81</v>
      </c>
      <c r="O214" t="s">
        <v>82</v>
      </c>
      <c r="P214" t="s">
        <v>83</v>
      </c>
      <c r="Q214" t="s">
        <v>503</v>
      </c>
      <c r="R214">
        <v>24</v>
      </c>
      <c r="S214" t="s">
        <v>162</v>
      </c>
      <c r="T214" t="s">
        <v>121</v>
      </c>
      <c r="U214">
        <v>1111111</v>
      </c>
      <c r="V214" t="s">
        <v>122</v>
      </c>
      <c r="W214" t="s">
        <v>529</v>
      </c>
      <c r="X214" t="s">
        <v>530</v>
      </c>
      <c r="Y214" t="s">
        <v>89</v>
      </c>
      <c r="Z214" t="s">
        <v>90</v>
      </c>
      <c r="AA214" t="s">
        <v>506</v>
      </c>
      <c r="AB214">
        <v>1</v>
      </c>
      <c r="AC214">
        <v>6</v>
      </c>
      <c r="AD214" t="b">
        <v>1</v>
      </c>
      <c r="AE214">
        <v>2023</v>
      </c>
      <c r="AF214" s="3">
        <v>367</v>
      </c>
      <c r="AG214" s="3">
        <v>45058</v>
      </c>
      <c r="AH214" s="3">
        <v>46143</v>
      </c>
      <c r="AJ214" s="4">
        <f>VLOOKUP(A214,'[1]1'!B:Q,16,0)</f>
        <v>1020</v>
      </c>
      <c r="AK214" s="7">
        <f t="shared" si="8"/>
        <v>4.08</v>
      </c>
      <c r="AL214" s="3">
        <v>367</v>
      </c>
      <c r="AM214" s="3">
        <v>367</v>
      </c>
      <c r="AN214">
        <v>-8.6588654999999992</v>
      </c>
      <c r="AO214">
        <v>115.19123279999999</v>
      </c>
      <c r="AP214" t="s">
        <v>1185</v>
      </c>
      <c r="AT214">
        <v>99.75</v>
      </c>
      <c r="AW214">
        <v>0</v>
      </c>
      <c r="AX214">
        <v>0</v>
      </c>
      <c r="BA214">
        <v>0</v>
      </c>
      <c r="BB214">
        <v>0</v>
      </c>
      <c r="BE214">
        <v>0</v>
      </c>
      <c r="BF214">
        <v>0</v>
      </c>
      <c r="BJ214">
        <v>0</v>
      </c>
      <c r="BL214">
        <v>0</v>
      </c>
      <c r="BN214">
        <v>0</v>
      </c>
      <c r="BO214" s="6">
        <v>0</v>
      </c>
      <c r="BP214">
        <v>0</v>
      </c>
      <c r="BQ214">
        <v>0</v>
      </c>
      <c r="BR214">
        <v>0</v>
      </c>
    </row>
    <row r="215" spans="1:70" ht="15" customHeight="1" x14ac:dyDescent="0.35">
      <c r="A215" s="1" t="str">
        <f t="shared" si="7"/>
        <v>00UM</v>
      </c>
      <c r="B215" t="s">
        <v>1186</v>
      </c>
      <c r="C215" t="s">
        <v>1187</v>
      </c>
      <c r="D215" t="s">
        <v>1188</v>
      </c>
      <c r="E215" t="s">
        <v>1189</v>
      </c>
      <c r="F215" t="s">
        <v>501</v>
      </c>
      <c r="G215" t="s">
        <v>502</v>
      </c>
      <c r="H215" t="s">
        <v>502</v>
      </c>
      <c r="I215" t="s">
        <v>137</v>
      </c>
      <c r="J215" t="b">
        <v>0</v>
      </c>
      <c r="K215" t="s">
        <v>78</v>
      </c>
      <c r="L215" t="s">
        <v>79</v>
      </c>
      <c r="N215" t="s">
        <v>81</v>
      </c>
      <c r="O215" t="s">
        <v>82</v>
      </c>
      <c r="P215" t="s">
        <v>83</v>
      </c>
      <c r="Q215" t="s">
        <v>503</v>
      </c>
      <c r="R215">
        <v>24</v>
      </c>
      <c r="S215" t="s">
        <v>121</v>
      </c>
      <c r="T215" t="s">
        <v>121</v>
      </c>
      <c r="U215">
        <v>1111111</v>
      </c>
      <c r="V215" t="s">
        <v>122</v>
      </c>
      <c r="W215" t="s">
        <v>529</v>
      </c>
      <c r="X215" t="s">
        <v>530</v>
      </c>
      <c r="Y215" t="s">
        <v>89</v>
      </c>
      <c r="Z215" t="s">
        <v>90</v>
      </c>
      <c r="AA215" t="s">
        <v>506</v>
      </c>
      <c r="AB215">
        <v>1</v>
      </c>
      <c r="AC215">
        <v>6</v>
      </c>
      <c r="AD215" t="b">
        <v>1</v>
      </c>
      <c r="AE215">
        <v>2023</v>
      </c>
      <c r="AF215" s="3">
        <v>367</v>
      </c>
      <c r="AG215" s="3">
        <v>45058</v>
      </c>
      <c r="AH215" s="3">
        <v>46143</v>
      </c>
      <c r="AJ215" s="4">
        <f>VLOOKUP(A215,'[1]1'!B:Q,16,0)</f>
        <v>900</v>
      </c>
      <c r="AK215" s="7">
        <f t="shared" si="8"/>
        <v>3.6</v>
      </c>
      <c r="AL215" s="3">
        <v>367</v>
      </c>
      <c r="AM215" s="3">
        <v>367</v>
      </c>
      <c r="AN215">
        <v>-8.6573925000000003</v>
      </c>
      <c r="AO215">
        <v>115.1914072</v>
      </c>
      <c r="AP215" t="s">
        <v>1190</v>
      </c>
      <c r="AT215">
        <v>99.75</v>
      </c>
      <c r="AW215">
        <v>0</v>
      </c>
      <c r="AX215">
        <v>0</v>
      </c>
      <c r="BA215">
        <v>0</v>
      </c>
      <c r="BB215">
        <v>0</v>
      </c>
      <c r="BE215">
        <v>0</v>
      </c>
      <c r="BF215">
        <v>0</v>
      </c>
      <c r="BJ215">
        <v>0</v>
      </c>
      <c r="BL215">
        <v>0</v>
      </c>
      <c r="BN215">
        <v>0</v>
      </c>
      <c r="BO215" s="6">
        <v>0</v>
      </c>
      <c r="BP215">
        <v>0</v>
      </c>
      <c r="BQ215">
        <v>0</v>
      </c>
      <c r="BR215">
        <v>0</v>
      </c>
    </row>
    <row r="216" spans="1:70" ht="15" customHeight="1" x14ac:dyDescent="0.35">
      <c r="A216" s="1" t="str">
        <f t="shared" si="7"/>
        <v>444B</v>
      </c>
      <c r="B216" t="s">
        <v>1191</v>
      </c>
      <c r="C216" t="s">
        <v>1192</v>
      </c>
      <c r="D216" t="s">
        <v>1193</v>
      </c>
      <c r="E216" t="s">
        <v>1194</v>
      </c>
      <c r="F216" t="s">
        <v>501</v>
      </c>
      <c r="G216" t="s">
        <v>502</v>
      </c>
      <c r="H216" t="s">
        <v>502</v>
      </c>
      <c r="I216" t="s">
        <v>137</v>
      </c>
      <c r="J216" t="b">
        <v>0</v>
      </c>
      <c r="K216" t="s">
        <v>78</v>
      </c>
      <c r="L216" t="s">
        <v>79</v>
      </c>
      <c r="N216" t="s">
        <v>81</v>
      </c>
      <c r="O216" t="s">
        <v>82</v>
      </c>
      <c r="P216" t="s">
        <v>83</v>
      </c>
      <c r="Q216" t="s">
        <v>503</v>
      </c>
      <c r="R216">
        <v>15</v>
      </c>
      <c r="S216" t="s">
        <v>121</v>
      </c>
      <c r="T216" t="s">
        <v>121</v>
      </c>
      <c r="U216">
        <v>1111111</v>
      </c>
      <c r="V216" t="s">
        <v>122</v>
      </c>
      <c r="W216" t="s">
        <v>571</v>
      </c>
      <c r="X216" t="s">
        <v>572</v>
      </c>
      <c r="Y216" t="s">
        <v>89</v>
      </c>
      <c r="Z216" t="s">
        <v>90</v>
      </c>
      <c r="AA216" t="s">
        <v>506</v>
      </c>
      <c r="AB216">
        <v>1</v>
      </c>
      <c r="AC216">
        <v>6</v>
      </c>
      <c r="AD216" t="b">
        <v>1</v>
      </c>
      <c r="AE216">
        <v>2023</v>
      </c>
      <c r="AF216" s="3">
        <v>367</v>
      </c>
      <c r="AG216" s="3">
        <v>45058</v>
      </c>
      <c r="AH216" s="3">
        <v>46143</v>
      </c>
      <c r="AJ216" s="4">
        <f>VLOOKUP(A216,'[1]1'!B:Q,16,0)</f>
        <v>960</v>
      </c>
      <c r="AK216" s="7">
        <f t="shared" si="8"/>
        <v>3.84</v>
      </c>
      <c r="AL216" s="3">
        <v>367</v>
      </c>
      <c r="AM216" s="3">
        <v>367</v>
      </c>
      <c r="AN216">
        <v>-8.6498892000000005</v>
      </c>
      <c r="AO216">
        <v>115.1865921</v>
      </c>
      <c r="AP216" t="s">
        <v>1195</v>
      </c>
      <c r="AT216">
        <v>99.75</v>
      </c>
      <c r="AW216">
        <v>0</v>
      </c>
      <c r="AX216">
        <v>0</v>
      </c>
      <c r="BA216">
        <v>0</v>
      </c>
      <c r="BB216">
        <v>0</v>
      </c>
      <c r="BE216">
        <v>0</v>
      </c>
      <c r="BF216">
        <v>0</v>
      </c>
      <c r="BJ216">
        <v>0</v>
      </c>
      <c r="BL216">
        <v>0</v>
      </c>
      <c r="BN216">
        <v>0</v>
      </c>
      <c r="BO216" s="6">
        <v>0</v>
      </c>
      <c r="BP216">
        <v>0</v>
      </c>
      <c r="BQ216">
        <v>0</v>
      </c>
      <c r="BR216">
        <v>0</v>
      </c>
    </row>
    <row r="217" spans="1:70" ht="15" customHeight="1" x14ac:dyDescent="0.35">
      <c r="A217" s="1" t="str">
        <f t="shared" si="7"/>
        <v>6736</v>
      </c>
      <c r="B217" t="s">
        <v>1196</v>
      </c>
      <c r="C217" t="s">
        <v>1197</v>
      </c>
      <c r="D217" t="s">
        <v>1198</v>
      </c>
      <c r="E217" t="s">
        <v>1199</v>
      </c>
      <c r="F217" t="s">
        <v>516</v>
      </c>
      <c r="G217" t="s">
        <v>502</v>
      </c>
      <c r="H217" t="s">
        <v>502</v>
      </c>
      <c r="I217" t="s">
        <v>113</v>
      </c>
      <c r="J217" t="b">
        <v>1</v>
      </c>
      <c r="K217" t="s">
        <v>78</v>
      </c>
      <c r="L217" t="s">
        <v>79</v>
      </c>
      <c r="N217" t="s">
        <v>81</v>
      </c>
      <c r="O217" t="s">
        <v>82</v>
      </c>
      <c r="P217" t="s">
        <v>83</v>
      </c>
      <c r="Q217" t="s">
        <v>503</v>
      </c>
      <c r="R217">
        <v>24</v>
      </c>
      <c r="S217" t="s">
        <v>85</v>
      </c>
      <c r="T217" t="s">
        <v>121</v>
      </c>
      <c r="U217">
        <v>1111111</v>
      </c>
      <c r="V217" t="s">
        <v>122</v>
      </c>
      <c r="W217" t="s">
        <v>523</v>
      </c>
      <c r="X217" t="s">
        <v>524</v>
      </c>
      <c r="Y217" t="s">
        <v>89</v>
      </c>
      <c r="Z217" t="s">
        <v>90</v>
      </c>
      <c r="AA217" t="s">
        <v>506</v>
      </c>
      <c r="AB217">
        <v>1</v>
      </c>
      <c r="AC217">
        <v>6</v>
      </c>
      <c r="AD217" t="b">
        <v>1</v>
      </c>
      <c r="AE217">
        <v>2023</v>
      </c>
      <c r="AF217" s="3">
        <v>367</v>
      </c>
      <c r="AG217" s="3">
        <v>45059</v>
      </c>
      <c r="AH217" s="3">
        <v>46143</v>
      </c>
      <c r="AJ217" s="4">
        <f>VLOOKUP(A217,'[1]1'!B:Q,16,0)</f>
        <v>1440</v>
      </c>
      <c r="AK217" s="7">
        <f t="shared" si="8"/>
        <v>5.76</v>
      </c>
      <c r="AL217" s="3">
        <v>367</v>
      </c>
      <c r="AM217" s="3">
        <v>367</v>
      </c>
      <c r="AN217">
        <v>-8.7226455999999999</v>
      </c>
      <c r="AO217">
        <v>115.1704757</v>
      </c>
      <c r="AP217" t="s">
        <v>1200</v>
      </c>
      <c r="AT217">
        <v>99.75</v>
      </c>
      <c r="AW217">
        <v>0</v>
      </c>
      <c r="AX217">
        <v>0</v>
      </c>
      <c r="BA217">
        <v>0</v>
      </c>
      <c r="BB217">
        <v>0</v>
      </c>
      <c r="BE217">
        <v>0</v>
      </c>
      <c r="BF217">
        <v>0</v>
      </c>
      <c r="BJ217">
        <v>0</v>
      </c>
      <c r="BL217">
        <v>0</v>
      </c>
      <c r="BN217">
        <v>0</v>
      </c>
      <c r="BO217" s="6">
        <v>0</v>
      </c>
      <c r="BP217">
        <v>0</v>
      </c>
      <c r="BQ217">
        <v>0</v>
      </c>
      <c r="BR217">
        <v>0</v>
      </c>
    </row>
    <row r="218" spans="1:70" ht="15" customHeight="1" x14ac:dyDescent="0.35">
      <c r="A218" s="1" t="str">
        <f t="shared" si="7"/>
        <v>697W</v>
      </c>
      <c r="B218" t="s">
        <v>1201</v>
      </c>
      <c r="C218" t="s">
        <v>1202</v>
      </c>
      <c r="D218" t="s">
        <v>1203</v>
      </c>
      <c r="E218" t="s">
        <v>1204</v>
      </c>
      <c r="F218" t="s">
        <v>501</v>
      </c>
      <c r="G218" t="s">
        <v>502</v>
      </c>
      <c r="H218" t="s">
        <v>502</v>
      </c>
      <c r="I218" t="s">
        <v>77</v>
      </c>
      <c r="J218" t="b">
        <v>0</v>
      </c>
      <c r="K218" t="s">
        <v>78</v>
      </c>
      <c r="L218" t="s">
        <v>79</v>
      </c>
      <c r="N218" t="s">
        <v>81</v>
      </c>
      <c r="O218" t="s">
        <v>82</v>
      </c>
      <c r="P218" t="s">
        <v>83</v>
      </c>
      <c r="Q218" t="s">
        <v>503</v>
      </c>
      <c r="R218">
        <v>24</v>
      </c>
      <c r="S218" t="s">
        <v>85</v>
      </c>
      <c r="T218" t="s">
        <v>121</v>
      </c>
      <c r="U218">
        <v>1111111</v>
      </c>
      <c r="V218" t="s">
        <v>122</v>
      </c>
      <c r="W218" t="s">
        <v>571</v>
      </c>
      <c r="X218" t="s">
        <v>572</v>
      </c>
      <c r="Y218" t="s">
        <v>89</v>
      </c>
      <c r="Z218" t="s">
        <v>90</v>
      </c>
      <c r="AA218" t="s">
        <v>506</v>
      </c>
      <c r="AB218">
        <v>1</v>
      </c>
      <c r="AC218">
        <v>6</v>
      </c>
      <c r="AD218" t="b">
        <v>1</v>
      </c>
      <c r="AE218">
        <v>2023</v>
      </c>
      <c r="AF218" s="3">
        <v>367</v>
      </c>
      <c r="AG218" s="3">
        <v>45059</v>
      </c>
      <c r="AH218" s="3">
        <v>46143</v>
      </c>
      <c r="AJ218" s="4">
        <f>VLOOKUP(A218,'[1]1'!B:Q,16,0)</f>
        <v>1440</v>
      </c>
      <c r="AK218" s="7">
        <f t="shared" si="8"/>
        <v>5.76</v>
      </c>
      <c r="AL218" s="3">
        <v>367</v>
      </c>
      <c r="AM218" s="3">
        <v>367</v>
      </c>
      <c r="AN218">
        <v>-8.6434005000000003</v>
      </c>
      <c r="AO218">
        <v>115.1962687</v>
      </c>
      <c r="AP218" t="s">
        <v>1205</v>
      </c>
      <c r="AT218">
        <v>99.75</v>
      </c>
      <c r="AW218">
        <v>0</v>
      </c>
      <c r="AX218">
        <v>0</v>
      </c>
      <c r="BA218">
        <v>0</v>
      </c>
      <c r="BB218">
        <v>0</v>
      </c>
      <c r="BE218">
        <v>0</v>
      </c>
      <c r="BF218">
        <v>0</v>
      </c>
      <c r="BJ218">
        <v>0</v>
      </c>
      <c r="BL218">
        <v>0</v>
      </c>
      <c r="BN218">
        <v>0</v>
      </c>
      <c r="BO218" s="6">
        <v>0</v>
      </c>
      <c r="BP218">
        <v>0</v>
      </c>
      <c r="BQ218">
        <v>0</v>
      </c>
      <c r="BR218">
        <v>0</v>
      </c>
    </row>
    <row r="219" spans="1:70" ht="15" customHeight="1" x14ac:dyDescent="0.35">
      <c r="A219" s="1" t="str">
        <f t="shared" si="7"/>
        <v>051F</v>
      </c>
      <c r="B219" t="s">
        <v>1206</v>
      </c>
      <c r="C219" t="s">
        <v>1207</v>
      </c>
      <c r="D219" t="s">
        <v>1208</v>
      </c>
      <c r="E219" t="s">
        <v>1209</v>
      </c>
      <c r="F219" t="s">
        <v>516</v>
      </c>
      <c r="G219" t="s">
        <v>502</v>
      </c>
      <c r="H219" t="s">
        <v>502</v>
      </c>
      <c r="I219" t="s">
        <v>148</v>
      </c>
      <c r="J219" t="b">
        <v>0</v>
      </c>
      <c r="K219" t="s">
        <v>78</v>
      </c>
      <c r="L219" t="s">
        <v>79</v>
      </c>
      <c r="N219" t="s">
        <v>81</v>
      </c>
      <c r="O219" t="s">
        <v>82</v>
      </c>
      <c r="P219" t="s">
        <v>83</v>
      </c>
      <c r="Q219" t="s">
        <v>503</v>
      </c>
      <c r="R219">
        <v>24</v>
      </c>
      <c r="S219" t="s">
        <v>85</v>
      </c>
      <c r="T219" t="s">
        <v>121</v>
      </c>
      <c r="U219">
        <v>1111111</v>
      </c>
      <c r="V219" t="s">
        <v>122</v>
      </c>
      <c r="W219" t="s">
        <v>523</v>
      </c>
      <c r="X219" t="s">
        <v>524</v>
      </c>
      <c r="Y219" t="s">
        <v>89</v>
      </c>
      <c r="Z219" t="s">
        <v>90</v>
      </c>
      <c r="AA219" t="s">
        <v>506</v>
      </c>
      <c r="AB219">
        <v>1</v>
      </c>
      <c r="AC219">
        <v>6</v>
      </c>
      <c r="AD219" t="b">
        <v>1</v>
      </c>
      <c r="AE219">
        <v>2023</v>
      </c>
      <c r="AF219" s="3">
        <v>367</v>
      </c>
      <c r="AG219" s="3">
        <v>45059</v>
      </c>
      <c r="AH219" s="3">
        <v>46143</v>
      </c>
      <c r="AJ219" s="4">
        <f>VLOOKUP(A219,'[1]1'!B:Q,16,0)</f>
        <v>1440</v>
      </c>
      <c r="AK219" s="7">
        <f t="shared" si="8"/>
        <v>5.76</v>
      </c>
      <c r="AL219" s="3">
        <v>367</v>
      </c>
      <c r="AM219" s="3">
        <v>367</v>
      </c>
      <c r="AN219">
        <v>-8.7140827000000005</v>
      </c>
      <c r="AO219">
        <v>115.17356289999999</v>
      </c>
      <c r="AP219" t="s">
        <v>1210</v>
      </c>
      <c r="AT219">
        <v>99.75</v>
      </c>
      <c r="AW219">
        <v>0</v>
      </c>
      <c r="AX219">
        <v>0</v>
      </c>
      <c r="BA219">
        <v>0</v>
      </c>
      <c r="BB219">
        <v>0</v>
      </c>
      <c r="BE219">
        <v>0</v>
      </c>
      <c r="BF219">
        <v>0</v>
      </c>
      <c r="BJ219">
        <v>0</v>
      </c>
      <c r="BL219">
        <v>0</v>
      </c>
      <c r="BN219">
        <v>0</v>
      </c>
      <c r="BO219" s="6">
        <v>0</v>
      </c>
      <c r="BP219">
        <v>0</v>
      </c>
      <c r="BQ219">
        <v>0</v>
      </c>
      <c r="BR219">
        <v>0</v>
      </c>
    </row>
    <row r="220" spans="1:70" ht="15" customHeight="1" x14ac:dyDescent="0.35">
      <c r="A220" s="1" t="str">
        <f t="shared" si="7"/>
        <v>00T4</v>
      </c>
      <c r="B220" t="s">
        <v>1211</v>
      </c>
      <c r="C220" t="s">
        <v>1212</v>
      </c>
      <c r="D220" t="s">
        <v>1213</v>
      </c>
      <c r="E220" t="s">
        <v>1214</v>
      </c>
      <c r="F220" t="s">
        <v>501</v>
      </c>
      <c r="G220" t="s">
        <v>502</v>
      </c>
      <c r="H220" t="s">
        <v>502</v>
      </c>
      <c r="I220" t="s">
        <v>148</v>
      </c>
      <c r="J220" t="b">
        <v>0</v>
      </c>
      <c r="K220" t="s">
        <v>78</v>
      </c>
      <c r="L220" t="s">
        <v>79</v>
      </c>
      <c r="N220" t="s">
        <v>81</v>
      </c>
      <c r="O220" t="s">
        <v>82</v>
      </c>
      <c r="P220" t="s">
        <v>83</v>
      </c>
      <c r="Q220" t="s">
        <v>549</v>
      </c>
      <c r="R220">
        <v>24</v>
      </c>
      <c r="S220" t="s">
        <v>85</v>
      </c>
      <c r="T220" t="s">
        <v>85</v>
      </c>
      <c r="U220">
        <v>1111111</v>
      </c>
      <c r="V220" t="s">
        <v>122</v>
      </c>
      <c r="W220" t="s">
        <v>694</v>
      </c>
      <c r="X220" t="s">
        <v>695</v>
      </c>
      <c r="Y220" t="s">
        <v>89</v>
      </c>
      <c r="Z220" t="s">
        <v>90</v>
      </c>
      <c r="AA220" t="s">
        <v>506</v>
      </c>
      <c r="AB220">
        <v>1</v>
      </c>
      <c r="AC220">
        <v>6</v>
      </c>
      <c r="AD220" t="b">
        <v>1</v>
      </c>
      <c r="AE220">
        <v>2023</v>
      </c>
      <c r="AF220" s="3">
        <v>367</v>
      </c>
      <c r="AG220" s="3">
        <v>45059</v>
      </c>
      <c r="AH220" s="3">
        <v>46155</v>
      </c>
      <c r="AJ220" s="4">
        <f>VLOOKUP(A220,'[1]1'!B:Q,16,0)</f>
        <v>1440</v>
      </c>
      <c r="AK220" s="7">
        <f t="shared" si="8"/>
        <v>5.76</v>
      </c>
      <c r="AL220" s="3">
        <v>367</v>
      </c>
      <c r="AM220" s="3">
        <v>367</v>
      </c>
      <c r="AN220">
        <v>-8.6732735000000005</v>
      </c>
      <c r="AO220">
        <v>115.2349098</v>
      </c>
      <c r="AP220" t="s">
        <v>1215</v>
      </c>
      <c r="AT220">
        <v>99.75</v>
      </c>
      <c r="AW220">
        <v>0</v>
      </c>
      <c r="AX220">
        <v>0</v>
      </c>
      <c r="BA220">
        <v>0</v>
      </c>
      <c r="BB220">
        <v>0</v>
      </c>
      <c r="BE220">
        <v>0</v>
      </c>
      <c r="BF220">
        <v>0</v>
      </c>
      <c r="BJ220">
        <v>0</v>
      </c>
      <c r="BL220">
        <v>0</v>
      </c>
      <c r="BN220">
        <v>0</v>
      </c>
      <c r="BO220" s="6">
        <v>0</v>
      </c>
      <c r="BP220">
        <v>0</v>
      </c>
      <c r="BQ220">
        <v>0</v>
      </c>
      <c r="BR220">
        <v>0</v>
      </c>
    </row>
    <row r="221" spans="1:70" ht="15" customHeight="1" x14ac:dyDescent="0.35">
      <c r="A221" s="1" t="str">
        <f t="shared" si="7"/>
        <v>6651</v>
      </c>
      <c r="B221" t="s">
        <v>1216</v>
      </c>
      <c r="C221" t="s">
        <v>1217</v>
      </c>
      <c r="D221" t="s">
        <v>1218</v>
      </c>
      <c r="E221" t="s">
        <v>1219</v>
      </c>
      <c r="F221" t="s">
        <v>501</v>
      </c>
      <c r="G221" t="s">
        <v>502</v>
      </c>
      <c r="H221" t="s">
        <v>502</v>
      </c>
      <c r="I221" t="s">
        <v>113</v>
      </c>
      <c r="J221" t="b">
        <v>0</v>
      </c>
      <c r="K221" t="s">
        <v>78</v>
      </c>
      <c r="L221" t="s">
        <v>79</v>
      </c>
      <c r="N221" t="s">
        <v>81</v>
      </c>
      <c r="O221" t="s">
        <v>82</v>
      </c>
      <c r="P221" t="s">
        <v>83</v>
      </c>
      <c r="Q221" t="s">
        <v>503</v>
      </c>
      <c r="R221">
        <v>24</v>
      </c>
      <c r="S221" t="s">
        <v>85</v>
      </c>
      <c r="T221" t="s">
        <v>85</v>
      </c>
      <c r="U221">
        <v>1111111</v>
      </c>
      <c r="V221" t="s">
        <v>122</v>
      </c>
      <c r="W221" t="s">
        <v>529</v>
      </c>
      <c r="X221" t="s">
        <v>530</v>
      </c>
      <c r="Y221" t="s">
        <v>89</v>
      </c>
      <c r="Z221" t="s">
        <v>90</v>
      </c>
      <c r="AA221" t="s">
        <v>506</v>
      </c>
      <c r="AB221">
        <v>1</v>
      </c>
      <c r="AC221">
        <v>6</v>
      </c>
      <c r="AD221" t="b">
        <v>1</v>
      </c>
      <c r="AE221">
        <v>2023</v>
      </c>
      <c r="AF221" s="3">
        <v>367</v>
      </c>
      <c r="AG221" s="3">
        <v>45059</v>
      </c>
      <c r="AH221" s="3">
        <v>46155</v>
      </c>
      <c r="AJ221" s="4">
        <f>VLOOKUP(A221,'[1]1'!B:Q,16,0)</f>
        <v>1440</v>
      </c>
      <c r="AK221" s="7">
        <f t="shared" si="8"/>
        <v>5.76</v>
      </c>
      <c r="AL221" s="3">
        <v>367</v>
      </c>
      <c r="AM221" s="3">
        <v>367</v>
      </c>
      <c r="AN221">
        <v>-8.6632909999999992</v>
      </c>
      <c r="AO221">
        <v>115.20822099999999</v>
      </c>
      <c r="AP221" t="s">
        <v>1219</v>
      </c>
      <c r="AT221">
        <v>99.75</v>
      </c>
      <c r="AW221">
        <v>0</v>
      </c>
      <c r="AX221">
        <v>0</v>
      </c>
      <c r="BA221">
        <v>0</v>
      </c>
      <c r="BB221">
        <v>0</v>
      </c>
      <c r="BE221">
        <v>0</v>
      </c>
      <c r="BF221">
        <v>0</v>
      </c>
      <c r="BJ221">
        <v>0</v>
      </c>
      <c r="BL221">
        <v>0</v>
      </c>
      <c r="BN221">
        <v>0</v>
      </c>
      <c r="BO221" s="6">
        <v>0</v>
      </c>
      <c r="BP221">
        <v>0</v>
      </c>
      <c r="BQ221">
        <v>0</v>
      </c>
      <c r="BR221">
        <v>0</v>
      </c>
    </row>
    <row r="222" spans="1:70" ht="15" customHeight="1" x14ac:dyDescent="0.35">
      <c r="A222" s="1" t="str">
        <f t="shared" si="7"/>
        <v>6738</v>
      </c>
      <c r="B222" t="s">
        <v>1220</v>
      </c>
      <c r="C222" t="s">
        <v>1221</v>
      </c>
      <c r="D222" t="s">
        <v>1222</v>
      </c>
      <c r="E222" t="s">
        <v>1223</v>
      </c>
      <c r="F222" t="s">
        <v>501</v>
      </c>
      <c r="G222" t="s">
        <v>502</v>
      </c>
      <c r="H222" t="s">
        <v>502</v>
      </c>
      <c r="I222" t="s">
        <v>350</v>
      </c>
      <c r="J222" t="b">
        <v>0</v>
      </c>
      <c r="K222" t="s">
        <v>78</v>
      </c>
      <c r="L222" t="s">
        <v>79</v>
      </c>
      <c r="N222" t="s">
        <v>81</v>
      </c>
      <c r="O222" t="s">
        <v>82</v>
      </c>
      <c r="P222" t="s">
        <v>83</v>
      </c>
      <c r="Q222" t="s">
        <v>549</v>
      </c>
      <c r="R222">
        <v>24</v>
      </c>
      <c r="S222" t="s">
        <v>85</v>
      </c>
      <c r="T222" t="s">
        <v>85</v>
      </c>
      <c r="U222">
        <v>1111111</v>
      </c>
      <c r="V222" t="s">
        <v>122</v>
      </c>
      <c r="W222" t="s">
        <v>694</v>
      </c>
      <c r="X222" t="s">
        <v>695</v>
      </c>
      <c r="Y222" t="s">
        <v>89</v>
      </c>
      <c r="Z222" t="s">
        <v>90</v>
      </c>
      <c r="AA222" t="s">
        <v>506</v>
      </c>
      <c r="AB222">
        <v>1</v>
      </c>
      <c r="AC222">
        <v>6</v>
      </c>
      <c r="AD222" t="b">
        <v>1</v>
      </c>
      <c r="AE222">
        <v>2023</v>
      </c>
      <c r="AF222" s="3">
        <v>367</v>
      </c>
      <c r="AG222" s="3">
        <v>45059</v>
      </c>
      <c r="AH222" s="3">
        <v>46155</v>
      </c>
      <c r="AJ222" s="4">
        <f>VLOOKUP(A222,'[1]1'!B:Q,16,0)</f>
        <v>1440</v>
      </c>
      <c r="AK222" s="7">
        <f t="shared" si="8"/>
        <v>5.76</v>
      </c>
      <c r="AL222" s="3">
        <v>367</v>
      </c>
      <c r="AM222" s="3">
        <v>367</v>
      </c>
      <c r="AN222">
        <v>-8.6758606999999994</v>
      </c>
      <c r="AO222">
        <v>115.2122533</v>
      </c>
      <c r="AP222" t="s">
        <v>1223</v>
      </c>
      <c r="AT222">
        <v>99.75</v>
      </c>
      <c r="AW222">
        <v>0</v>
      </c>
      <c r="AX222">
        <v>0</v>
      </c>
      <c r="BA222">
        <v>0</v>
      </c>
      <c r="BB222">
        <v>0</v>
      </c>
      <c r="BE222">
        <v>0</v>
      </c>
      <c r="BF222">
        <v>0</v>
      </c>
      <c r="BJ222">
        <v>0</v>
      </c>
      <c r="BL222">
        <v>0</v>
      </c>
      <c r="BN222">
        <v>0</v>
      </c>
      <c r="BO222" s="6">
        <v>0</v>
      </c>
      <c r="BP222">
        <v>0</v>
      </c>
      <c r="BQ222">
        <v>0</v>
      </c>
      <c r="BR222">
        <v>0</v>
      </c>
    </row>
    <row r="223" spans="1:70" ht="15" customHeight="1" x14ac:dyDescent="0.35">
      <c r="A223" s="1" t="str">
        <f t="shared" si="7"/>
        <v>689M</v>
      </c>
      <c r="B223" t="s">
        <v>1224</v>
      </c>
      <c r="C223" t="s">
        <v>1225</v>
      </c>
      <c r="D223" t="s">
        <v>1226</v>
      </c>
      <c r="E223" t="s">
        <v>1227</v>
      </c>
      <c r="F223" t="s">
        <v>501</v>
      </c>
      <c r="G223" t="s">
        <v>502</v>
      </c>
      <c r="H223" t="s">
        <v>502</v>
      </c>
      <c r="I223" t="s">
        <v>148</v>
      </c>
      <c r="J223" t="b">
        <v>0</v>
      </c>
      <c r="K223" t="s">
        <v>78</v>
      </c>
      <c r="L223" t="s">
        <v>79</v>
      </c>
      <c r="N223" t="s">
        <v>81</v>
      </c>
      <c r="O223" t="s">
        <v>82</v>
      </c>
      <c r="P223" t="s">
        <v>83</v>
      </c>
      <c r="Q223" t="s">
        <v>549</v>
      </c>
      <c r="R223">
        <v>15</v>
      </c>
      <c r="S223" t="s">
        <v>121</v>
      </c>
      <c r="T223" t="s">
        <v>85</v>
      </c>
      <c r="U223">
        <v>1111111</v>
      </c>
      <c r="V223" t="s">
        <v>122</v>
      </c>
      <c r="W223" t="s">
        <v>550</v>
      </c>
      <c r="X223" t="s">
        <v>551</v>
      </c>
      <c r="Y223" t="s">
        <v>89</v>
      </c>
      <c r="Z223" t="s">
        <v>90</v>
      </c>
      <c r="AA223" t="s">
        <v>506</v>
      </c>
      <c r="AB223">
        <v>1</v>
      </c>
      <c r="AC223">
        <v>6</v>
      </c>
      <c r="AD223" t="b">
        <v>1</v>
      </c>
      <c r="AE223">
        <v>2023</v>
      </c>
      <c r="AF223" s="3">
        <v>367</v>
      </c>
      <c r="AG223" s="3">
        <v>45059</v>
      </c>
      <c r="AH223" s="3">
        <v>46155</v>
      </c>
      <c r="AJ223" s="4">
        <f>VLOOKUP(A223,'[1]1'!B:Q,16,0)</f>
        <v>900</v>
      </c>
      <c r="AK223" s="7">
        <f t="shared" si="8"/>
        <v>3.6</v>
      </c>
      <c r="AL223" s="3">
        <v>367</v>
      </c>
      <c r="AM223" s="3">
        <v>367</v>
      </c>
      <c r="AN223">
        <v>-8.6801218000000002</v>
      </c>
      <c r="AO223">
        <v>115.2587997</v>
      </c>
      <c r="AP223" t="s">
        <v>1228</v>
      </c>
      <c r="AT223">
        <v>99.75</v>
      </c>
      <c r="AW223">
        <v>0</v>
      </c>
      <c r="AX223">
        <v>0</v>
      </c>
      <c r="BA223">
        <v>0</v>
      </c>
      <c r="BB223">
        <v>0</v>
      </c>
      <c r="BE223">
        <v>0</v>
      </c>
      <c r="BF223">
        <v>0</v>
      </c>
      <c r="BJ223">
        <v>0</v>
      </c>
      <c r="BL223">
        <v>0</v>
      </c>
      <c r="BN223">
        <v>0</v>
      </c>
      <c r="BO223" s="6">
        <v>0</v>
      </c>
      <c r="BP223">
        <v>0</v>
      </c>
      <c r="BQ223">
        <v>0</v>
      </c>
      <c r="BR223">
        <v>0</v>
      </c>
    </row>
    <row r="224" spans="1:70" ht="15" customHeight="1" x14ac:dyDescent="0.35">
      <c r="A224" s="1" t="str">
        <f t="shared" si="7"/>
        <v>687Z</v>
      </c>
      <c r="B224" t="s">
        <v>1229</v>
      </c>
      <c r="C224" t="s">
        <v>1230</v>
      </c>
      <c r="D224" t="s">
        <v>1231</v>
      </c>
      <c r="E224" t="s">
        <v>1232</v>
      </c>
      <c r="F224" t="s">
        <v>501</v>
      </c>
      <c r="G224" t="s">
        <v>502</v>
      </c>
      <c r="H224" t="s">
        <v>502</v>
      </c>
      <c r="I224" t="s">
        <v>137</v>
      </c>
      <c r="J224" t="b">
        <v>0</v>
      </c>
      <c r="K224" t="s">
        <v>78</v>
      </c>
      <c r="L224" t="s">
        <v>79</v>
      </c>
      <c r="N224" t="s">
        <v>81</v>
      </c>
      <c r="O224" t="s">
        <v>82</v>
      </c>
      <c r="P224" t="s">
        <v>83</v>
      </c>
      <c r="Q224" t="s">
        <v>503</v>
      </c>
      <c r="R224">
        <v>15</v>
      </c>
      <c r="S224" t="s">
        <v>121</v>
      </c>
      <c r="T224" t="s">
        <v>121</v>
      </c>
      <c r="U224">
        <v>1111111</v>
      </c>
      <c r="V224" t="s">
        <v>122</v>
      </c>
      <c r="W224" t="s">
        <v>550</v>
      </c>
      <c r="X224" t="s">
        <v>551</v>
      </c>
      <c r="Y224" t="s">
        <v>89</v>
      </c>
      <c r="Z224" t="s">
        <v>90</v>
      </c>
      <c r="AA224" t="s">
        <v>506</v>
      </c>
      <c r="AB224">
        <v>1</v>
      </c>
      <c r="AC224">
        <v>6</v>
      </c>
      <c r="AD224" t="b">
        <v>1</v>
      </c>
      <c r="AE224">
        <v>2023</v>
      </c>
      <c r="AF224" s="3">
        <v>367</v>
      </c>
      <c r="AG224" s="3">
        <v>45061</v>
      </c>
      <c r="AH224" s="3">
        <v>46157</v>
      </c>
      <c r="AJ224" s="4">
        <f>VLOOKUP(A224,'[1]1'!B:Q,16,0)</f>
        <v>900</v>
      </c>
      <c r="AK224" s="7">
        <f t="shared" si="8"/>
        <v>3.6</v>
      </c>
      <c r="AL224" s="3">
        <v>367</v>
      </c>
      <c r="AM224" s="3">
        <v>367</v>
      </c>
      <c r="AN224">
        <v>-8.6233822</v>
      </c>
      <c r="AO224">
        <v>115.2350568</v>
      </c>
      <c r="AP224" t="s">
        <v>1233</v>
      </c>
      <c r="AT224">
        <v>99.75</v>
      </c>
      <c r="AW224">
        <v>0</v>
      </c>
      <c r="AX224">
        <v>0</v>
      </c>
      <c r="BA224">
        <v>0</v>
      </c>
      <c r="BB224">
        <v>0</v>
      </c>
      <c r="BE224">
        <v>0</v>
      </c>
      <c r="BF224">
        <v>0</v>
      </c>
      <c r="BJ224">
        <v>0</v>
      </c>
      <c r="BL224">
        <v>0</v>
      </c>
      <c r="BN224">
        <v>0</v>
      </c>
      <c r="BO224" s="6">
        <v>0</v>
      </c>
      <c r="BP224">
        <v>0</v>
      </c>
      <c r="BQ224">
        <v>0</v>
      </c>
      <c r="BR224">
        <v>0</v>
      </c>
    </row>
    <row r="225" spans="1:70" ht="15" customHeight="1" x14ac:dyDescent="0.35">
      <c r="A225" s="1" t="str">
        <f t="shared" si="7"/>
        <v>660D</v>
      </c>
      <c r="B225" t="s">
        <v>1234</v>
      </c>
      <c r="C225" t="s">
        <v>1235</v>
      </c>
      <c r="D225" t="s">
        <v>1236</v>
      </c>
      <c r="E225" t="s">
        <v>1237</v>
      </c>
      <c r="F225" t="s">
        <v>537</v>
      </c>
      <c r="G225" t="s">
        <v>502</v>
      </c>
      <c r="H225" t="s">
        <v>502</v>
      </c>
      <c r="I225" t="s">
        <v>1238</v>
      </c>
      <c r="J225" t="b">
        <v>0</v>
      </c>
      <c r="K225" t="s">
        <v>78</v>
      </c>
      <c r="L225" t="s">
        <v>79</v>
      </c>
      <c r="N225" t="s">
        <v>81</v>
      </c>
      <c r="O225" t="s">
        <v>82</v>
      </c>
      <c r="P225" t="s">
        <v>83</v>
      </c>
      <c r="Q225" t="s">
        <v>503</v>
      </c>
      <c r="R225">
        <v>24</v>
      </c>
      <c r="S225" t="s">
        <v>85</v>
      </c>
      <c r="T225" t="s">
        <v>85</v>
      </c>
      <c r="U225">
        <v>1111111</v>
      </c>
      <c r="V225" t="s">
        <v>122</v>
      </c>
      <c r="W225" t="s">
        <v>550</v>
      </c>
      <c r="X225" t="s">
        <v>551</v>
      </c>
      <c r="Y225" t="s">
        <v>89</v>
      </c>
      <c r="Z225" t="s">
        <v>90</v>
      </c>
      <c r="AA225" t="s">
        <v>506</v>
      </c>
      <c r="AB225">
        <v>1</v>
      </c>
      <c r="AC225">
        <v>6</v>
      </c>
      <c r="AD225" t="b">
        <v>1</v>
      </c>
      <c r="AE225">
        <v>2023</v>
      </c>
      <c r="AF225" s="3">
        <v>367</v>
      </c>
      <c r="AG225" s="3">
        <v>45061</v>
      </c>
      <c r="AH225" s="3">
        <v>46157</v>
      </c>
      <c r="AJ225" s="4">
        <f>VLOOKUP(A225,'[1]1'!B:Q,16,0)</f>
        <v>1440</v>
      </c>
      <c r="AK225" s="7">
        <f t="shared" si="8"/>
        <v>5.76</v>
      </c>
      <c r="AL225" s="3">
        <v>367</v>
      </c>
      <c r="AM225" s="3">
        <v>367</v>
      </c>
      <c r="AN225">
        <v>-8.5919761999999995</v>
      </c>
      <c r="AO225">
        <v>115.2660058</v>
      </c>
      <c r="AP225" t="s">
        <v>1237</v>
      </c>
      <c r="AT225">
        <v>99.75</v>
      </c>
      <c r="AW225">
        <v>0</v>
      </c>
      <c r="AX225">
        <v>0</v>
      </c>
      <c r="BA225">
        <v>0</v>
      </c>
      <c r="BB225">
        <v>0</v>
      </c>
      <c r="BE225">
        <v>0</v>
      </c>
      <c r="BF225">
        <v>0</v>
      </c>
      <c r="BJ225">
        <v>0</v>
      </c>
      <c r="BL225">
        <v>0</v>
      </c>
      <c r="BN225">
        <v>0</v>
      </c>
      <c r="BO225" s="6">
        <v>0</v>
      </c>
      <c r="BP225">
        <v>0</v>
      </c>
      <c r="BQ225">
        <v>0</v>
      </c>
      <c r="BR225">
        <v>0</v>
      </c>
    </row>
    <row r="226" spans="1:70" ht="15" customHeight="1" x14ac:dyDescent="0.35">
      <c r="A226" s="1" t="str">
        <f t="shared" si="7"/>
        <v>407D</v>
      </c>
      <c r="B226" t="s">
        <v>1239</v>
      </c>
      <c r="C226" t="s">
        <v>1240</v>
      </c>
      <c r="D226" t="s">
        <v>1241</v>
      </c>
      <c r="E226" t="s">
        <v>1242</v>
      </c>
      <c r="F226" t="s">
        <v>537</v>
      </c>
      <c r="G226" t="s">
        <v>502</v>
      </c>
      <c r="H226" t="s">
        <v>502</v>
      </c>
      <c r="I226" t="s">
        <v>148</v>
      </c>
      <c r="J226" t="b">
        <v>0</v>
      </c>
      <c r="K226" t="s">
        <v>78</v>
      </c>
      <c r="L226" t="s">
        <v>79</v>
      </c>
      <c r="N226" t="s">
        <v>81</v>
      </c>
      <c r="O226" t="s">
        <v>82</v>
      </c>
      <c r="P226" t="s">
        <v>83</v>
      </c>
      <c r="Q226" t="s">
        <v>503</v>
      </c>
      <c r="R226">
        <v>24</v>
      </c>
      <c r="S226" t="s">
        <v>85</v>
      </c>
      <c r="T226" t="s">
        <v>85</v>
      </c>
      <c r="U226">
        <v>1111111</v>
      </c>
      <c r="V226" t="s">
        <v>122</v>
      </c>
      <c r="W226" t="s">
        <v>529</v>
      </c>
      <c r="X226" t="s">
        <v>530</v>
      </c>
      <c r="Y226" t="s">
        <v>89</v>
      </c>
      <c r="Z226" t="s">
        <v>90</v>
      </c>
      <c r="AA226" t="s">
        <v>506</v>
      </c>
      <c r="AB226">
        <v>1</v>
      </c>
      <c r="AC226">
        <v>6</v>
      </c>
      <c r="AD226" t="b">
        <v>1</v>
      </c>
      <c r="AE226">
        <v>2023</v>
      </c>
      <c r="AF226" s="3">
        <v>367</v>
      </c>
      <c r="AG226" s="3">
        <v>45061</v>
      </c>
      <c r="AH226" s="3">
        <v>46157</v>
      </c>
      <c r="AJ226" s="4">
        <f>VLOOKUP(A226,'[1]1'!B:Q,16,0)</f>
        <v>1440</v>
      </c>
      <c r="AK226" s="7">
        <f t="shared" si="8"/>
        <v>5.76</v>
      </c>
      <c r="AL226" s="3">
        <v>367</v>
      </c>
      <c r="AM226" s="3">
        <v>367</v>
      </c>
      <c r="AN226">
        <v>-8.5011422999999997</v>
      </c>
      <c r="AO226">
        <v>115.2421755</v>
      </c>
      <c r="AP226" t="s">
        <v>1243</v>
      </c>
      <c r="AT226">
        <v>99.75</v>
      </c>
      <c r="AW226">
        <v>0</v>
      </c>
      <c r="AX226">
        <v>0</v>
      </c>
      <c r="BA226">
        <v>0</v>
      </c>
      <c r="BB226">
        <v>0</v>
      </c>
      <c r="BE226">
        <v>0</v>
      </c>
      <c r="BF226">
        <v>0</v>
      </c>
      <c r="BJ226">
        <v>0</v>
      </c>
      <c r="BL226">
        <v>0</v>
      </c>
      <c r="BN226">
        <v>0</v>
      </c>
      <c r="BO226" s="6">
        <v>0</v>
      </c>
      <c r="BP226">
        <v>0</v>
      </c>
      <c r="BQ226">
        <v>0</v>
      </c>
      <c r="BR226">
        <v>0</v>
      </c>
    </row>
    <row r="227" spans="1:70" ht="15" customHeight="1" x14ac:dyDescent="0.35">
      <c r="A227" s="1" t="str">
        <f t="shared" si="7"/>
        <v>554H</v>
      </c>
      <c r="B227" t="s">
        <v>1244</v>
      </c>
      <c r="C227" t="s">
        <v>1245</v>
      </c>
      <c r="D227" t="s">
        <v>1246</v>
      </c>
      <c r="E227" t="s">
        <v>1247</v>
      </c>
      <c r="F227" t="s">
        <v>537</v>
      </c>
      <c r="G227" t="s">
        <v>502</v>
      </c>
      <c r="H227" t="s">
        <v>502</v>
      </c>
      <c r="I227" t="s">
        <v>148</v>
      </c>
      <c r="J227" t="b">
        <v>0</v>
      </c>
      <c r="K227" t="s">
        <v>78</v>
      </c>
      <c r="L227" t="s">
        <v>79</v>
      </c>
      <c r="N227" t="s">
        <v>81</v>
      </c>
      <c r="O227" t="s">
        <v>82</v>
      </c>
      <c r="P227" t="s">
        <v>83</v>
      </c>
      <c r="Q227" t="s">
        <v>503</v>
      </c>
      <c r="R227">
        <v>24</v>
      </c>
      <c r="S227" t="s">
        <v>85</v>
      </c>
      <c r="T227" t="s">
        <v>85</v>
      </c>
      <c r="U227">
        <v>1111111</v>
      </c>
      <c r="V227" t="s">
        <v>122</v>
      </c>
      <c r="W227" t="s">
        <v>550</v>
      </c>
      <c r="X227" t="s">
        <v>551</v>
      </c>
      <c r="Y227" t="s">
        <v>89</v>
      </c>
      <c r="Z227" t="s">
        <v>90</v>
      </c>
      <c r="AA227" t="s">
        <v>506</v>
      </c>
      <c r="AB227">
        <v>1</v>
      </c>
      <c r="AC227">
        <v>6</v>
      </c>
      <c r="AD227" t="b">
        <v>1</v>
      </c>
      <c r="AE227">
        <v>2023</v>
      </c>
      <c r="AF227" s="3">
        <v>367</v>
      </c>
      <c r="AG227" s="3">
        <v>45061</v>
      </c>
      <c r="AH227" s="3">
        <v>46157</v>
      </c>
      <c r="AJ227" s="4">
        <f>VLOOKUP(A227,'[1]1'!B:Q,16,0)</f>
        <v>1440</v>
      </c>
      <c r="AK227" s="7">
        <f t="shared" si="8"/>
        <v>5.76</v>
      </c>
      <c r="AL227" s="3">
        <v>367</v>
      </c>
      <c r="AM227" s="3">
        <v>367</v>
      </c>
      <c r="AN227">
        <v>-8.5227128000000008</v>
      </c>
      <c r="AO227">
        <v>115.27963769999999</v>
      </c>
      <c r="AP227" t="s">
        <v>1247</v>
      </c>
      <c r="AT227">
        <v>99.75</v>
      </c>
      <c r="AW227">
        <v>0</v>
      </c>
      <c r="AX227">
        <v>0</v>
      </c>
      <c r="BA227">
        <v>0</v>
      </c>
      <c r="BB227">
        <v>0</v>
      </c>
      <c r="BE227">
        <v>0</v>
      </c>
      <c r="BF227">
        <v>0</v>
      </c>
      <c r="BJ227">
        <v>0</v>
      </c>
      <c r="BL227">
        <v>0</v>
      </c>
      <c r="BN227">
        <v>0</v>
      </c>
      <c r="BO227" s="6">
        <v>0</v>
      </c>
      <c r="BP227">
        <v>0</v>
      </c>
      <c r="BQ227">
        <v>0</v>
      </c>
      <c r="BR227">
        <v>0</v>
      </c>
    </row>
    <row r="228" spans="1:70" ht="15" customHeight="1" x14ac:dyDescent="0.35">
      <c r="A228" s="1" t="str">
        <f t="shared" si="7"/>
        <v>00V8</v>
      </c>
      <c r="B228" t="s">
        <v>1248</v>
      </c>
      <c r="C228" t="s">
        <v>1249</v>
      </c>
      <c r="D228" t="s">
        <v>1250</v>
      </c>
      <c r="E228" t="s">
        <v>1251</v>
      </c>
      <c r="F228" t="s">
        <v>516</v>
      </c>
      <c r="G228" t="s">
        <v>502</v>
      </c>
      <c r="H228" t="s">
        <v>502</v>
      </c>
      <c r="I228" t="s">
        <v>137</v>
      </c>
      <c r="J228" t="b">
        <v>0</v>
      </c>
      <c r="K228" t="s">
        <v>78</v>
      </c>
      <c r="L228" t="s">
        <v>79</v>
      </c>
      <c r="N228" t="s">
        <v>81</v>
      </c>
      <c r="O228" t="s">
        <v>82</v>
      </c>
      <c r="P228" t="s">
        <v>83</v>
      </c>
      <c r="Q228" t="s">
        <v>503</v>
      </c>
      <c r="R228">
        <v>24</v>
      </c>
      <c r="S228" t="s">
        <v>85</v>
      </c>
      <c r="T228" t="s">
        <v>85</v>
      </c>
      <c r="U228">
        <v>1111111</v>
      </c>
      <c r="V228" t="s">
        <v>122</v>
      </c>
      <c r="W228" t="s">
        <v>504</v>
      </c>
      <c r="X228" t="s">
        <v>505</v>
      </c>
      <c r="Y228" t="s">
        <v>89</v>
      </c>
      <c r="Z228" t="s">
        <v>90</v>
      </c>
      <c r="AA228" t="s">
        <v>506</v>
      </c>
      <c r="AB228">
        <v>1</v>
      </c>
      <c r="AC228">
        <v>6</v>
      </c>
      <c r="AD228" t="b">
        <v>1</v>
      </c>
      <c r="AE228">
        <v>2023</v>
      </c>
      <c r="AF228" s="3">
        <v>367</v>
      </c>
      <c r="AG228" s="3">
        <v>45061</v>
      </c>
      <c r="AH228" s="3">
        <v>46157</v>
      </c>
      <c r="AJ228" s="4">
        <f>VLOOKUP(A228,'[1]1'!B:Q,16,0)</f>
        <v>1440</v>
      </c>
      <c r="AK228" s="7">
        <f t="shared" si="8"/>
        <v>5.76</v>
      </c>
      <c r="AL228" s="3">
        <v>367</v>
      </c>
      <c r="AM228" s="3">
        <v>367</v>
      </c>
      <c r="AN228">
        <v>-8.8016441000000007</v>
      </c>
      <c r="AO228">
        <v>115.1857663</v>
      </c>
      <c r="AP228" t="s">
        <v>1252</v>
      </c>
      <c r="AT228">
        <v>99.75</v>
      </c>
      <c r="AW228">
        <v>0</v>
      </c>
      <c r="AX228">
        <v>0</v>
      </c>
      <c r="BA228">
        <v>0</v>
      </c>
      <c r="BB228">
        <v>0</v>
      </c>
      <c r="BE228">
        <v>0</v>
      </c>
      <c r="BF228">
        <v>0</v>
      </c>
      <c r="BJ228">
        <v>0</v>
      </c>
      <c r="BL228">
        <v>0</v>
      </c>
      <c r="BN228">
        <v>0</v>
      </c>
      <c r="BO228" s="6">
        <v>0</v>
      </c>
      <c r="BP228">
        <v>0</v>
      </c>
      <c r="BQ228">
        <v>0</v>
      </c>
      <c r="BR228">
        <v>0</v>
      </c>
    </row>
    <row r="229" spans="1:70" ht="15" customHeight="1" x14ac:dyDescent="0.35">
      <c r="A229" s="1" t="str">
        <f t="shared" si="7"/>
        <v>694K</v>
      </c>
      <c r="B229" t="s">
        <v>1253</v>
      </c>
      <c r="C229" t="s">
        <v>1254</v>
      </c>
      <c r="D229" t="s">
        <v>1255</v>
      </c>
      <c r="E229" t="s">
        <v>1256</v>
      </c>
      <c r="F229" t="s">
        <v>516</v>
      </c>
      <c r="G229" t="s">
        <v>502</v>
      </c>
      <c r="H229" t="s">
        <v>502</v>
      </c>
      <c r="I229" t="s">
        <v>113</v>
      </c>
      <c r="J229" t="b">
        <v>0</v>
      </c>
      <c r="K229" t="s">
        <v>78</v>
      </c>
      <c r="L229" t="s">
        <v>79</v>
      </c>
      <c r="N229" t="s">
        <v>81</v>
      </c>
      <c r="O229" t="s">
        <v>82</v>
      </c>
      <c r="P229" t="s">
        <v>83</v>
      </c>
      <c r="Q229" t="s">
        <v>503</v>
      </c>
      <c r="R229">
        <v>24</v>
      </c>
      <c r="S229" t="s">
        <v>85</v>
      </c>
      <c r="T229" t="s">
        <v>121</v>
      </c>
      <c r="U229">
        <v>1111111</v>
      </c>
      <c r="V229" t="s">
        <v>122</v>
      </c>
      <c r="W229" t="s">
        <v>504</v>
      </c>
      <c r="X229" t="s">
        <v>505</v>
      </c>
      <c r="Y229" t="s">
        <v>89</v>
      </c>
      <c r="Z229" t="s">
        <v>90</v>
      </c>
      <c r="AA229" t="s">
        <v>506</v>
      </c>
      <c r="AB229">
        <v>1</v>
      </c>
      <c r="AC229">
        <v>6</v>
      </c>
      <c r="AD229" t="b">
        <v>1</v>
      </c>
      <c r="AE229">
        <v>2023</v>
      </c>
      <c r="AF229" s="3">
        <v>367</v>
      </c>
      <c r="AG229" s="3">
        <v>45082</v>
      </c>
      <c r="AH229" s="3">
        <v>46174</v>
      </c>
      <c r="AJ229" s="4">
        <f>VLOOKUP(A229,'[1]1'!B:Q,16,0)</f>
        <v>1440</v>
      </c>
      <c r="AK229" s="7">
        <f t="shared" si="8"/>
        <v>5.76</v>
      </c>
      <c r="AL229" s="3">
        <v>367</v>
      </c>
      <c r="AM229" s="3">
        <v>367</v>
      </c>
      <c r="AN229">
        <v>-8.7811810000000001</v>
      </c>
      <c r="AO229">
        <v>115.22438889999999</v>
      </c>
      <c r="AP229" t="s">
        <v>1257</v>
      </c>
      <c r="AT229">
        <v>99.75</v>
      </c>
      <c r="AW229">
        <v>0</v>
      </c>
      <c r="AX229">
        <v>0</v>
      </c>
      <c r="BA229">
        <v>0</v>
      </c>
      <c r="BB229">
        <v>0</v>
      </c>
      <c r="BE229">
        <v>0</v>
      </c>
      <c r="BF229">
        <v>0</v>
      </c>
      <c r="BJ229">
        <v>0</v>
      </c>
      <c r="BL229">
        <v>0</v>
      </c>
      <c r="BN229">
        <v>0</v>
      </c>
      <c r="BO229" s="6">
        <v>0</v>
      </c>
      <c r="BP229">
        <v>0</v>
      </c>
      <c r="BQ229">
        <v>0</v>
      </c>
      <c r="BR229">
        <v>0</v>
      </c>
    </row>
    <row r="230" spans="1:70" ht="15" customHeight="1" x14ac:dyDescent="0.35">
      <c r="A230" s="1" t="str">
        <f t="shared" si="7"/>
        <v>646W</v>
      </c>
      <c r="B230" t="s">
        <v>1258</v>
      </c>
      <c r="C230" t="s">
        <v>1259</v>
      </c>
      <c r="D230" t="s">
        <v>1260</v>
      </c>
      <c r="E230" t="s">
        <v>1261</v>
      </c>
      <c r="F230" t="s">
        <v>516</v>
      </c>
      <c r="G230" t="s">
        <v>502</v>
      </c>
      <c r="H230" t="s">
        <v>502</v>
      </c>
      <c r="I230" t="s">
        <v>137</v>
      </c>
      <c r="J230" t="b">
        <v>0</v>
      </c>
      <c r="K230" t="s">
        <v>78</v>
      </c>
      <c r="L230" t="s">
        <v>79</v>
      </c>
      <c r="N230" t="s">
        <v>81</v>
      </c>
      <c r="O230" t="s">
        <v>82</v>
      </c>
      <c r="P230" t="s">
        <v>83</v>
      </c>
      <c r="Q230" t="s">
        <v>503</v>
      </c>
      <c r="R230">
        <v>15</v>
      </c>
      <c r="S230" t="s">
        <v>85</v>
      </c>
      <c r="T230" t="s">
        <v>121</v>
      </c>
      <c r="U230">
        <v>1111111</v>
      </c>
      <c r="V230" t="s">
        <v>122</v>
      </c>
      <c r="W230" t="s">
        <v>517</v>
      </c>
      <c r="X230" t="s">
        <v>518</v>
      </c>
      <c r="Y230" t="s">
        <v>89</v>
      </c>
      <c r="Z230" t="s">
        <v>90</v>
      </c>
      <c r="AA230" t="s">
        <v>506</v>
      </c>
      <c r="AB230">
        <v>1</v>
      </c>
      <c r="AC230">
        <v>6</v>
      </c>
      <c r="AD230" t="b">
        <v>1</v>
      </c>
      <c r="AE230">
        <v>2023</v>
      </c>
      <c r="AF230" s="3">
        <v>367</v>
      </c>
      <c r="AG230" s="3">
        <v>45082</v>
      </c>
      <c r="AH230" s="3">
        <v>46174</v>
      </c>
      <c r="AJ230" s="4">
        <f>VLOOKUP(A230,'[1]1'!B:Q,16,0)</f>
        <v>1440</v>
      </c>
      <c r="AK230" s="7">
        <f t="shared" si="8"/>
        <v>5.76</v>
      </c>
      <c r="AL230" s="3">
        <v>367</v>
      </c>
      <c r="AM230" s="3">
        <v>367</v>
      </c>
      <c r="AN230">
        <v>-8.6417005000000007</v>
      </c>
      <c r="AO230">
        <v>115.155716</v>
      </c>
      <c r="AP230" t="s">
        <v>1261</v>
      </c>
      <c r="AT230">
        <v>99.75</v>
      </c>
      <c r="AW230">
        <v>0</v>
      </c>
      <c r="AX230">
        <v>0</v>
      </c>
      <c r="BA230">
        <v>0</v>
      </c>
      <c r="BB230">
        <v>0</v>
      </c>
      <c r="BE230">
        <v>0</v>
      </c>
      <c r="BF230">
        <v>0</v>
      </c>
      <c r="BJ230">
        <v>0</v>
      </c>
      <c r="BL230">
        <v>0</v>
      </c>
      <c r="BN230">
        <v>0</v>
      </c>
      <c r="BO230" s="6">
        <v>0</v>
      </c>
      <c r="BP230">
        <v>0</v>
      </c>
      <c r="BQ230">
        <v>0</v>
      </c>
      <c r="BR230">
        <v>0</v>
      </c>
    </row>
    <row r="231" spans="1:70" ht="15" customHeight="1" x14ac:dyDescent="0.35">
      <c r="A231" s="1" t="str">
        <f t="shared" si="7"/>
        <v>418P</v>
      </c>
      <c r="B231" t="s">
        <v>1262</v>
      </c>
      <c r="C231" t="s">
        <v>1263</v>
      </c>
      <c r="D231" t="s">
        <v>1264</v>
      </c>
      <c r="E231" t="s">
        <v>1265</v>
      </c>
      <c r="F231" t="s">
        <v>516</v>
      </c>
      <c r="G231" t="s">
        <v>502</v>
      </c>
      <c r="H231" t="s">
        <v>502</v>
      </c>
      <c r="I231" t="s">
        <v>137</v>
      </c>
      <c r="J231" t="b">
        <v>0</v>
      </c>
      <c r="K231" t="s">
        <v>78</v>
      </c>
      <c r="L231" t="s">
        <v>79</v>
      </c>
      <c r="N231" t="s">
        <v>81</v>
      </c>
      <c r="O231" t="s">
        <v>82</v>
      </c>
      <c r="P231" t="s">
        <v>83</v>
      </c>
      <c r="Q231" t="s">
        <v>503</v>
      </c>
      <c r="R231">
        <v>24</v>
      </c>
      <c r="S231" t="s">
        <v>85</v>
      </c>
      <c r="T231" t="s">
        <v>121</v>
      </c>
      <c r="U231">
        <v>1111111</v>
      </c>
      <c r="V231" t="s">
        <v>122</v>
      </c>
      <c r="W231" t="s">
        <v>504</v>
      </c>
      <c r="X231" t="s">
        <v>505</v>
      </c>
      <c r="Y231" t="s">
        <v>89</v>
      </c>
      <c r="Z231" t="s">
        <v>90</v>
      </c>
      <c r="AA231" t="s">
        <v>506</v>
      </c>
      <c r="AB231">
        <v>1</v>
      </c>
      <c r="AC231">
        <v>6</v>
      </c>
      <c r="AD231" t="b">
        <v>1</v>
      </c>
      <c r="AE231">
        <v>2023</v>
      </c>
      <c r="AF231" s="3">
        <v>367</v>
      </c>
      <c r="AG231" s="3">
        <v>45082</v>
      </c>
      <c r="AH231" s="3">
        <v>46174</v>
      </c>
      <c r="AJ231" s="4">
        <f>VLOOKUP(A231,'[1]1'!B:Q,16,0)</f>
        <v>1440</v>
      </c>
      <c r="AK231" s="7">
        <f t="shared" si="8"/>
        <v>5.76</v>
      </c>
      <c r="AL231" s="3">
        <v>367</v>
      </c>
      <c r="AM231" s="3">
        <v>367</v>
      </c>
      <c r="AN231">
        <v>-8.8043493000000002</v>
      </c>
      <c r="AO231">
        <v>115.21701969999999</v>
      </c>
      <c r="AP231" t="s">
        <v>1266</v>
      </c>
      <c r="AT231">
        <v>99.75</v>
      </c>
      <c r="AW231">
        <v>0</v>
      </c>
      <c r="AX231">
        <v>0</v>
      </c>
      <c r="BA231">
        <v>0</v>
      </c>
      <c r="BB231">
        <v>0</v>
      </c>
      <c r="BE231">
        <v>0</v>
      </c>
      <c r="BF231">
        <v>0</v>
      </c>
      <c r="BJ231">
        <v>0</v>
      </c>
      <c r="BL231">
        <v>0</v>
      </c>
      <c r="BN231">
        <v>0</v>
      </c>
      <c r="BO231" s="6">
        <v>0</v>
      </c>
      <c r="BP231">
        <v>0</v>
      </c>
      <c r="BQ231">
        <v>0</v>
      </c>
      <c r="BR231">
        <v>0</v>
      </c>
    </row>
    <row r="232" spans="1:70" ht="15" customHeight="1" x14ac:dyDescent="0.35">
      <c r="A232" s="1" t="str">
        <f t="shared" si="7"/>
        <v>00TY</v>
      </c>
      <c r="B232" t="s">
        <v>1267</v>
      </c>
      <c r="C232" t="s">
        <v>1268</v>
      </c>
      <c r="D232" t="s">
        <v>1269</v>
      </c>
      <c r="E232" t="s">
        <v>1270</v>
      </c>
      <c r="F232" t="s">
        <v>724</v>
      </c>
      <c r="G232" t="s">
        <v>502</v>
      </c>
      <c r="H232" t="s">
        <v>502</v>
      </c>
      <c r="I232" t="s">
        <v>137</v>
      </c>
      <c r="J232" t="b">
        <v>0</v>
      </c>
      <c r="K232" t="s">
        <v>78</v>
      </c>
      <c r="L232" t="s">
        <v>79</v>
      </c>
      <c r="N232" t="s">
        <v>81</v>
      </c>
      <c r="O232" t="s">
        <v>82</v>
      </c>
      <c r="P232" t="s">
        <v>83</v>
      </c>
      <c r="Q232" t="s">
        <v>503</v>
      </c>
      <c r="R232">
        <v>24</v>
      </c>
      <c r="S232" t="s">
        <v>85</v>
      </c>
      <c r="T232" t="s">
        <v>121</v>
      </c>
      <c r="U232">
        <v>1111111</v>
      </c>
      <c r="V232" t="s">
        <v>122</v>
      </c>
      <c r="W232" t="s">
        <v>517</v>
      </c>
      <c r="X232" t="s">
        <v>518</v>
      </c>
      <c r="Y232" t="s">
        <v>89</v>
      </c>
      <c r="Z232" t="s">
        <v>90</v>
      </c>
      <c r="AA232" t="s">
        <v>506</v>
      </c>
      <c r="AB232">
        <v>1</v>
      </c>
      <c r="AC232">
        <v>6</v>
      </c>
      <c r="AD232" t="b">
        <v>1</v>
      </c>
      <c r="AE232">
        <v>2023</v>
      </c>
      <c r="AF232" s="3">
        <v>367</v>
      </c>
      <c r="AG232" s="3">
        <v>45082</v>
      </c>
      <c r="AH232" s="3">
        <v>46174</v>
      </c>
      <c r="AJ232" s="4">
        <f>VLOOKUP(A232,'[1]1'!B:Q,16,0)</f>
        <v>1440</v>
      </c>
      <c r="AK232" s="7">
        <f t="shared" si="8"/>
        <v>5.76</v>
      </c>
      <c r="AL232" s="3">
        <v>367</v>
      </c>
      <c r="AM232" s="3">
        <v>367</v>
      </c>
      <c r="AN232">
        <v>-8.5355361999999992</v>
      </c>
      <c r="AO232">
        <v>115.1396489</v>
      </c>
      <c r="AP232" t="s">
        <v>1271</v>
      </c>
      <c r="AT232">
        <v>99.75</v>
      </c>
      <c r="AW232">
        <v>0</v>
      </c>
      <c r="AX232">
        <v>0</v>
      </c>
      <c r="BA232">
        <v>0</v>
      </c>
      <c r="BB232">
        <v>0</v>
      </c>
      <c r="BE232">
        <v>0</v>
      </c>
      <c r="BF232">
        <v>0</v>
      </c>
      <c r="BJ232">
        <v>0</v>
      </c>
      <c r="BL232">
        <v>0</v>
      </c>
      <c r="BN232">
        <v>0</v>
      </c>
      <c r="BO232" s="6">
        <v>0</v>
      </c>
      <c r="BP232">
        <v>0</v>
      </c>
      <c r="BQ232">
        <v>0</v>
      </c>
      <c r="BR232">
        <v>0</v>
      </c>
    </row>
    <row r="233" spans="1:70" ht="15" customHeight="1" x14ac:dyDescent="0.35">
      <c r="A233" s="1" t="str">
        <f t="shared" si="7"/>
        <v>016M</v>
      </c>
      <c r="B233" t="s">
        <v>1272</v>
      </c>
      <c r="C233" t="s">
        <v>1273</v>
      </c>
      <c r="D233" t="s">
        <v>1274</v>
      </c>
      <c r="E233" t="s">
        <v>1275</v>
      </c>
      <c r="F233" t="s">
        <v>516</v>
      </c>
      <c r="G233" t="s">
        <v>502</v>
      </c>
      <c r="H233" t="s">
        <v>502</v>
      </c>
      <c r="I233" t="s">
        <v>1276</v>
      </c>
      <c r="J233" t="b">
        <v>0</v>
      </c>
      <c r="K233" t="s">
        <v>78</v>
      </c>
      <c r="L233" t="s">
        <v>79</v>
      </c>
      <c r="N233" t="s">
        <v>81</v>
      </c>
      <c r="O233" t="s">
        <v>82</v>
      </c>
      <c r="P233" t="s">
        <v>83</v>
      </c>
      <c r="Q233" t="s">
        <v>503</v>
      </c>
      <c r="R233">
        <v>24</v>
      </c>
      <c r="S233" t="s">
        <v>85</v>
      </c>
      <c r="T233" t="s">
        <v>85</v>
      </c>
      <c r="U233">
        <v>1111111</v>
      </c>
      <c r="V233" t="s">
        <v>122</v>
      </c>
      <c r="W233" t="s">
        <v>523</v>
      </c>
      <c r="X233" t="s">
        <v>524</v>
      </c>
      <c r="Y233" t="s">
        <v>89</v>
      </c>
      <c r="Z233" t="s">
        <v>90</v>
      </c>
      <c r="AA233" t="s">
        <v>506</v>
      </c>
      <c r="AB233">
        <v>1</v>
      </c>
      <c r="AC233">
        <v>6</v>
      </c>
      <c r="AD233" t="b">
        <v>1</v>
      </c>
      <c r="AE233">
        <v>2023</v>
      </c>
      <c r="AF233" s="3">
        <v>367</v>
      </c>
      <c r="AG233" s="3">
        <v>45082</v>
      </c>
      <c r="AH233" s="3">
        <v>46174</v>
      </c>
      <c r="AJ233" s="4">
        <f>VLOOKUP(A233,'[1]1'!B:Q,16,0)</f>
        <v>1440</v>
      </c>
      <c r="AK233" s="7">
        <f t="shared" si="8"/>
        <v>5.76</v>
      </c>
      <c r="AL233" s="3">
        <v>367</v>
      </c>
      <c r="AM233" s="3">
        <v>367</v>
      </c>
      <c r="AN233">
        <v>-8.7158072000000004</v>
      </c>
      <c r="AO233">
        <v>115.1854223</v>
      </c>
      <c r="AP233" t="s">
        <v>1277</v>
      </c>
      <c r="AT233">
        <v>99.75</v>
      </c>
      <c r="AW233">
        <v>0</v>
      </c>
      <c r="AX233">
        <v>0</v>
      </c>
      <c r="BA233">
        <v>0</v>
      </c>
      <c r="BB233">
        <v>0</v>
      </c>
      <c r="BE233">
        <v>0</v>
      </c>
      <c r="BF233">
        <v>0</v>
      </c>
      <c r="BJ233">
        <v>0</v>
      </c>
      <c r="BL233">
        <v>0</v>
      </c>
      <c r="BN233">
        <v>0</v>
      </c>
      <c r="BO233" s="6">
        <v>0</v>
      </c>
      <c r="BP233">
        <v>0</v>
      </c>
      <c r="BQ233">
        <v>0</v>
      </c>
      <c r="BR233">
        <v>0</v>
      </c>
    </row>
    <row r="234" spans="1:70" ht="15" customHeight="1" x14ac:dyDescent="0.35">
      <c r="A234" s="1" t="str">
        <f t="shared" si="7"/>
        <v>625H</v>
      </c>
      <c r="B234" t="s">
        <v>1278</v>
      </c>
      <c r="C234" t="s">
        <v>1279</v>
      </c>
      <c r="D234" t="s">
        <v>1280</v>
      </c>
      <c r="E234" t="s">
        <v>1281</v>
      </c>
      <c r="F234" t="s">
        <v>724</v>
      </c>
      <c r="G234" t="s">
        <v>502</v>
      </c>
      <c r="H234" t="s">
        <v>502</v>
      </c>
      <c r="I234" t="s">
        <v>137</v>
      </c>
      <c r="J234" t="b">
        <v>0</v>
      </c>
      <c r="K234" t="s">
        <v>78</v>
      </c>
      <c r="L234" t="s">
        <v>79</v>
      </c>
      <c r="N234" t="s">
        <v>81</v>
      </c>
      <c r="O234" t="s">
        <v>82</v>
      </c>
      <c r="P234" t="s">
        <v>83</v>
      </c>
      <c r="Q234" t="s">
        <v>503</v>
      </c>
      <c r="R234">
        <v>15</v>
      </c>
      <c r="S234" t="s">
        <v>121</v>
      </c>
      <c r="T234" t="s">
        <v>121</v>
      </c>
      <c r="U234">
        <v>1111111</v>
      </c>
      <c r="V234" t="s">
        <v>122</v>
      </c>
      <c r="W234" t="s">
        <v>517</v>
      </c>
      <c r="X234" t="s">
        <v>518</v>
      </c>
      <c r="Y234" t="s">
        <v>89</v>
      </c>
      <c r="Z234" t="s">
        <v>90</v>
      </c>
      <c r="AA234" t="s">
        <v>506</v>
      </c>
      <c r="AB234">
        <v>1</v>
      </c>
      <c r="AC234">
        <v>6</v>
      </c>
      <c r="AD234" t="b">
        <v>1</v>
      </c>
      <c r="AE234">
        <v>2023</v>
      </c>
      <c r="AF234" s="3">
        <v>367</v>
      </c>
      <c r="AG234" s="3">
        <v>45082</v>
      </c>
      <c r="AH234" s="3">
        <v>46174</v>
      </c>
      <c r="AJ234" s="4"/>
      <c r="AK234" s="4"/>
      <c r="AL234" s="3">
        <v>367</v>
      </c>
      <c r="AM234" s="3">
        <v>367</v>
      </c>
      <c r="AN234">
        <v>-8.5529949999999992</v>
      </c>
      <c r="AO234">
        <v>115.13455570000001</v>
      </c>
      <c r="AP234" t="s">
        <v>1282</v>
      </c>
      <c r="AT234">
        <v>99.75</v>
      </c>
      <c r="AW234">
        <v>0</v>
      </c>
      <c r="AX234">
        <v>0</v>
      </c>
      <c r="BA234">
        <v>0</v>
      </c>
      <c r="BB234">
        <v>0</v>
      </c>
      <c r="BE234">
        <v>0</v>
      </c>
      <c r="BF234">
        <v>0</v>
      </c>
      <c r="BJ234">
        <v>0</v>
      </c>
      <c r="BL234">
        <v>0</v>
      </c>
      <c r="BN234">
        <v>0</v>
      </c>
      <c r="BO234" s="6">
        <v>0</v>
      </c>
      <c r="BP234">
        <v>0</v>
      </c>
      <c r="BQ234">
        <v>0</v>
      </c>
      <c r="BR234">
        <v>0</v>
      </c>
    </row>
    <row r="235" spans="1:70" ht="15" customHeight="1" x14ac:dyDescent="0.35">
      <c r="A235" s="1" t="str">
        <f t="shared" si="7"/>
        <v>135A</v>
      </c>
      <c r="B235" t="s">
        <v>1283</v>
      </c>
      <c r="C235" t="s">
        <v>1284</v>
      </c>
      <c r="D235" t="s">
        <v>1285</v>
      </c>
      <c r="E235" t="s">
        <v>1286</v>
      </c>
      <c r="F235" t="s">
        <v>501</v>
      </c>
      <c r="G235" t="s">
        <v>502</v>
      </c>
      <c r="H235" t="s">
        <v>502</v>
      </c>
      <c r="I235" t="s">
        <v>137</v>
      </c>
      <c r="J235" t="b">
        <v>0</v>
      </c>
      <c r="K235" t="s">
        <v>78</v>
      </c>
      <c r="L235" t="s">
        <v>79</v>
      </c>
      <c r="N235" t="s">
        <v>81</v>
      </c>
      <c r="O235" t="s">
        <v>82</v>
      </c>
      <c r="P235" t="s">
        <v>83</v>
      </c>
      <c r="Q235" t="s">
        <v>549</v>
      </c>
      <c r="R235">
        <v>24</v>
      </c>
      <c r="S235" t="s">
        <v>85</v>
      </c>
      <c r="T235" t="s">
        <v>121</v>
      </c>
      <c r="U235">
        <v>1111111</v>
      </c>
      <c r="V235" t="s">
        <v>122</v>
      </c>
      <c r="W235" t="s">
        <v>694</v>
      </c>
      <c r="X235" t="s">
        <v>695</v>
      </c>
      <c r="Y235" t="s">
        <v>89</v>
      </c>
      <c r="Z235" t="s">
        <v>90</v>
      </c>
      <c r="AA235" t="s">
        <v>506</v>
      </c>
      <c r="AB235">
        <v>1</v>
      </c>
      <c r="AC235">
        <v>6</v>
      </c>
      <c r="AD235" t="b">
        <v>1</v>
      </c>
      <c r="AE235">
        <v>2023</v>
      </c>
      <c r="AF235" s="3">
        <v>367</v>
      </c>
      <c r="AG235" s="3">
        <v>45082</v>
      </c>
      <c r="AH235" s="3">
        <v>46174</v>
      </c>
      <c r="AJ235" s="4"/>
      <c r="AK235" s="4"/>
      <c r="AL235" s="3">
        <v>367</v>
      </c>
      <c r="AM235" s="3">
        <v>367</v>
      </c>
      <c r="AN235">
        <v>-8.6592099999999999</v>
      </c>
      <c r="AO235">
        <v>115.2199528</v>
      </c>
      <c r="AP235" t="s">
        <v>1287</v>
      </c>
      <c r="AT235">
        <v>99.75</v>
      </c>
      <c r="AW235">
        <v>0</v>
      </c>
      <c r="AX235">
        <v>0</v>
      </c>
      <c r="BA235">
        <v>0</v>
      </c>
      <c r="BB235">
        <v>0</v>
      </c>
      <c r="BE235">
        <v>0</v>
      </c>
      <c r="BF235">
        <v>0</v>
      </c>
      <c r="BJ235">
        <v>0</v>
      </c>
      <c r="BL235">
        <v>0</v>
      </c>
      <c r="BN235">
        <v>0</v>
      </c>
      <c r="BO235" s="6">
        <v>0</v>
      </c>
      <c r="BP235">
        <v>0</v>
      </c>
      <c r="BQ235">
        <v>0</v>
      </c>
      <c r="BR235">
        <v>0</v>
      </c>
    </row>
    <row r="236" spans="1:70" ht="15" customHeight="1" x14ac:dyDescent="0.35">
      <c r="A236" s="1" t="str">
        <f t="shared" si="7"/>
        <v>694M</v>
      </c>
      <c r="B236" t="s">
        <v>1288</v>
      </c>
      <c r="C236" t="s">
        <v>1289</v>
      </c>
      <c r="D236" t="s">
        <v>1290</v>
      </c>
      <c r="E236" t="s">
        <v>1291</v>
      </c>
      <c r="F236" t="s">
        <v>537</v>
      </c>
      <c r="G236" t="s">
        <v>502</v>
      </c>
      <c r="H236" t="s">
        <v>502</v>
      </c>
      <c r="I236" t="s">
        <v>137</v>
      </c>
      <c r="J236" t="b">
        <v>0</v>
      </c>
      <c r="K236" t="s">
        <v>78</v>
      </c>
      <c r="L236" t="s">
        <v>79</v>
      </c>
      <c r="N236" t="s">
        <v>81</v>
      </c>
      <c r="O236" t="s">
        <v>82</v>
      </c>
      <c r="P236" t="s">
        <v>83</v>
      </c>
      <c r="Q236" t="s">
        <v>503</v>
      </c>
      <c r="R236">
        <v>24</v>
      </c>
      <c r="S236" t="s">
        <v>85</v>
      </c>
      <c r="T236" t="s">
        <v>121</v>
      </c>
      <c r="U236">
        <v>1111111</v>
      </c>
      <c r="V236" t="s">
        <v>122</v>
      </c>
      <c r="W236" t="s">
        <v>529</v>
      </c>
      <c r="X236" t="s">
        <v>530</v>
      </c>
      <c r="Y236" t="s">
        <v>89</v>
      </c>
      <c r="Z236" t="s">
        <v>90</v>
      </c>
      <c r="AA236" t="s">
        <v>506</v>
      </c>
      <c r="AB236">
        <v>2</v>
      </c>
      <c r="AC236">
        <v>6</v>
      </c>
      <c r="AD236" t="b">
        <v>1</v>
      </c>
      <c r="AE236">
        <v>2023</v>
      </c>
      <c r="AF236" s="3">
        <v>367</v>
      </c>
      <c r="AG236" s="3">
        <v>45082</v>
      </c>
      <c r="AH236" s="3">
        <v>46174</v>
      </c>
      <c r="AJ236" s="4">
        <f>VLOOKUP(A236,'[1]1'!B:Q,16,0)</f>
        <v>1440</v>
      </c>
      <c r="AK236" s="7">
        <f t="shared" ref="AK236:AK238" si="9">AJ236/250</f>
        <v>5.76</v>
      </c>
      <c r="AL236" s="3">
        <v>367</v>
      </c>
      <c r="AM236" s="3">
        <v>367</v>
      </c>
      <c r="AN236">
        <v>-8.4805569999999992</v>
      </c>
      <c r="AO236">
        <v>115.2471243</v>
      </c>
      <c r="AP236" t="s">
        <v>1292</v>
      </c>
      <c r="AT236">
        <v>99.75</v>
      </c>
      <c r="AW236">
        <v>0</v>
      </c>
      <c r="AX236">
        <v>0</v>
      </c>
      <c r="BA236">
        <v>0</v>
      </c>
      <c r="BB236">
        <v>0</v>
      </c>
      <c r="BE236">
        <v>0</v>
      </c>
      <c r="BF236">
        <v>0</v>
      </c>
      <c r="BJ236">
        <v>0</v>
      </c>
      <c r="BL236">
        <v>0</v>
      </c>
      <c r="BN236">
        <v>0</v>
      </c>
      <c r="BO236" s="6">
        <v>0</v>
      </c>
      <c r="BP236">
        <v>0</v>
      </c>
      <c r="BQ236">
        <v>0</v>
      </c>
      <c r="BR236">
        <v>0</v>
      </c>
    </row>
    <row r="237" spans="1:70" ht="15" customHeight="1" x14ac:dyDescent="0.35">
      <c r="A237" s="1" t="str">
        <f t="shared" si="7"/>
        <v>00UU</v>
      </c>
      <c r="B237" t="s">
        <v>1293</v>
      </c>
      <c r="C237" t="s">
        <v>1294</v>
      </c>
      <c r="D237" t="s">
        <v>1295</v>
      </c>
      <c r="E237" t="s">
        <v>1296</v>
      </c>
      <c r="F237" t="s">
        <v>516</v>
      </c>
      <c r="G237" t="s">
        <v>502</v>
      </c>
      <c r="H237" t="s">
        <v>502</v>
      </c>
      <c r="I237" t="s">
        <v>137</v>
      </c>
      <c r="J237" t="b">
        <v>0</v>
      </c>
      <c r="K237" t="s">
        <v>78</v>
      </c>
      <c r="L237" t="s">
        <v>79</v>
      </c>
      <c r="N237" t="s">
        <v>81</v>
      </c>
      <c r="O237" t="s">
        <v>82</v>
      </c>
      <c r="P237" t="s">
        <v>83</v>
      </c>
      <c r="Q237" t="s">
        <v>503</v>
      </c>
      <c r="R237">
        <v>15</v>
      </c>
      <c r="S237" t="s">
        <v>121</v>
      </c>
      <c r="T237" t="s">
        <v>121</v>
      </c>
      <c r="U237">
        <v>1111111</v>
      </c>
      <c r="V237" t="s">
        <v>122</v>
      </c>
      <c r="W237" t="s">
        <v>571</v>
      </c>
      <c r="X237" t="s">
        <v>572</v>
      </c>
      <c r="Y237" t="s">
        <v>89</v>
      </c>
      <c r="Z237" t="s">
        <v>90</v>
      </c>
      <c r="AA237" t="s">
        <v>506</v>
      </c>
      <c r="AB237">
        <v>1</v>
      </c>
      <c r="AC237">
        <v>6</v>
      </c>
      <c r="AD237" t="b">
        <v>1</v>
      </c>
      <c r="AE237">
        <v>2023</v>
      </c>
      <c r="AF237" s="3">
        <v>367</v>
      </c>
      <c r="AG237" s="3">
        <v>45082</v>
      </c>
      <c r="AH237" s="3">
        <v>46174</v>
      </c>
      <c r="AJ237" s="4">
        <f>VLOOKUP(A237,'[1]1'!B:Q,16,0)</f>
        <v>1440</v>
      </c>
      <c r="AK237" s="7">
        <f t="shared" si="9"/>
        <v>5.76</v>
      </c>
      <c r="AL237" s="3">
        <v>367</v>
      </c>
      <c r="AM237" s="3">
        <v>367</v>
      </c>
      <c r="AN237">
        <v>-8.5193098000000003</v>
      </c>
      <c r="AO237">
        <v>115.2096954</v>
      </c>
      <c r="AP237" t="s">
        <v>1297</v>
      </c>
      <c r="AT237">
        <v>99.75</v>
      </c>
      <c r="AW237">
        <v>0</v>
      </c>
      <c r="AX237">
        <v>0</v>
      </c>
      <c r="BA237">
        <v>0</v>
      </c>
      <c r="BB237">
        <v>0</v>
      </c>
      <c r="BE237">
        <v>0</v>
      </c>
      <c r="BF237">
        <v>0</v>
      </c>
      <c r="BJ237">
        <v>0</v>
      </c>
      <c r="BL237">
        <v>0</v>
      </c>
      <c r="BN237">
        <v>0</v>
      </c>
      <c r="BO237" s="6">
        <v>0</v>
      </c>
      <c r="BP237">
        <v>0</v>
      </c>
      <c r="BQ237">
        <v>0</v>
      </c>
      <c r="BR237">
        <v>0</v>
      </c>
    </row>
    <row r="238" spans="1:70" ht="15" customHeight="1" x14ac:dyDescent="0.35">
      <c r="A238" s="1" t="str">
        <f t="shared" si="7"/>
        <v>681W</v>
      </c>
      <c r="B238" t="s">
        <v>1298</v>
      </c>
      <c r="C238" t="s">
        <v>1299</v>
      </c>
      <c r="D238" t="s">
        <v>1300</v>
      </c>
      <c r="E238" t="s">
        <v>1301</v>
      </c>
      <c r="F238" t="s">
        <v>501</v>
      </c>
      <c r="G238" t="s">
        <v>502</v>
      </c>
      <c r="H238" t="s">
        <v>502</v>
      </c>
      <c r="I238" t="s">
        <v>137</v>
      </c>
      <c r="J238" t="b">
        <v>0</v>
      </c>
      <c r="K238" t="s">
        <v>78</v>
      </c>
      <c r="L238" t="s">
        <v>79</v>
      </c>
      <c r="N238" t="s">
        <v>81</v>
      </c>
      <c r="O238" t="s">
        <v>82</v>
      </c>
      <c r="P238" t="s">
        <v>83</v>
      </c>
      <c r="Q238" t="s">
        <v>503</v>
      </c>
      <c r="R238">
        <v>15</v>
      </c>
      <c r="S238" t="s">
        <v>121</v>
      </c>
      <c r="T238" t="s">
        <v>121</v>
      </c>
      <c r="U238">
        <v>1111111</v>
      </c>
      <c r="V238" t="s">
        <v>122</v>
      </c>
      <c r="W238" t="s">
        <v>550</v>
      </c>
      <c r="X238" t="s">
        <v>551</v>
      </c>
      <c r="Y238" t="s">
        <v>89</v>
      </c>
      <c r="Z238" t="s">
        <v>90</v>
      </c>
      <c r="AA238" t="s">
        <v>506</v>
      </c>
      <c r="AB238">
        <v>1</v>
      </c>
      <c r="AC238">
        <v>6</v>
      </c>
      <c r="AD238" t="b">
        <v>1</v>
      </c>
      <c r="AE238">
        <v>2023</v>
      </c>
      <c r="AF238" s="3">
        <v>367</v>
      </c>
      <c r="AG238" s="3">
        <v>45082</v>
      </c>
      <c r="AH238" s="3">
        <v>46174</v>
      </c>
      <c r="AJ238" s="4">
        <f>VLOOKUP(A238,'[1]1'!B:Q,16,0)</f>
        <v>900</v>
      </c>
      <c r="AK238" s="7">
        <f t="shared" si="9"/>
        <v>3.6</v>
      </c>
      <c r="AL238" s="3">
        <v>367</v>
      </c>
      <c r="AM238" s="3">
        <v>367</v>
      </c>
      <c r="AN238">
        <v>-8.6357563000000006</v>
      </c>
      <c r="AO238">
        <v>115.2422207</v>
      </c>
      <c r="AP238" t="s">
        <v>1302</v>
      </c>
      <c r="AT238">
        <v>99.75</v>
      </c>
      <c r="AW238">
        <v>0</v>
      </c>
      <c r="AX238">
        <v>0</v>
      </c>
      <c r="BA238">
        <v>0</v>
      </c>
      <c r="BB238">
        <v>0</v>
      </c>
      <c r="BE238">
        <v>0</v>
      </c>
      <c r="BF238">
        <v>0</v>
      </c>
      <c r="BJ238">
        <v>0</v>
      </c>
      <c r="BL238">
        <v>0</v>
      </c>
      <c r="BN238">
        <v>0</v>
      </c>
      <c r="BO238" s="6">
        <v>0</v>
      </c>
      <c r="BP238">
        <v>0</v>
      </c>
      <c r="BQ238">
        <v>0</v>
      </c>
      <c r="BR238">
        <v>0</v>
      </c>
    </row>
    <row r="239" spans="1:70" ht="15" customHeight="1" x14ac:dyDescent="0.35">
      <c r="A239" s="1" t="str">
        <f t="shared" si="7"/>
        <v>695F</v>
      </c>
      <c r="B239" t="s">
        <v>1303</v>
      </c>
      <c r="C239" t="s">
        <v>1304</v>
      </c>
      <c r="D239" t="s">
        <v>1305</v>
      </c>
      <c r="E239" t="s">
        <v>1306</v>
      </c>
      <c r="F239" t="s">
        <v>501</v>
      </c>
      <c r="G239" t="s">
        <v>502</v>
      </c>
      <c r="H239" t="s">
        <v>502</v>
      </c>
      <c r="I239" t="s">
        <v>350</v>
      </c>
      <c r="J239" t="b">
        <v>1</v>
      </c>
      <c r="K239" t="s">
        <v>78</v>
      </c>
      <c r="L239" t="s">
        <v>79</v>
      </c>
      <c r="N239" t="s">
        <v>81</v>
      </c>
      <c r="O239" t="s">
        <v>82</v>
      </c>
      <c r="P239" t="s">
        <v>83</v>
      </c>
      <c r="Q239" t="s">
        <v>503</v>
      </c>
      <c r="R239">
        <v>24</v>
      </c>
      <c r="S239" t="s">
        <v>85</v>
      </c>
      <c r="T239" t="s">
        <v>121</v>
      </c>
      <c r="U239">
        <v>1111111</v>
      </c>
      <c r="V239" t="s">
        <v>122</v>
      </c>
      <c r="W239" t="s">
        <v>571</v>
      </c>
      <c r="X239" t="s">
        <v>572</v>
      </c>
      <c r="Y239" t="s">
        <v>89</v>
      </c>
      <c r="Z239" t="s">
        <v>90</v>
      </c>
      <c r="AA239" t="s">
        <v>506</v>
      </c>
      <c r="AB239">
        <v>1</v>
      </c>
      <c r="AC239">
        <v>6</v>
      </c>
      <c r="AD239" t="b">
        <v>1</v>
      </c>
      <c r="AE239">
        <v>2023</v>
      </c>
      <c r="AF239" s="3">
        <v>367</v>
      </c>
      <c r="AG239" s="3">
        <v>45082</v>
      </c>
      <c r="AH239" s="3">
        <v>46174</v>
      </c>
      <c r="AJ239" s="4"/>
      <c r="AK239" s="4"/>
      <c r="AL239" s="3">
        <v>367</v>
      </c>
      <c r="AM239" s="3">
        <v>367</v>
      </c>
      <c r="AN239">
        <v>-8.6391902999999992</v>
      </c>
      <c r="AO239">
        <v>115.2164404</v>
      </c>
      <c r="AP239" t="s">
        <v>1306</v>
      </c>
      <c r="AT239">
        <v>99.75</v>
      </c>
      <c r="AW239">
        <v>0</v>
      </c>
      <c r="AX239">
        <v>0</v>
      </c>
      <c r="BA239">
        <v>0</v>
      </c>
      <c r="BB239">
        <v>0</v>
      </c>
      <c r="BE239">
        <v>0</v>
      </c>
      <c r="BF239">
        <v>0</v>
      </c>
      <c r="BJ239">
        <v>0</v>
      </c>
      <c r="BL239">
        <v>0</v>
      </c>
      <c r="BN239">
        <v>0</v>
      </c>
      <c r="BO239" s="6">
        <v>0</v>
      </c>
      <c r="BP239">
        <v>0</v>
      </c>
      <c r="BQ239">
        <v>0</v>
      </c>
      <c r="BR239">
        <v>0</v>
      </c>
    </row>
    <row r="240" spans="1:70" ht="15" customHeight="1" x14ac:dyDescent="0.35">
      <c r="A240" s="1" t="str">
        <f t="shared" si="7"/>
        <v>544D</v>
      </c>
      <c r="B240" t="s">
        <v>1307</v>
      </c>
      <c r="C240" t="s">
        <v>1308</v>
      </c>
      <c r="D240" t="s">
        <v>1309</v>
      </c>
      <c r="E240" t="s">
        <v>1310</v>
      </c>
      <c r="F240" t="s">
        <v>501</v>
      </c>
      <c r="G240" t="s">
        <v>502</v>
      </c>
      <c r="H240" t="s">
        <v>502</v>
      </c>
      <c r="I240" t="s">
        <v>1276</v>
      </c>
      <c r="J240" t="b">
        <v>0</v>
      </c>
      <c r="K240" t="s">
        <v>78</v>
      </c>
      <c r="L240" t="s">
        <v>79</v>
      </c>
      <c r="N240" t="s">
        <v>81</v>
      </c>
      <c r="O240" t="s">
        <v>82</v>
      </c>
      <c r="P240" t="s">
        <v>83</v>
      </c>
      <c r="Q240" t="s">
        <v>549</v>
      </c>
      <c r="R240">
        <v>15</v>
      </c>
      <c r="S240" t="s">
        <v>121</v>
      </c>
      <c r="T240" t="s">
        <v>121</v>
      </c>
      <c r="U240">
        <v>1111111</v>
      </c>
      <c r="V240" t="s">
        <v>122</v>
      </c>
      <c r="W240" t="s">
        <v>694</v>
      </c>
      <c r="X240" t="s">
        <v>695</v>
      </c>
      <c r="Y240" t="s">
        <v>89</v>
      </c>
      <c r="Z240" t="s">
        <v>90</v>
      </c>
      <c r="AA240" t="s">
        <v>506</v>
      </c>
      <c r="AB240">
        <v>1</v>
      </c>
      <c r="AC240">
        <v>6</v>
      </c>
      <c r="AD240" t="b">
        <v>1</v>
      </c>
      <c r="AE240">
        <v>2023</v>
      </c>
      <c r="AF240" s="3">
        <v>367</v>
      </c>
      <c r="AG240" s="3">
        <v>45082</v>
      </c>
      <c r="AH240" s="3">
        <v>46174</v>
      </c>
      <c r="AJ240" s="4"/>
      <c r="AK240" s="4"/>
      <c r="AL240" s="3">
        <v>367</v>
      </c>
      <c r="AM240" s="3">
        <v>367</v>
      </c>
      <c r="AN240">
        <v>-8.6731379999999998</v>
      </c>
      <c r="AO240">
        <v>115.2441242</v>
      </c>
      <c r="AP240" t="s">
        <v>1311</v>
      </c>
      <c r="AT240">
        <v>99.75</v>
      </c>
      <c r="AW240">
        <v>0</v>
      </c>
      <c r="AX240">
        <v>0</v>
      </c>
      <c r="BA240">
        <v>0</v>
      </c>
      <c r="BB240">
        <v>0</v>
      </c>
      <c r="BE240">
        <v>0</v>
      </c>
      <c r="BF240">
        <v>0</v>
      </c>
      <c r="BJ240">
        <v>0</v>
      </c>
      <c r="BL240">
        <v>0</v>
      </c>
      <c r="BN240">
        <v>0</v>
      </c>
      <c r="BO240" s="6">
        <v>0</v>
      </c>
      <c r="BP240">
        <v>0</v>
      </c>
      <c r="BQ240">
        <v>0</v>
      </c>
      <c r="BR240">
        <v>0</v>
      </c>
    </row>
    <row r="241" spans="1:70" ht="15" customHeight="1" x14ac:dyDescent="0.35">
      <c r="A241" s="1" t="str">
        <f t="shared" si="7"/>
        <v>1017</v>
      </c>
      <c r="B241" t="s">
        <v>1312</v>
      </c>
      <c r="C241" t="s">
        <v>1313</v>
      </c>
      <c r="D241" t="s">
        <v>1314</v>
      </c>
      <c r="E241" t="s">
        <v>1315</v>
      </c>
      <c r="F241" t="s">
        <v>501</v>
      </c>
      <c r="G241" t="s">
        <v>502</v>
      </c>
      <c r="H241" t="s">
        <v>502</v>
      </c>
      <c r="I241" t="s">
        <v>148</v>
      </c>
      <c r="J241" t="b">
        <v>0</v>
      </c>
      <c r="K241" t="s">
        <v>78</v>
      </c>
      <c r="L241" t="s">
        <v>79</v>
      </c>
      <c r="N241" t="s">
        <v>81</v>
      </c>
      <c r="O241" t="s">
        <v>82</v>
      </c>
      <c r="P241" t="s">
        <v>83</v>
      </c>
      <c r="Q241" t="s">
        <v>503</v>
      </c>
      <c r="R241">
        <v>24</v>
      </c>
      <c r="S241" t="s">
        <v>85</v>
      </c>
      <c r="T241" t="s">
        <v>121</v>
      </c>
      <c r="U241">
        <v>1111111</v>
      </c>
      <c r="V241" t="s">
        <v>122</v>
      </c>
      <c r="W241" t="s">
        <v>523</v>
      </c>
      <c r="X241" t="s">
        <v>524</v>
      </c>
      <c r="Y241" t="s">
        <v>89</v>
      </c>
      <c r="Z241" t="s">
        <v>90</v>
      </c>
      <c r="AA241" t="s">
        <v>506</v>
      </c>
      <c r="AB241">
        <v>1</v>
      </c>
      <c r="AC241">
        <v>6</v>
      </c>
      <c r="AD241" t="b">
        <v>1</v>
      </c>
      <c r="AE241">
        <v>2023</v>
      </c>
      <c r="AF241" s="3">
        <v>367</v>
      </c>
      <c r="AG241" s="3">
        <v>45082</v>
      </c>
      <c r="AH241" s="3">
        <v>46174</v>
      </c>
      <c r="AJ241" s="4"/>
      <c r="AK241" s="4"/>
      <c r="AL241" s="3">
        <v>367</v>
      </c>
      <c r="AM241" s="3">
        <v>367</v>
      </c>
      <c r="AN241">
        <v>-8.6984016000000004</v>
      </c>
      <c r="AO241">
        <v>115.1858323</v>
      </c>
      <c r="AP241" t="s">
        <v>1315</v>
      </c>
      <c r="AT241">
        <v>99.75</v>
      </c>
      <c r="AW241">
        <v>0</v>
      </c>
      <c r="AX241">
        <v>0</v>
      </c>
      <c r="BA241">
        <v>0</v>
      </c>
      <c r="BB241">
        <v>0</v>
      </c>
      <c r="BE241">
        <v>0</v>
      </c>
      <c r="BF241">
        <v>0</v>
      </c>
      <c r="BJ241">
        <v>0</v>
      </c>
      <c r="BL241">
        <v>0</v>
      </c>
      <c r="BN241">
        <v>0</v>
      </c>
      <c r="BO241" s="6">
        <v>0</v>
      </c>
      <c r="BP241">
        <v>0</v>
      </c>
      <c r="BQ241">
        <v>0</v>
      </c>
      <c r="BR241">
        <v>0</v>
      </c>
    </row>
    <row r="242" spans="1:70" ht="15" customHeight="1" x14ac:dyDescent="0.35">
      <c r="A242" s="1" t="str">
        <f t="shared" si="7"/>
        <v>ZRA6</v>
      </c>
      <c r="B242" t="s">
        <v>1316</v>
      </c>
      <c r="C242" t="s">
        <v>1317</v>
      </c>
      <c r="D242" t="s">
        <v>1318</v>
      </c>
      <c r="E242" t="s">
        <v>1319</v>
      </c>
      <c r="F242" t="s">
        <v>724</v>
      </c>
      <c r="G242" t="s">
        <v>502</v>
      </c>
      <c r="H242" t="s">
        <v>502</v>
      </c>
      <c r="I242" t="s">
        <v>137</v>
      </c>
      <c r="J242" t="b">
        <v>0</v>
      </c>
      <c r="K242" t="s">
        <v>154</v>
      </c>
      <c r="L242" t="s">
        <v>155</v>
      </c>
      <c r="N242" t="s">
        <v>81</v>
      </c>
      <c r="O242" t="s">
        <v>82</v>
      </c>
      <c r="P242" t="s">
        <v>83</v>
      </c>
      <c r="Q242" t="s">
        <v>503</v>
      </c>
      <c r="R242">
        <v>24</v>
      </c>
      <c r="S242" t="s">
        <v>85</v>
      </c>
      <c r="T242" t="s">
        <v>121</v>
      </c>
      <c r="U242">
        <v>1111111</v>
      </c>
      <c r="V242" t="s">
        <v>122</v>
      </c>
      <c r="W242" t="s">
        <v>517</v>
      </c>
      <c r="X242" t="s">
        <v>518</v>
      </c>
      <c r="Y242" t="s">
        <v>89</v>
      </c>
      <c r="Z242" t="s">
        <v>90</v>
      </c>
      <c r="AA242" t="s">
        <v>506</v>
      </c>
      <c r="AB242">
        <v>1</v>
      </c>
      <c r="AC242">
        <v>6</v>
      </c>
      <c r="AD242" t="b">
        <v>1</v>
      </c>
      <c r="AE242">
        <v>2023</v>
      </c>
      <c r="AF242" s="3">
        <v>367</v>
      </c>
      <c r="AG242" s="3">
        <v>45096</v>
      </c>
      <c r="AH242" s="3">
        <v>46174</v>
      </c>
      <c r="AJ242" s="4"/>
      <c r="AK242" s="4"/>
      <c r="AL242" s="3">
        <v>367</v>
      </c>
      <c r="AM242" s="3">
        <v>367</v>
      </c>
      <c r="AN242">
        <v>-8.5451294999999998</v>
      </c>
      <c r="AO242">
        <v>115.1426187</v>
      </c>
      <c r="AP242" t="s">
        <v>1320</v>
      </c>
      <c r="AT242">
        <v>99.2</v>
      </c>
      <c r="AW242">
        <v>0</v>
      </c>
      <c r="AX242">
        <v>0</v>
      </c>
      <c r="BA242">
        <v>0</v>
      </c>
      <c r="BB242">
        <v>0</v>
      </c>
      <c r="BE242">
        <v>0</v>
      </c>
      <c r="BF242">
        <v>0</v>
      </c>
      <c r="BJ242">
        <v>0</v>
      </c>
      <c r="BL242">
        <v>0</v>
      </c>
      <c r="BN242">
        <v>0</v>
      </c>
      <c r="BO242" s="6">
        <v>0</v>
      </c>
      <c r="BP242">
        <v>0</v>
      </c>
      <c r="BQ242">
        <v>0</v>
      </c>
      <c r="BR242">
        <v>0</v>
      </c>
    </row>
    <row r="243" spans="1:70" ht="15" customHeight="1" x14ac:dyDescent="0.35">
      <c r="A243" s="1" t="str">
        <f t="shared" si="7"/>
        <v>ZRB6</v>
      </c>
      <c r="B243" t="s">
        <v>1321</v>
      </c>
      <c r="C243" t="s">
        <v>1322</v>
      </c>
      <c r="D243" t="s">
        <v>1323</v>
      </c>
      <c r="E243" t="s">
        <v>1324</v>
      </c>
      <c r="F243" t="s">
        <v>724</v>
      </c>
      <c r="G243" t="s">
        <v>502</v>
      </c>
      <c r="H243" t="s">
        <v>502</v>
      </c>
      <c r="I243" t="s">
        <v>137</v>
      </c>
      <c r="J243" t="b">
        <v>0</v>
      </c>
      <c r="K243" t="s">
        <v>154</v>
      </c>
      <c r="L243" t="s">
        <v>155</v>
      </c>
      <c r="N243" t="s">
        <v>81</v>
      </c>
      <c r="O243" t="s">
        <v>82</v>
      </c>
      <c r="P243" t="s">
        <v>83</v>
      </c>
      <c r="Q243" t="s">
        <v>503</v>
      </c>
      <c r="R243">
        <v>15</v>
      </c>
      <c r="S243" t="s">
        <v>121</v>
      </c>
      <c r="T243" t="s">
        <v>121</v>
      </c>
      <c r="U243">
        <v>1111111</v>
      </c>
      <c r="V243" t="s">
        <v>122</v>
      </c>
      <c r="W243" t="s">
        <v>517</v>
      </c>
      <c r="X243" t="s">
        <v>518</v>
      </c>
      <c r="Y243" t="s">
        <v>89</v>
      </c>
      <c r="Z243" t="s">
        <v>90</v>
      </c>
      <c r="AA243" t="s">
        <v>506</v>
      </c>
      <c r="AB243">
        <v>1</v>
      </c>
      <c r="AC243">
        <v>6</v>
      </c>
      <c r="AD243" t="b">
        <v>1</v>
      </c>
      <c r="AE243">
        <v>2023</v>
      </c>
      <c r="AF243" s="3">
        <v>367</v>
      </c>
      <c r="AG243" s="3">
        <v>45096</v>
      </c>
      <c r="AH243" s="3">
        <v>46174</v>
      </c>
      <c r="AJ243" s="4"/>
      <c r="AK243" s="4"/>
      <c r="AL243" s="3">
        <v>367</v>
      </c>
      <c r="AM243" s="3">
        <v>367</v>
      </c>
      <c r="AN243">
        <v>-8.5146777999999994</v>
      </c>
      <c r="AO243">
        <v>115.1309329</v>
      </c>
      <c r="AP243" t="s">
        <v>1325</v>
      </c>
      <c r="AT243">
        <v>99.2</v>
      </c>
      <c r="AW243">
        <v>0</v>
      </c>
      <c r="AX243">
        <v>0</v>
      </c>
      <c r="BA243">
        <v>0</v>
      </c>
      <c r="BB243">
        <v>0</v>
      </c>
      <c r="BE243">
        <v>0</v>
      </c>
      <c r="BF243">
        <v>0</v>
      </c>
      <c r="BJ243">
        <v>0</v>
      </c>
      <c r="BL243">
        <v>0</v>
      </c>
      <c r="BN243">
        <v>0</v>
      </c>
      <c r="BO243" s="6">
        <v>0</v>
      </c>
      <c r="BP243">
        <v>0</v>
      </c>
      <c r="BQ243">
        <v>0</v>
      </c>
      <c r="BR243">
        <v>0</v>
      </c>
    </row>
    <row r="244" spans="1:70" ht="15" customHeight="1" x14ac:dyDescent="0.35">
      <c r="A244" s="1" t="str">
        <f t="shared" si="7"/>
        <v>ZRE6</v>
      </c>
      <c r="B244" t="s">
        <v>1326</v>
      </c>
      <c r="C244" t="s">
        <v>1327</v>
      </c>
      <c r="D244" t="s">
        <v>1328</v>
      </c>
      <c r="E244" t="s">
        <v>1329</v>
      </c>
      <c r="F244" t="s">
        <v>516</v>
      </c>
      <c r="G244" t="s">
        <v>502</v>
      </c>
      <c r="H244" t="s">
        <v>502</v>
      </c>
      <c r="I244" t="s">
        <v>148</v>
      </c>
      <c r="J244" t="b">
        <v>0</v>
      </c>
      <c r="K244" t="s">
        <v>154</v>
      </c>
      <c r="L244" t="s">
        <v>155</v>
      </c>
      <c r="N244" t="s">
        <v>81</v>
      </c>
      <c r="O244" t="s">
        <v>82</v>
      </c>
      <c r="P244" t="s">
        <v>83</v>
      </c>
      <c r="Q244" t="s">
        <v>503</v>
      </c>
      <c r="R244">
        <v>24</v>
      </c>
      <c r="S244" t="s">
        <v>85</v>
      </c>
      <c r="T244" t="s">
        <v>121</v>
      </c>
      <c r="U244">
        <v>1111111</v>
      </c>
      <c r="V244" t="s">
        <v>122</v>
      </c>
      <c r="W244" t="s">
        <v>529</v>
      </c>
      <c r="X244" t="s">
        <v>530</v>
      </c>
      <c r="Y244" t="s">
        <v>89</v>
      </c>
      <c r="Z244" t="s">
        <v>90</v>
      </c>
      <c r="AA244" t="s">
        <v>506</v>
      </c>
      <c r="AB244">
        <v>1</v>
      </c>
      <c r="AC244">
        <v>6</v>
      </c>
      <c r="AD244" t="b">
        <v>1</v>
      </c>
      <c r="AE244">
        <v>2023</v>
      </c>
      <c r="AF244" s="3">
        <v>367</v>
      </c>
      <c r="AG244" s="3">
        <v>45097</v>
      </c>
      <c r="AH244" s="3">
        <v>46174</v>
      </c>
      <c r="AJ244" s="4"/>
      <c r="AK244" s="4"/>
      <c r="AL244" s="3">
        <v>367</v>
      </c>
      <c r="AM244" s="3">
        <v>367</v>
      </c>
      <c r="AN244">
        <v>-8.6721933999999994</v>
      </c>
      <c r="AO244">
        <v>115.1681871</v>
      </c>
      <c r="AP244" t="s">
        <v>1330</v>
      </c>
      <c r="AT244">
        <v>99.2</v>
      </c>
      <c r="AW244">
        <v>0</v>
      </c>
      <c r="AX244">
        <v>0</v>
      </c>
      <c r="BA244">
        <v>0</v>
      </c>
      <c r="BB244">
        <v>0</v>
      </c>
      <c r="BE244">
        <v>0</v>
      </c>
      <c r="BF244">
        <v>0</v>
      </c>
      <c r="BJ244">
        <v>0</v>
      </c>
      <c r="BL244">
        <v>0</v>
      </c>
      <c r="BN244">
        <v>0</v>
      </c>
      <c r="BO244" s="6">
        <v>0</v>
      </c>
      <c r="BP244">
        <v>0</v>
      </c>
      <c r="BQ244">
        <v>0</v>
      </c>
      <c r="BR244">
        <v>0</v>
      </c>
    </row>
    <row r="245" spans="1:70" ht="15" customHeight="1" x14ac:dyDescent="0.35">
      <c r="A245" s="1" t="str">
        <f t="shared" si="7"/>
        <v>ZRF6</v>
      </c>
      <c r="B245" t="s">
        <v>1331</v>
      </c>
      <c r="C245" t="s">
        <v>1332</v>
      </c>
      <c r="D245" t="s">
        <v>1333</v>
      </c>
      <c r="E245" t="s">
        <v>1334</v>
      </c>
      <c r="F245" t="s">
        <v>516</v>
      </c>
      <c r="G245" t="s">
        <v>502</v>
      </c>
      <c r="H245" t="s">
        <v>502</v>
      </c>
      <c r="I245" t="s">
        <v>148</v>
      </c>
      <c r="J245" t="b">
        <v>0</v>
      </c>
      <c r="K245" t="s">
        <v>154</v>
      </c>
      <c r="L245" t="s">
        <v>155</v>
      </c>
      <c r="N245" t="s">
        <v>81</v>
      </c>
      <c r="O245" t="s">
        <v>82</v>
      </c>
      <c r="P245" t="s">
        <v>83</v>
      </c>
      <c r="Q245" t="s">
        <v>503</v>
      </c>
      <c r="R245">
        <v>24</v>
      </c>
      <c r="S245" t="s">
        <v>85</v>
      </c>
      <c r="T245" t="s">
        <v>121</v>
      </c>
      <c r="U245">
        <v>1111111</v>
      </c>
      <c r="V245" t="s">
        <v>122</v>
      </c>
      <c r="W245" t="s">
        <v>517</v>
      </c>
      <c r="X245" t="s">
        <v>518</v>
      </c>
      <c r="Y245" t="s">
        <v>89</v>
      </c>
      <c r="Z245" t="s">
        <v>90</v>
      </c>
      <c r="AA245" t="s">
        <v>506</v>
      </c>
      <c r="AB245">
        <v>1</v>
      </c>
      <c r="AC245">
        <v>6</v>
      </c>
      <c r="AD245" t="b">
        <v>1</v>
      </c>
      <c r="AE245">
        <v>2023</v>
      </c>
      <c r="AF245" s="3">
        <v>367</v>
      </c>
      <c r="AG245" s="3">
        <v>45097</v>
      </c>
      <c r="AH245" s="3">
        <v>46174</v>
      </c>
      <c r="AJ245" s="4"/>
      <c r="AK245" s="4"/>
      <c r="AL245" s="3">
        <v>367</v>
      </c>
      <c r="AM245" s="3">
        <v>367</v>
      </c>
      <c r="AN245">
        <v>-8.6075073999999994</v>
      </c>
      <c r="AO245">
        <v>115.1704945</v>
      </c>
      <c r="AP245" t="s">
        <v>1334</v>
      </c>
      <c r="AT245">
        <v>99.2</v>
      </c>
      <c r="AW245">
        <v>0</v>
      </c>
      <c r="AX245">
        <v>0</v>
      </c>
      <c r="BA245">
        <v>0</v>
      </c>
      <c r="BB245">
        <v>0</v>
      </c>
      <c r="BE245">
        <v>0</v>
      </c>
      <c r="BF245">
        <v>0</v>
      </c>
      <c r="BJ245">
        <v>0</v>
      </c>
      <c r="BL245">
        <v>0</v>
      </c>
      <c r="BN245">
        <v>0</v>
      </c>
      <c r="BO245" s="6">
        <v>0</v>
      </c>
      <c r="BP245">
        <v>0</v>
      </c>
      <c r="BQ245">
        <v>0</v>
      </c>
      <c r="BR245">
        <v>0</v>
      </c>
    </row>
    <row r="246" spans="1:70" ht="15" customHeight="1" x14ac:dyDescent="0.35">
      <c r="A246" s="1" t="str">
        <f t="shared" si="7"/>
        <v>ZRH6</v>
      </c>
      <c r="B246" t="s">
        <v>1335</v>
      </c>
      <c r="C246" t="s">
        <v>1336</v>
      </c>
      <c r="D246" t="s">
        <v>1337</v>
      </c>
      <c r="E246" t="s">
        <v>1338</v>
      </c>
      <c r="F246" t="s">
        <v>516</v>
      </c>
      <c r="G246" t="s">
        <v>502</v>
      </c>
      <c r="H246" t="s">
        <v>502</v>
      </c>
      <c r="I246" t="s">
        <v>137</v>
      </c>
      <c r="J246" t="b">
        <v>0</v>
      </c>
      <c r="K246" t="s">
        <v>154</v>
      </c>
      <c r="L246" t="s">
        <v>155</v>
      </c>
      <c r="N246" t="s">
        <v>81</v>
      </c>
      <c r="O246" t="s">
        <v>82</v>
      </c>
      <c r="P246" t="s">
        <v>83</v>
      </c>
      <c r="Q246" t="s">
        <v>503</v>
      </c>
      <c r="R246">
        <v>24</v>
      </c>
      <c r="S246" t="s">
        <v>85</v>
      </c>
      <c r="T246" t="s">
        <v>121</v>
      </c>
      <c r="U246">
        <v>1111111</v>
      </c>
      <c r="V246" t="s">
        <v>122</v>
      </c>
      <c r="W246" t="s">
        <v>517</v>
      </c>
      <c r="X246" t="s">
        <v>518</v>
      </c>
      <c r="Y246" t="s">
        <v>89</v>
      </c>
      <c r="Z246" t="s">
        <v>90</v>
      </c>
      <c r="AA246" t="s">
        <v>506</v>
      </c>
      <c r="AB246">
        <v>1</v>
      </c>
      <c r="AC246">
        <v>6</v>
      </c>
      <c r="AD246" t="b">
        <v>1</v>
      </c>
      <c r="AE246">
        <v>2023</v>
      </c>
      <c r="AF246" s="3">
        <v>367</v>
      </c>
      <c r="AG246" s="3">
        <v>45097</v>
      </c>
      <c r="AH246" s="3">
        <v>46174</v>
      </c>
      <c r="AJ246" s="4"/>
      <c r="AK246" s="4"/>
      <c r="AL246" s="3">
        <v>367</v>
      </c>
      <c r="AM246" s="3">
        <v>367</v>
      </c>
      <c r="AN246">
        <v>-8.6062820999999996</v>
      </c>
      <c r="AO246">
        <v>115.1646466</v>
      </c>
      <c r="AP246" t="s">
        <v>1339</v>
      </c>
      <c r="AT246">
        <v>99.2</v>
      </c>
      <c r="AW246">
        <v>0</v>
      </c>
      <c r="AX246">
        <v>0</v>
      </c>
      <c r="BA246">
        <v>0</v>
      </c>
      <c r="BB246">
        <v>0</v>
      </c>
      <c r="BE246">
        <v>0</v>
      </c>
      <c r="BF246">
        <v>0</v>
      </c>
      <c r="BJ246">
        <v>0</v>
      </c>
      <c r="BL246">
        <v>0</v>
      </c>
      <c r="BN246">
        <v>0</v>
      </c>
      <c r="BO246" s="6">
        <v>0</v>
      </c>
      <c r="BP246">
        <v>0</v>
      </c>
      <c r="BQ246">
        <v>0</v>
      </c>
      <c r="BR246">
        <v>0</v>
      </c>
    </row>
    <row r="247" spans="1:70" ht="15" customHeight="1" x14ac:dyDescent="0.35">
      <c r="A247" s="1" t="str">
        <f t="shared" si="7"/>
        <v>ZRL6</v>
      </c>
      <c r="B247" t="s">
        <v>1340</v>
      </c>
      <c r="C247" t="s">
        <v>1341</v>
      </c>
      <c r="D247" t="s">
        <v>1342</v>
      </c>
      <c r="E247" t="s">
        <v>1343</v>
      </c>
      <c r="F247" t="s">
        <v>516</v>
      </c>
      <c r="G247" t="s">
        <v>502</v>
      </c>
      <c r="H247" t="s">
        <v>502</v>
      </c>
      <c r="I247" t="s">
        <v>137</v>
      </c>
      <c r="J247" t="b">
        <v>0</v>
      </c>
      <c r="K247" t="s">
        <v>154</v>
      </c>
      <c r="L247" t="s">
        <v>155</v>
      </c>
      <c r="N247" t="s">
        <v>81</v>
      </c>
      <c r="O247" t="s">
        <v>82</v>
      </c>
      <c r="P247" t="s">
        <v>83</v>
      </c>
      <c r="Q247" t="s">
        <v>503</v>
      </c>
      <c r="R247">
        <v>24</v>
      </c>
      <c r="S247" t="s">
        <v>85</v>
      </c>
      <c r="T247" t="s">
        <v>121</v>
      </c>
      <c r="U247">
        <v>1111111</v>
      </c>
      <c r="V247" t="s">
        <v>122</v>
      </c>
      <c r="W247" t="s">
        <v>517</v>
      </c>
      <c r="X247" t="s">
        <v>518</v>
      </c>
      <c r="Y247" t="s">
        <v>89</v>
      </c>
      <c r="Z247" t="s">
        <v>90</v>
      </c>
      <c r="AA247" t="s">
        <v>506</v>
      </c>
      <c r="AB247">
        <v>1</v>
      </c>
      <c r="AC247">
        <v>6</v>
      </c>
      <c r="AD247" t="b">
        <v>1</v>
      </c>
      <c r="AE247">
        <v>2023</v>
      </c>
      <c r="AF247" s="3">
        <v>367</v>
      </c>
      <c r="AG247" s="3">
        <v>45097</v>
      </c>
      <c r="AH247" s="3">
        <v>46174</v>
      </c>
      <c r="AJ247" s="4"/>
      <c r="AK247" s="4"/>
      <c r="AL247" s="3">
        <v>367</v>
      </c>
      <c r="AM247" s="3">
        <v>367</v>
      </c>
      <c r="AN247">
        <v>-8.6228464999999996</v>
      </c>
      <c r="AO247">
        <v>115.1205109</v>
      </c>
      <c r="AP247" t="s">
        <v>1344</v>
      </c>
      <c r="AT247">
        <v>99.2</v>
      </c>
      <c r="AW247">
        <v>0</v>
      </c>
      <c r="AX247">
        <v>0</v>
      </c>
      <c r="BA247">
        <v>0</v>
      </c>
      <c r="BB247">
        <v>0</v>
      </c>
      <c r="BE247">
        <v>0</v>
      </c>
      <c r="BF247">
        <v>0</v>
      </c>
      <c r="BJ247">
        <v>0</v>
      </c>
      <c r="BL247">
        <v>0</v>
      </c>
      <c r="BN247">
        <v>0</v>
      </c>
      <c r="BO247" s="6">
        <v>0</v>
      </c>
      <c r="BP247">
        <v>0</v>
      </c>
      <c r="BQ247">
        <v>0</v>
      </c>
      <c r="BR247">
        <v>0</v>
      </c>
    </row>
    <row r="248" spans="1:70" ht="15" customHeight="1" x14ac:dyDescent="0.35">
      <c r="A248" s="1" t="str">
        <f t="shared" si="7"/>
        <v>ZRU6</v>
      </c>
      <c r="B248" t="s">
        <v>1345</v>
      </c>
      <c r="C248" t="s">
        <v>1346</v>
      </c>
      <c r="D248" t="s">
        <v>1347</v>
      </c>
      <c r="E248" t="s">
        <v>1348</v>
      </c>
      <c r="F248" t="s">
        <v>516</v>
      </c>
      <c r="G248" t="s">
        <v>502</v>
      </c>
      <c r="H248" t="s">
        <v>502</v>
      </c>
      <c r="I248" t="s">
        <v>137</v>
      </c>
      <c r="J248" t="b">
        <v>0</v>
      </c>
      <c r="K248" t="s">
        <v>154</v>
      </c>
      <c r="L248" t="s">
        <v>155</v>
      </c>
      <c r="N248" t="s">
        <v>81</v>
      </c>
      <c r="O248" t="s">
        <v>82</v>
      </c>
      <c r="P248" t="s">
        <v>83</v>
      </c>
      <c r="Q248" t="s">
        <v>503</v>
      </c>
      <c r="R248">
        <v>17</v>
      </c>
      <c r="S248" t="s">
        <v>162</v>
      </c>
      <c r="T248" t="s">
        <v>121</v>
      </c>
      <c r="U248">
        <v>1111111</v>
      </c>
      <c r="V248" t="s">
        <v>122</v>
      </c>
      <c r="W248" t="s">
        <v>571</v>
      </c>
      <c r="X248" t="s">
        <v>572</v>
      </c>
      <c r="Y248" t="s">
        <v>89</v>
      </c>
      <c r="Z248" t="s">
        <v>90</v>
      </c>
      <c r="AA248" t="s">
        <v>506</v>
      </c>
      <c r="AB248">
        <v>1</v>
      </c>
      <c r="AC248">
        <v>6</v>
      </c>
      <c r="AD248" t="b">
        <v>1</v>
      </c>
      <c r="AE248">
        <v>2023</v>
      </c>
      <c r="AF248" s="3">
        <v>367</v>
      </c>
      <c r="AG248" s="3">
        <v>45097</v>
      </c>
      <c r="AH248" s="3">
        <v>46174</v>
      </c>
      <c r="AJ248" s="4"/>
      <c r="AK248" s="4"/>
      <c r="AL248" s="3">
        <v>367</v>
      </c>
      <c r="AM248" s="3">
        <v>367</v>
      </c>
      <c r="AN248">
        <v>-8.6375820999999995</v>
      </c>
      <c r="AO248">
        <v>115.178726</v>
      </c>
      <c r="AP248" t="s">
        <v>1349</v>
      </c>
      <c r="AT248">
        <v>99.2</v>
      </c>
      <c r="AW248">
        <v>0</v>
      </c>
      <c r="AX248">
        <v>0</v>
      </c>
      <c r="BA248">
        <v>0</v>
      </c>
      <c r="BB248">
        <v>0</v>
      </c>
      <c r="BE248">
        <v>0</v>
      </c>
      <c r="BF248">
        <v>0</v>
      </c>
      <c r="BJ248">
        <v>0</v>
      </c>
      <c r="BL248">
        <v>0</v>
      </c>
      <c r="BN248">
        <v>0</v>
      </c>
      <c r="BO248" s="6">
        <v>0</v>
      </c>
      <c r="BP248">
        <v>0</v>
      </c>
      <c r="BQ248">
        <v>0</v>
      </c>
      <c r="BR248">
        <v>0</v>
      </c>
    </row>
    <row r="249" spans="1:70" ht="15" customHeight="1" x14ac:dyDescent="0.35">
      <c r="A249" s="1" t="str">
        <f t="shared" si="7"/>
        <v>ZDZ5</v>
      </c>
      <c r="B249" t="s">
        <v>1350</v>
      </c>
      <c r="C249" t="s">
        <v>1351</v>
      </c>
      <c r="D249" t="s">
        <v>1352</v>
      </c>
      <c r="E249" t="s">
        <v>1353</v>
      </c>
      <c r="F249" t="s">
        <v>1354</v>
      </c>
      <c r="G249" t="s">
        <v>502</v>
      </c>
      <c r="H249" t="s">
        <v>502</v>
      </c>
      <c r="I249" t="s">
        <v>137</v>
      </c>
      <c r="J249" t="b">
        <v>0</v>
      </c>
      <c r="K249" t="s">
        <v>154</v>
      </c>
      <c r="L249" t="s">
        <v>155</v>
      </c>
      <c r="N249" t="s">
        <v>81</v>
      </c>
      <c r="O249" t="s">
        <v>82</v>
      </c>
      <c r="P249" t="s">
        <v>83</v>
      </c>
      <c r="Q249" t="s">
        <v>503</v>
      </c>
      <c r="R249">
        <v>16</v>
      </c>
      <c r="S249" t="s">
        <v>1355</v>
      </c>
      <c r="T249" t="s">
        <v>121</v>
      </c>
      <c r="U249">
        <v>1111111</v>
      </c>
      <c r="V249" t="s">
        <v>122</v>
      </c>
      <c r="W249" t="s">
        <v>550</v>
      </c>
      <c r="X249" t="s">
        <v>551</v>
      </c>
      <c r="Y249" t="s">
        <v>89</v>
      </c>
      <c r="Z249" t="s">
        <v>90</v>
      </c>
      <c r="AA249" t="s">
        <v>506</v>
      </c>
      <c r="AB249">
        <v>2</v>
      </c>
      <c r="AC249">
        <v>6</v>
      </c>
      <c r="AD249" t="b">
        <v>1</v>
      </c>
      <c r="AE249">
        <v>2023</v>
      </c>
      <c r="AF249" s="3">
        <v>367</v>
      </c>
      <c r="AG249" s="3">
        <v>45098</v>
      </c>
      <c r="AH249" s="3">
        <v>46174</v>
      </c>
      <c r="AJ249" s="4"/>
      <c r="AK249" s="4"/>
      <c r="AL249" s="3">
        <v>367</v>
      </c>
      <c r="AM249" s="3">
        <v>367</v>
      </c>
      <c r="AN249">
        <v>-8.5384779000000002</v>
      </c>
      <c r="AO249">
        <v>115.4148591</v>
      </c>
      <c r="AP249" t="s">
        <v>1356</v>
      </c>
      <c r="AT249">
        <v>99.2</v>
      </c>
      <c r="AW249">
        <v>0</v>
      </c>
      <c r="AX249">
        <v>0</v>
      </c>
      <c r="BA249">
        <v>0</v>
      </c>
      <c r="BB249">
        <v>0</v>
      </c>
      <c r="BE249">
        <v>0</v>
      </c>
      <c r="BF249">
        <v>0</v>
      </c>
      <c r="BJ249">
        <v>0</v>
      </c>
      <c r="BL249">
        <v>0</v>
      </c>
      <c r="BN249">
        <v>0</v>
      </c>
      <c r="BO249" s="6">
        <v>0</v>
      </c>
      <c r="BP249">
        <v>0</v>
      </c>
      <c r="BQ249">
        <v>0</v>
      </c>
      <c r="BR249">
        <v>0</v>
      </c>
    </row>
    <row r="250" spans="1:70" ht="15" customHeight="1" x14ac:dyDescent="0.35">
      <c r="A250" s="1" t="str">
        <f t="shared" si="7"/>
        <v>ZRB7</v>
      </c>
      <c r="B250" t="s">
        <v>1357</v>
      </c>
      <c r="C250" t="s">
        <v>1358</v>
      </c>
      <c r="D250" t="s">
        <v>1359</v>
      </c>
      <c r="E250" t="s">
        <v>1360</v>
      </c>
      <c r="F250" t="s">
        <v>501</v>
      </c>
      <c r="G250" t="s">
        <v>502</v>
      </c>
      <c r="H250" t="s">
        <v>502</v>
      </c>
      <c r="I250" t="s">
        <v>178</v>
      </c>
      <c r="J250" t="b">
        <v>0</v>
      </c>
      <c r="K250" t="s">
        <v>154</v>
      </c>
      <c r="L250" t="s">
        <v>155</v>
      </c>
      <c r="N250" t="s">
        <v>81</v>
      </c>
      <c r="O250" t="s">
        <v>82</v>
      </c>
      <c r="P250" t="s">
        <v>83</v>
      </c>
      <c r="Q250" t="s">
        <v>503</v>
      </c>
      <c r="R250">
        <v>15</v>
      </c>
      <c r="S250" t="s">
        <v>85</v>
      </c>
      <c r="T250" t="s">
        <v>121</v>
      </c>
      <c r="U250">
        <v>1111111</v>
      </c>
      <c r="V250" t="s">
        <v>122</v>
      </c>
      <c r="W250" t="s">
        <v>571</v>
      </c>
      <c r="X250" t="s">
        <v>572</v>
      </c>
      <c r="Y250" t="s">
        <v>89</v>
      </c>
      <c r="Z250" t="s">
        <v>90</v>
      </c>
      <c r="AA250" t="s">
        <v>506</v>
      </c>
      <c r="AB250">
        <v>1</v>
      </c>
      <c r="AC250">
        <v>6</v>
      </c>
      <c r="AD250" t="b">
        <v>1</v>
      </c>
      <c r="AE250">
        <v>2023</v>
      </c>
      <c r="AF250" s="3">
        <v>367</v>
      </c>
      <c r="AG250" s="3">
        <v>45098</v>
      </c>
      <c r="AH250" s="3">
        <v>46174</v>
      </c>
      <c r="AJ250" s="4"/>
      <c r="AK250" s="4"/>
      <c r="AL250" s="3">
        <v>367</v>
      </c>
      <c r="AM250" s="3">
        <v>367</v>
      </c>
      <c r="AN250">
        <v>-8.6615839999999995</v>
      </c>
      <c r="AO250">
        <v>115.18786729999999</v>
      </c>
      <c r="AP250" t="s">
        <v>1361</v>
      </c>
      <c r="AT250">
        <v>99.2</v>
      </c>
      <c r="AW250">
        <v>0</v>
      </c>
      <c r="AX250">
        <v>0</v>
      </c>
      <c r="BA250">
        <v>0</v>
      </c>
      <c r="BB250">
        <v>0</v>
      </c>
      <c r="BE250">
        <v>0</v>
      </c>
      <c r="BF250">
        <v>0</v>
      </c>
      <c r="BJ250">
        <v>0</v>
      </c>
      <c r="BL250">
        <v>0</v>
      </c>
      <c r="BN250">
        <v>0</v>
      </c>
      <c r="BO250" s="6">
        <v>0</v>
      </c>
      <c r="BP250">
        <v>0</v>
      </c>
      <c r="BQ250">
        <v>0</v>
      </c>
      <c r="BR250">
        <v>0</v>
      </c>
    </row>
    <row r="251" spans="1:70" ht="15" customHeight="1" x14ac:dyDescent="0.35">
      <c r="A251" s="1" t="str">
        <f t="shared" si="7"/>
        <v>ZRF7</v>
      </c>
      <c r="B251" t="s">
        <v>1362</v>
      </c>
      <c r="C251" t="s">
        <v>1363</v>
      </c>
      <c r="D251" t="s">
        <v>1364</v>
      </c>
      <c r="E251" t="s">
        <v>1365</v>
      </c>
      <c r="F251" t="s">
        <v>501</v>
      </c>
      <c r="G251" t="s">
        <v>502</v>
      </c>
      <c r="H251" t="s">
        <v>502</v>
      </c>
      <c r="I251" t="s">
        <v>148</v>
      </c>
      <c r="J251" t="b">
        <v>0</v>
      </c>
      <c r="K251" t="s">
        <v>154</v>
      </c>
      <c r="L251" t="s">
        <v>155</v>
      </c>
      <c r="N251" t="s">
        <v>81</v>
      </c>
      <c r="O251" t="s">
        <v>82</v>
      </c>
      <c r="P251" t="s">
        <v>83</v>
      </c>
      <c r="Q251" t="s">
        <v>503</v>
      </c>
      <c r="R251">
        <v>24</v>
      </c>
      <c r="S251" t="s">
        <v>85</v>
      </c>
      <c r="T251" t="s">
        <v>121</v>
      </c>
      <c r="U251">
        <v>1111111</v>
      </c>
      <c r="V251" t="s">
        <v>122</v>
      </c>
      <c r="W251" t="s">
        <v>571</v>
      </c>
      <c r="X251" t="s">
        <v>572</v>
      </c>
      <c r="Y251" t="s">
        <v>89</v>
      </c>
      <c r="Z251" t="s">
        <v>90</v>
      </c>
      <c r="AA251" t="s">
        <v>506</v>
      </c>
      <c r="AB251">
        <v>1</v>
      </c>
      <c r="AC251">
        <v>6</v>
      </c>
      <c r="AD251" t="b">
        <v>1</v>
      </c>
      <c r="AE251">
        <v>2023</v>
      </c>
      <c r="AF251" s="3">
        <v>367</v>
      </c>
      <c r="AG251" s="3">
        <v>45098</v>
      </c>
      <c r="AH251" s="3">
        <v>46174</v>
      </c>
      <c r="AJ251" s="4"/>
      <c r="AK251" s="4"/>
      <c r="AL251" s="3">
        <v>367</v>
      </c>
      <c r="AM251" s="3">
        <v>367</v>
      </c>
      <c r="AN251">
        <v>-8.6543580000000002</v>
      </c>
      <c r="AO251">
        <v>115.2075364</v>
      </c>
      <c r="AP251" t="s">
        <v>1366</v>
      </c>
      <c r="AT251">
        <v>99.2</v>
      </c>
      <c r="AW251">
        <v>0</v>
      </c>
      <c r="AX251">
        <v>0</v>
      </c>
      <c r="BA251">
        <v>0</v>
      </c>
      <c r="BB251">
        <v>0</v>
      </c>
      <c r="BE251">
        <v>0</v>
      </c>
      <c r="BF251">
        <v>0</v>
      </c>
      <c r="BJ251">
        <v>0</v>
      </c>
      <c r="BL251">
        <v>0</v>
      </c>
      <c r="BN251">
        <v>0</v>
      </c>
      <c r="BO251" s="6">
        <v>0</v>
      </c>
      <c r="BP251">
        <v>0</v>
      </c>
      <c r="BQ251">
        <v>0</v>
      </c>
      <c r="BR251">
        <v>0</v>
      </c>
    </row>
    <row r="252" spans="1:70" ht="15" customHeight="1" x14ac:dyDescent="0.35">
      <c r="A252" s="1" t="str">
        <f t="shared" si="7"/>
        <v>ZUB7</v>
      </c>
      <c r="B252" t="s">
        <v>1367</v>
      </c>
      <c r="C252" t="s">
        <v>1368</v>
      </c>
      <c r="D252" t="s">
        <v>1369</v>
      </c>
      <c r="E252" t="s">
        <v>1370</v>
      </c>
      <c r="F252" t="s">
        <v>501</v>
      </c>
      <c r="G252" t="s">
        <v>502</v>
      </c>
      <c r="H252" t="s">
        <v>502</v>
      </c>
      <c r="I252" t="s">
        <v>137</v>
      </c>
      <c r="J252" t="b">
        <v>0</v>
      </c>
      <c r="K252" t="s">
        <v>154</v>
      </c>
      <c r="L252" t="s">
        <v>155</v>
      </c>
      <c r="N252" t="s">
        <v>81</v>
      </c>
      <c r="O252" t="s">
        <v>82</v>
      </c>
      <c r="P252" t="s">
        <v>83</v>
      </c>
      <c r="Q252" t="s">
        <v>503</v>
      </c>
      <c r="R252">
        <v>24</v>
      </c>
      <c r="S252" t="s">
        <v>121</v>
      </c>
      <c r="T252" t="s">
        <v>121</v>
      </c>
      <c r="U252">
        <v>1111111</v>
      </c>
      <c r="V252" t="s">
        <v>122</v>
      </c>
      <c r="W252" t="s">
        <v>571</v>
      </c>
      <c r="X252" t="s">
        <v>572</v>
      </c>
      <c r="Y252" t="s">
        <v>89</v>
      </c>
      <c r="Z252" t="s">
        <v>90</v>
      </c>
      <c r="AA252" t="s">
        <v>506</v>
      </c>
      <c r="AB252">
        <v>1</v>
      </c>
      <c r="AC252">
        <v>6</v>
      </c>
      <c r="AD252" t="b">
        <v>1</v>
      </c>
      <c r="AE252">
        <v>2023</v>
      </c>
      <c r="AF252" s="3">
        <v>367</v>
      </c>
      <c r="AG252" s="3">
        <v>45098</v>
      </c>
      <c r="AH252" s="3">
        <v>46174</v>
      </c>
      <c r="AJ252" s="4"/>
      <c r="AK252" s="4"/>
      <c r="AL252" s="3">
        <v>367</v>
      </c>
      <c r="AM252" s="3">
        <v>367</v>
      </c>
      <c r="AN252">
        <v>-8.6125124</v>
      </c>
      <c r="AO252">
        <v>115.1922991</v>
      </c>
      <c r="AP252" t="s">
        <v>1371</v>
      </c>
      <c r="AT252">
        <v>99.2</v>
      </c>
      <c r="AW252">
        <v>0</v>
      </c>
      <c r="AX252">
        <v>0</v>
      </c>
      <c r="BA252">
        <v>0</v>
      </c>
      <c r="BB252">
        <v>0</v>
      </c>
      <c r="BE252">
        <v>0</v>
      </c>
      <c r="BF252">
        <v>0</v>
      </c>
      <c r="BJ252">
        <v>0</v>
      </c>
      <c r="BL252">
        <v>0</v>
      </c>
      <c r="BN252">
        <v>0</v>
      </c>
      <c r="BO252" s="6">
        <v>0</v>
      </c>
      <c r="BP252">
        <v>0</v>
      </c>
      <c r="BQ252">
        <v>0</v>
      </c>
      <c r="BR252">
        <v>0</v>
      </c>
    </row>
    <row r="253" spans="1:70" ht="15" customHeight="1" x14ac:dyDescent="0.35">
      <c r="A253" s="1" t="str">
        <f t="shared" si="7"/>
        <v>ZRJ7</v>
      </c>
      <c r="B253" t="s">
        <v>1372</v>
      </c>
      <c r="C253" t="s">
        <v>1373</v>
      </c>
      <c r="D253" t="s">
        <v>1374</v>
      </c>
      <c r="E253" t="s">
        <v>1360</v>
      </c>
      <c r="F253" t="s">
        <v>501</v>
      </c>
      <c r="G253" t="s">
        <v>502</v>
      </c>
      <c r="H253" t="s">
        <v>502</v>
      </c>
      <c r="I253" t="s">
        <v>137</v>
      </c>
      <c r="J253" t="b">
        <v>0</v>
      </c>
      <c r="K253" t="s">
        <v>154</v>
      </c>
      <c r="L253" t="s">
        <v>155</v>
      </c>
      <c r="N253" t="s">
        <v>81</v>
      </c>
      <c r="O253" t="s">
        <v>82</v>
      </c>
      <c r="P253" t="s">
        <v>83</v>
      </c>
      <c r="Q253" t="s">
        <v>503</v>
      </c>
      <c r="R253">
        <v>17</v>
      </c>
      <c r="S253" t="s">
        <v>85</v>
      </c>
      <c r="T253" t="s">
        <v>121</v>
      </c>
      <c r="U253">
        <v>1111111</v>
      </c>
      <c r="V253" t="s">
        <v>122</v>
      </c>
      <c r="W253" t="s">
        <v>571</v>
      </c>
      <c r="X253" t="s">
        <v>572</v>
      </c>
      <c r="Y253" t="s">
        <v>89</v>
      </c>
      <c r="Z253" t="s">
        <v>90</v>
      </c>
      <c r="AA253" t="s">
        <v>506</v>
      </c>
      <c r="AB253">
        <v>1</v>
      </c>
      <c r="AC253">
        <v>6</v>
      </c>
      <c r="AD253" t="b">
        <v>1</v>
      </c>
      <c r="AE253">
        <v>2023</v>
      </c>
      <c r="AF253" s="3">
        <v>367</v>
      </c>
      <c r="AG253" s="3">
        <v>45098</v>
      </c>
      <c r="AH253" s="3">
        <v>46174</v>
      </c>
      <c r="AJ253" s="4"/>
      <c r="AK253" s="4"/>
      <c r="AL253" s="3">
        <v>367</v>
      </c>
      <c r="AM253" s="3">
        <v>367</v>
      </c>
      <c r="AN253">
        <v>-8.6610478000000004</v>
      </c>
      <c r="AO253">
        <v>115.18770189999999</v>
      </c>
      <c r="AP253" t="s">
        <v>1375</v>
      </c>
      <c r="AT253">
        <v>99.2</v>
      </c>
      <c r="AW253">
        <v>0</v>
      </c>
      <c r="AX253">
        <v>0</v>
      </c>
      <c r="BA253">
        <v>0</v>
      </c>
      <c r="BB253">
        <v>0</v>
      </c>
      <c r="BE253">
        <v>0</v>
      </c>
      <c r="BF253">
        <v>0</v>
      </c>
      <c r="BJ253">
        <v>0</v>
      </c>
      <c r="BL253">
        <v>0</v>
      </c>
      <c r="BN253">
        <v>0</v>
      </c>
      <c r="BO253" s="6">
        <v>0</v>
      </c>
      <c r="BP253">
        <v>0</v>
      </c>
      <c r="BQ253">
        <v>0</v>
      </c>
      <c r="BR253">
        <v>0</v>
      </c>
    </row>
    <row r="254" spans="1:70" ht="15" customHeight="1" x14ac:dyDescent="0.35">
      <c r="A254" s="1" t="str">
        <f t="shared" si="7"/>
        <v>ZRD6</v>
      </c>
      <c r="B254" t="s">
        <v>1376</v>
      </c>
      <c r="C254" t="s">
        <v>1377</v>
      </c>
      <c r="D254" t="s">
        <v>1378</v>
      </c>
      <c r="E254" t="s">
        <v>1379</v>
      </c>
      <c r="F254" t="s">
        <v>516</v>
      </c>
      <c r="G254" t="s">
        <v>502</v>
      </c>
      <c r="H254" t="s">
        <v>502</v>
      </c>
      <c r="I254" t="s">
        <v>137</v>
      </c>
      <c r="J254" t="b">
        <v>0</v>
      </c>
      <c r="K254" t="s">
        <v>154</v>
      </c>
      <c r="L254" t="s">
        <v>155</v>
      </c>
      <c r="N254" t="s">
        <v>81</v>
      </c>
      <c r="O254" t="s">
        <v>82</v>
      </c>
      <c r="P254" t="s">
        <v>83</v>
      </c>
      <c r="Q254" t="s">
        <v>503</v>
      </c>
      <c r="R254">
        <v>15</v>
      </c>
      <c r="S254" t="s">
        <v>121</v>
      </c>
      <c r="T254" t="s">
        <v>121</v>
      </c>
      <c r="U254">
        <v>1111111</v>
      </c>
      <c r="V254" t="s">
        <v>122</v>
      </c>
      <c r="W254" t="s">
        <v>504</v>
      </c>
      <c r="X254" t="s">
        <v>505</v>
      </c>
      <c r="Y254" t="s">
        <v>89</v>
      </c>
      <c r="Z254" t="s">
        <v>90</v>
      </c>
      <c r="AA254" t="s">
        <v>506</v>
      </c>
      <c r="AB254">
        <v>1</v>
      </c>
      <c r="AC254">
        <v>6</v>
      </c>
      <c r="AD254" t="b">
        <v>1</v>
      </c>
      <c r="AE254">
        <v>2023</v>
      </c>
      <c r="AF254" s="3">
        <v>367</v>
      </c>
      <c r="AG254" s="3">
        <v>45099</v>
      </c>
      <c r="AH254" s="3">
        <v>46174</v>
      </c>
      <c r="AJ254" s="4"/>
      <c r="AK254" s="4"/>
      <c r="AL254" s="3">
        <v>367</v>
      </c>
      <c r="AM254" s="3">
        <v>367</v>
      </c>
      <c r="AN254">
        <v>-8.7931833000000008</v>
      </c>
      <c r="AO254">
        <v>115.22517670000001</v>
      </c>
      <c r="AP254" t="s">
        <v>1380</v>
      </c>
      <c r="AT254">
        <v>99.2</v>
      </c>
      <c r="AW254">
        <v>0</v>
      </c>
      <c r="AX254">
        <v>0</v>
      </c>
      <c r="BA254">
        <v>0</v>
      </c>
      <c r="BB254">
        <v>0</v>
      </c>
      <c r="BE254">
        <v>0</v>
      </c>
      <c r="BF254">
        <v>0</v>
      </c>
      <c r="BJ254">
        <v>0</v>
      </c>
      <c r="BL254">
        <v>0</v>
      </c>
      <c r="BN254">
        <v>0</v>
      </c>
      <c r="BO254" s="6">
        <v>0</v>
      </c>
      <c r="BP254">
        <v>0</v>
      </c>
      <c r="BQ254">
        <v>0</v>
      </c>
      <c r="BR254">
        <v>0</v>
      </c>
    </row>
    <row r="255" spans="1:70" ht="15" customHeight="1" x14ac:dyDescent="0.35">
      <c r="A255" s="1" t="str">
        <f t="shared" si="7"/>
        <v>ZRM6</v>
      </c>
      <c r="B255" t="s">
        <v>1381</v>
      </c>
      <c r="C255" t="s">
        <v>1382</v>
      </c>
      <c r="D255" t="s">
        <v>1383</v>
      </c>
      <c r="E255" t="s">
        <v>1384</v>
      </c>
      <c r="F255" t="s">
        <v>516</v>
      </c>
      <c r="G255" t="s">
        <v>502</v>
      </c>
      <c r="H255" t="s">
        <v>502</v>
      </c>
      <c r="I255" t="s">
        <v>148</v>
      </c>
      <c r="J255" t="b">
        <v>0</v>
      </c>
      <c r="K255" t="s">
        <v>154</v>
      </c>
      <c r="L255" t="s">
        <v>155</v>
      </c>
      <c r="N255" t="s">
        <v>81</v>
      </c>
      <c r="O255" t="s">
        <v>82</v>
      </c>
      <c r="P255" t="s">
        <v>83</v>
      </c>
      <c r="Q255" t="s">
        <v>503</v>
      </c>
      <c r="R255">
        <v>24</v>
      </c>
      <c r="S255" t="s">
        <v>85</v>
      </c>
      <c r="T255" t="s">
        <v>121</v>
      </c>
      <c r="U255">
        <v>1111111</v>
      </c>
      <c r="V255" t="s">
        <v>122</v>
      </c>
      <c r="W255" t="s">
        <v>637</v>
      </c>
      <c r="X255" t="s">
        <v>638</v>
      </c>
      <c r="Y255" t="s">
        <v>89</v>
      </c>
      <c r="Z255" t="s">
        <v>90</v>
      </c>
      <c r="AA255" t="s">
        <v>506</v>
      </c>
      <c r="AB255">
        <v>1</v>
      </c>
      <c r="AC255">
        <v>6</v>
      </c>
      <c r="AD255" t="b">
        <v>1</v>
      </c>
      <c r="AE255">
        <v>2023</v>
      </c>
      <c r="AF255" s="3">
        <v>367</v>
      </c>
      <c r="AG255" s="3">
        <v>45099</v>
      </c>
      <c r="AH255" s="3">
        <v>46174</v>
      </c>
      <c r="AJ255" s="4"/>
      <c r="AK255" s="4"/>
      <c r="AL255" s="3">
        <v>367</v>
      </c>
      <c r="AM255" s="3">
        <v>367</v>
      </c>
      <c r="AN255">
        <v>-8.7858491999999995</v>
      </c>
      <c r="AO255">
        <v>115.1670599</v>
      </c>
      <c r="AP255" t="s">
        <v>1385</v>
      </c>
      <c r="AT255">
        <v>99.2</v>
      </c>
      <c r="AW255">
        <v>0</v>
      </c>
      <c r="AX255">
        <v>0</v>
      </c>
      <c r="BA255">
        <v>0</v>
      </c>
      <c r="BB255">
        <v>0</v>
      </c>
      <c r="BE255">
        <v>0</v>
      </c>
      <c r="BF255">
        <v>0</v>
      </c>
      <c r="BJ255">
        <v>0</v>
      </c>
      <c r="BL255">
        <v>0</v>
      </c>
      <c r="BN255">
        <v>0</v>
      </c>
      <c r="BO255" s="6">
        <v>0</v>
      </c>
      <c r="BP255">
        <v>0</v>
      </c>
      <c r="BQ255">
        <v>0</v>
      </c>
      <c r="BR255">
        <v>0</v>
      </c>
    </row>
    <row r="256" spans="1:70" ht="15" customHeight="1" x14ac:dyDescent="0.35">
      <c r="A256" s="1" t="str">
        <f t="shared" si="7"/>
        <v>ZRN6</v>
      </c>
      <c r="B256" t="s">
        <v>1386</v>
      </c>
      <c r="C256" t="s">
        <v>1387</v>
      </c>
      <c r="D256" t="s">
        <v>1388</v>
      </c>
      <c r="E256" t="s">
        <v>1389</v>
      </c>
      <c r="F256" t="s">
        <v>516</v>
      </c>
      <c r="G256" t="s">
        <v>502</v>
      </c>
      <c r="H256" t="s">
        <v>502</v>
      </c>
      <c r="I256" t="s">
        <v>137</v>
      </c>
      <c r="J256" t="b">
        <v>0</v>
      </c>
      <c r="K256" t="s">
        <v>154</v>
      </c>
      <c r="L256" t="s">
        <v>155</v>
      </c>
      <c r="N256" t="s">
        <v>81</v>
      </c>
      <c r="O256" t="s">
        <v>82</v>
      </c>
      <c r="P256" t="s">
        <v>83</v>
      </c>
      <c r="Q256" t="s">
        <v>503</v>
      </c>
      <c r="R256">
        <v>24</v>
      </c>
      <c r="S256" t="s">
        <v>85</v>
      </c>
      <c r="T256" t="s">
        <v>121</v>
      </c>
      <c r="U256">
        <v>1111111</v>
      </c>
      <c r="V256" t="s">
        <v>122</v>
      </c>
      <c r="W256" t="s">
        <v>523</v>
      </c>
      <c r="X256" t="s">
        <v>524</v>
      </c>
      <c r="Y256" t="s">
        <v>89</v>
      </c>
      <c r="Z256" t="s">
        <v>90</v>
      </c>
      <c r="AA256" t="s">
        <v>506</v>
      </c>
      <c r="AB256">
        <v>1</v>
      </c>
      <c r="AC256">
        <v>6</v>
      </c>
      <c r="AD256" t="b">
        <v>1</v>
      </c>
      <c r="AE256">
        <v>2023</v>
      </c>
      <c r="AF256" s="3">
        <v>367</v>
      </c>
      <c r="AG256" s="3">
        <v>45099</v>
      </c>
      <c r="AH256" s="3">
        <v>46174</v>
      </c>
      <c r="AJ256" s="4"/>
      <c r="AK256" s="4"/>
      <c r="AL256" s="3">
        <v>367</v>
      </c>
      <c r="AM256" s="3">
        <v>367</v>
      </c>
      <c r="AN256">
        <v>-8.6973418000000002</v>
      </c>
      <c r="AO256">
        <v>115.17255299999999</v>
      </c>
      <c r="AP256" t="s">
        <v>1390</v>
      </c>
      <c r="AT256">
        <v>99.2</v>
      </c>
      <c r="AW256">
        <v>0</v>
      </c>
      <c r="AX256">
        <v>0</v>
      </c>
      <c r="BA256">
        <v>0</v>
      </c>
      <c r="BB256">
        <v>0</v>
      </c>
      <c r="BE256">
        <v>0</v>
      </c>
      <c r="BF256">
        <v>0</v>
      </c>
      <c r="BJ256">
        <v>0</v>
      </c>
      <c r="BL256">
        <v>0</v>
      </c>
      <c r="BN256">
        <v>0</v>
      </c>
      <c r="BO256" s="6">
        <v>0</v>
      </c>
      <c r="BP256">
        <v>0</v>
      </c>
      <c r="BQ256">
        <v>0</v>
      </c>
      <c r="BR256">
        <v>0</v>
      </c>
    </row>
    <row r="257" spans="1:70" ht="15" customHeight="1" x14ac:dyDescent="0.35">
      <c r="A257" s="1" t="str">
        <f t="shared" si="7"/>
        <v>ZUP8</v>
      </c>
      <c r="B257" t="s">
        <v>1391</v>
      </c>
      <c r="C257" t="s">
        <v>1392</v>
      </c>
      <c r="D257" t="s">
        <v>1393</v>
      </c>
      <c r="E257" t="s">
        <v>1394</v>
      </c>
      <c r="F257" t="s">
        <v>516</v>
      </c>
      <c r="G257" t="s">
        <v>502</v>
      </c>
      <c r="H257" t="s">
        <v>502</v>
      </c>
      <c r="I257" t="s">
        <v>137</v>
      </c>
      <c r="J257" t="b">
        <v>0</v>
      </c>
      <c r="K257" t="s">
        <v>154</v>
      </c>
      <c r="L257" t="s">
        <v>155</v>
      </c>
      <c r="N257" t="s">
        <v>81</v>
      </c>
      <c r="O257" t="s">
        <v>82</v>
      </c>
      <c r="P257" t="s">
        <v>83</v>
      </c>
      <c r="Q257" t="s">
        <v>503</v>
      </c>
      <c r="R257">
        <v>24</v>
      </c>
      <c r="S257" t="s">
        <v>85</v>
      </c>
      <c r="T257" t="s">
        <v>121</v>
      </c>
      <c r="U257">
        <v>1111111</v>
      </c>
      <c r="V257" t="s">
        <v>122</v>
      </c>
      <c r="W257" t="s">
        <v>637</v>
      </c>
      <c r="X257" t="s">
        <v>638</v>
      </c>
      <c r="Y257" t="s">
        <v>89</v>
      </c>
      <c r="Z257" t="s">
        <v>90</v>
      </c>
      <c r="AA257" t="s">
        <v>506</v>
      </c>
      <c r="AB257">
        <v>1</v>
      </c>
      <c r="AC257">
        <v>6</v>
      </c>
      <c r="AD257" t="b">
        <v>1</v>
      </c>
      <c r="AE257">
        <v>2023</v>
      </c>
      <c r="AF257" s="3">
        <v>367</v>
      </c>
      <c r="AG257" s="3">
        <v>45099</v>
      </c>
      <c r="AH257" s="3">
        <v>46174</v>
      </c>
      <c r="AJ257" s="4"/>
      <c r="AK257" s="4"/>
      <c r="AL257" s="3">
        <v>367</v>
      </c>
      <c r="AM257" s="3">
        <v>367</v>
      </c>
      <c r="AN257">
        <v>-8.7828873999999999</v>
      </c>
      <c r="AO257">
        <v>115.1734656</v>
      </c>
      <c r="AP257" t="s">
        <v>1395</v>
      </c>
      <c r="AT257">
        <v>99.2</v>
      </c>
      <c r="AW257">
        <v>0</v>
      </c>
      <c r="AX257">
        <v>0</v>
      </c>
      <c r="BA257">
        <v>0</v>
      </c>
      <c r="BB257">
        <v>0</v>
      </c>
      <c r="BE257">
        <v>0</v>
      </c>
      <c r="BF257">
        <v>0</v>
      </c>
      <c r="BJ257">
        <v>0</v>
      </c>
      <c r="BL257">
        <v>0</v>
      </c>
      <c r="BN257">
        <v>0</v>
      </c>
      <c r="BO257" s="6">
        <v>0</v>
      </c>
      <c r="BP257">
        <v>0</v>
      </c>
      <c r="BQ257">
        <v>0</v>
      </c>
      <c r="BR257">
        <v>0</v>
      </c>
    </row>
    <row r="258" spans="1:70" ht="15" customHeight="1" x14ac:dyDescent="0.35">
      <c r="A258" s="1" t="str">
        <f t="shared" si="7"/>
        <v>00T3</v>
      </c>
      <c r="B258" t="s">
        <v>1396</v>
      </c>
      <c r="C258" t="s">
        <v>1397</v>
      </c>
      <c r="D258" t="s">
        <v>1398</v>
      </c>
      <c r="E258" t="s">
        <v>1399</v>
      </c>
      <c r="F258" t="s">
        <v>516</v>
      </c>
      <c r="G258" t="s">
        <v>502</v>
      </c>
      <c r="H258" t="s">
        <v>502</v>
      </c>
      <c r="I258" t="s">
        <v>148</v>
      </c>
      <c r="J258" t="b">
        <v>0</v>
      </c>
      <c r="K258" t="s">
        <v>78</v>
      </c>
      <c r="L258" t="s">
        <v>79</v>
      </c>
      <c r="N258" t="s">
        <v>81</v>
      </c>
      <c r="O258" t="s">
        <v>82</v>
      </c>
      <c r="P258" t="s">
        <v>83</v>
      </c>
      <c r="Q258" t="s">
        <v>503</v>
      </c>
      <c r="R258">
        <v>24</v>
      </c>
      <c r="S258" t="s">
        <v>85</v>
      </c>
      <c r="T258" t="s">
        <v>121</v>
      </c>
      <c r="U258">
        <v>1111111</v>
      </c>
      <c r="V258" t="s">
        <v>122</v>
      </c>
      <c r="W258" t="s">
        <v>517</v>
      </c>
      <c r="X258" t="s">
        <v>518</v>
      </c>
      <c r="Y258" t="s">
        <v>89</v>
      </c>
      <c r="Z258" t="s">
        <v>90</v>
      </c>
      <c r="AA258" t="s">
        <v>506</v>
      </c>
      <c r="AB258">
        <v>1</v>
      </c>
      <c r="AC258">
        <v>6</v>
      </c>
      <c r="AD258" t="b">
        <v>1</v>
      </c>
      <c r="AE258">
        <v>2023</v>
      </c>
      <c r="AF258" s="3">
        <v>367</v>
      </c>
      <c r="AG258" s="3">
        <v>45097</v>
      </c>
      <c r="AH258" s="3">
        <v>46193</v>
      </c>
      <c r="AJ258" s="4"/>
      <c r="AK258" s="4"/>
      <c r="AL258" s="3">
        <v>367</v>
      </c>
      <c r="AM258" s="3">
        <v>367</v>
      </c>
      <c r="AN258">
        <v>-8.6427887000000005</v>
      </c>
      <c r="AO258">
        <v>115.12922399999999</v>
      </c>
      <c r="AP258" t="s">
        <v>1400</v>
      </c>
      <c r="AT258">
        <v>99.75</v>
      </c>
      <c r="AW258">
        <v>0</v>
      </c>
      <c r="AX258">
        <v>0</v>
      </c>
      <c r="BA258">
        <v>0</v>
      </c>
      <c r="BB258">
        <v>0</v>
      </c>
      <c r="BE258">
        <v>0</v>
      </c>
      <c r="BF258">
        <v>0</v>
      </c>
      <c r="BJ258">
        <v>0</v>
      </c>
      <c r="BL258">
        <v>0</v>
      </c>
      <c r="BN258">
        <v>0</v>
      </c>
      <c r="BO258" s="6">
        <v>0</v>
      </c>
      <c r="BP258">
        <v>0</v>
      </c>
      <c r="BQ258">
        <v>0</v>
      </c>
      <c r="BR258">
        <v>0</v>
      </c>
    </row>
    <row r="259" spans="1:70" ht="15" customHeight="1" x14ac:dyDescent="0.35">
      <c r="A259" s="1" t="str">
        <f t="shared" ref="A259:A322" si="10">LEFT(B259,LEN(B259)-3)</f>
        <v>ZRK6</v>
      </c>
      <c r="B259" t="s">
        <v>1401</v>
      </c>
      <c r="C259" t="s">
        <v>1402</v>
      </c>
      <c r="D259" t="s">
        <v>1403</v>
      </c>
      <c r="E259" t="s">
        <v>1404</v>
      </c>
      <c r="F259" t="s">
        <v>516</v>
      </c>
      <c r="G259" t="s">
        <v>502</v>
      </c>
      <c r="H259" t="s">
        <v>502</v>
      </c>
      <c r="I259" t="s">
        <v>137</v>
      </c>
      <c r="J259" t="b">
        <v>0</v>
      </c>
      <c r="K259" t="s">
        <v>154</v>
      </c>
      <c r="L259" t="s">
        <v>155</v>
      </c>
      <c r="N259" t="s">
        <v>81</v>
      </c>
      <c r="O259" t="s">
        <v>82</v>
      </c>
      <c r="P259" t="s">
        <v>83</v>
      </c>
      <c r="Q259" t="s">
        <v>503</v>
      </c>
      <c r="R259">
        <v>15</v>
      </c>
      <c r="S259" t="s">
        <v>121</v>
      </c>
      <c r="T259" t="s">
        <v>179</v>
      </c>
      <c r="U259">
        <v>1111111</v>
      </c>
      <c r="V259" t="s">
        <v>122</v>
      </c>
      <c r="W259" t="s">
        <v>504</v>
      </c>
      <c r="X259" t="s">
        <v>505</v>
      </c>
      <c r="Y259" t="s">
        <v>89</v>
      </c>
      <c r="Z259" t="s">
        <v>90</v>
      </c>
      <c r="AA259" t="s">
        <v>506</v>
      </c>
      <c r="AB259">
        <v>1</v>
      </c>
      <c r="AC259">
        <v>6</v>
      </c>
      <c r="AD259" t="b">
        <v>1</v>
      </c>
      <c r="AE259">
        <v>2023</v>
      </c>
      <c r="AF259" s="3">
        <v>367</v>
      </c>
      <c r="AG259" s="3">
        <v>45100</v>
      </c>
      <c r="AH259" s="3">
        <v>46193</v>
      </c>
      <c r="AJ259" s="4"/>
      <c r="AK259" s="4"/>
      <c r="AL259" s="3">
        <v>367</v>
      </c>
      <c r="AM259" s="3">
        <v>367</v>
      </c>
      <c r="AN259">
        <v>-8.7996880999999991</v>
      </c>
      <c r="AO259">
        <v>115.18533669999999</v>
      </c>
      <c r="AP259" t="s">
        <v>1405</v>
      </c>
      <c r="AT259">
        <v>99.2</v>
      </c>
      <c r="AW259">
        <v>0</v>
      </c>
      <c r="AX259">
        <v>0</v>
      </c>
      <c r="BA259">
        <v>0</v>
      </c>
      <c r="BB259">
        <v>0</v>
      </c>
      <c r="BE259">
        <v>0</v>
      </c>
      <c r="BF259">
        <v>0</v>
      </c>
      <c r="BJ259">
        <v>0</v>
      </c>
      <c r="BL259">
        <v>0</v>
      </c>
      <c r="BN259">
        <v>0</v>
      </c>
      <c r="BO259" s="6">
        <v>0</v>
      </c>
      <c r="BP259">
        <v>0</v>
      </c>
      <c r="BQ259">
        <v>0</v>
      </c>
      <c r="BR259">
        <v>0</v>
      </c>
    </row>
    <row r="260" spans="1:70" ht="15" customHeight="1" x14ac:dyDescent="0.35">
      <c r="A260" s="1" t="str">
        <f t="shared" si="10"/>
        <v>ZRX6</v>
      </c>
      <c r="B260" t="s">
        <v>1406</v>
      </c>
      <c r="C260" t="s">
        <v>1407</v>
      </c>
      <c r="D260" t="s">
        <v>1408</v>
      </c>
      <c r="E260" t="s">
        <v>1409</v>
      </c>
      <c r="F260" t="s">
        <v>501</v>
      </c>
      <c r="G260" t="s">
        <v>502</v>
      </c>
      <c r="H260" t="s">
        <v>502</v>
      </c>
      <c r="I260" t="s">
        <v>137</v>
      </c>
      <c r="J260" t="b">
        <v>0</v>
      </c>
      <c r="K260" t="s">
        <v>154</v>
      </c>
      <c r="L260" t="s">
        <v>155</v>
      </c>
      <c r="N260" t="s">
        <v>81</v>
      </c>
      <c r="O260" t="s">
        <v>82</v>
      </c>
      <c r="P260" t="s">
        <v>83</v>
      </c>
      <c r="Q260" t="s">
        <v>549</v>
      </c>
      <c r="R260">
        <v>24</v>
      </c>
      <c r="S260" t="s">
        <v>85</v>
      </c>
      <c r="T260" t="s">
        <v>179</v>
      </c>
      <c r="U260">
        <v>1111111</v>
      </c>
      <c r="V260" t="s">
        <v>122</v>
      </c>
      <c r="W260" t="s">
        <v>694</v>
      </c>
      <c r="X260" t="s">
        <v>695</v>
      </c>
      <c r="Y260" t="s">
        <v>89</v>
      </c>
      <c r="Z260" t="s">
        <v>90</v>
      </c>
      <c r="AA260" t="s">
        <v>506</v>
      </c>
      <c r="AB260">
        <v>1</v>
      </c>
      <c r="AC260">
        <v>6</v>
      </c>
      <c r="AD260" t="b">
        <v>1</v>
      </c>
      <c r="AE260">
        <v>2023</v>
      </c>
      <c r="AF260" s="3">
        <v>367</v>
      </c>
      <c r="AG260" s="3">
        <v>45101</v>
      </c>
      <c r="AH260" s="3">
        <v>46193</v>
      </c>
      <c r="AJ260" s="4"/>
      <c r="AK260" s="4"/>
      <c r="AL260" s="3">
        <v>367</v>
      </c>
      <c r="AM260" s="3">
        <v>367</v>
      </c>
      <c r="AN260">
        <v>-8.6882705999999992</v>
      </c>
      <c r="AO260">
        <v>115.2221615</v>
      </c>
      <c r="AP260" t="s">
        <v>1410</v>
      </c>
      <c r="AT260">
        <v>99.2</v>
      </c>
      <c r="AW260">
        <v>0</v>
      </c>
      <c r="AX260">
        <v>0</v>
      </c>
      <c r="BA260">
        <v>0</v>
      </c>
      <c r="BB260">
        <v>0</v>
      </c>
      <c r="BE260">
        <v>0</v>
      </c>
      <c r="BF260">
        <v>0</v>
      </c>
      <c r="BJ260">
        <v>0</v>
      </c>
      <c r="BL260">
        <v>0</v>
      </c>
      <c r="BN260">
        <v>0</v>
      </c>
      <c r="BO260" s="6">
        <v>0</v>
      </c>
      <c r="BP260">
        <v>0</v>
      </c>
      <c r="BQ260">
        <v>0</v>
      </c>
      <c r="BR260">
        <v>0</v>
      </c>
    </row>
    <row r="261" spans="1:70" ht="15" customHeight="1" x14ac:dyDescent="0.35">
      <c r="A261" s="1" t="str">
        <f t="shared" si="10"/>
        <v>ZRZ6</v>
      </c>
      <c r="B261" t="s">
        <v>1411</v>
      </c>
      <c r="C261" t="s">
        <v>1412</v>
      </c>
      <c r="D261" t="s">
        <v>1413</v>
      </c>
      <c r="E261" t="s">
        <v>1414</v>
      </c>
      <c r="F261" t="s">
        <v>501</v>
      </c>
      <c r="G261" t="s">
        <v>502</v>
      </c>
      <c r="H261" t="s">
        <v>502</v>
      </c>
      <c r="I261" t="s">
        <v>137</v>
      </c>
      <c r="J261" t="b">
        <v>0</v>
      </c>
      <c r="K261" t="s">
        <v>154</v>
      </c>
      <c r="L261" t="s">
        <v>155</v>
      </c>
      <c r="N261" t="s">
        <v>81</v>
      </c>
      <c r="O261" t="s">
        <v>82</v>
      </c>
      <c r="P261" t="s">
        <v>83</v>
      </c>
      <c r="Q261" t="s">
        <v>549</v>
      </c>
      <c r="R261">
        <v>24</v>
      </c>
      <c r="S261" t="s">
        <v>85</v>
      </c>
      <c r="T261" t="s">
        <v>179</v>
      </c>
      <c r="U261">
        <v>1111111</v>
      </c>
      <c r="V261" t="s">
        <v>122</v>
      </c>
      <c r="W261" t="s">
        <v>694</v>
      </c>
      <c r="X261" t="s">
        <v>695</v>
      </c>
      <c r="Y261" t="s">
        <v>89</v>
      </c>
      <c r="Z261" t="s">
        <v>90</v>
      </c>
      <c r="AA261" t="s">
        <v>506</v>
      </c>
      <c r="AB261">
        <v>1</v>
      </c>
      <c r="AC261">
        <v>6</v>
      </c>
      <c r="AD261" t="b">
        <v>1</v>
      </c>
      <c r="AE261">
        <v>2023</v>
      </c>
      <c r="AF261" s="3">
        <v>367</v>
      </c>
      <c r="AG261" s="3">
        <v>45101</v>
      </c>
      <c r="AH261" s="3">
        <v>46193</v>
      </c>
      <c r="AJ261" s="4"/>
      <c r="AK261" s="4"/>
      <c r="AL261" s="3">
        <v>367</v>
      </c>
      <c r="AM261" s="3">
        <v>367</v>
      </c>
      <c r="AN261">
        <v>-8.6882125000000006</v>
      </c>
      <c r="AO261">
        <v>115.2222266</v>
      </c>
      <c r="AP261" t="s">
        <v>1414</v>
      </c>
      <c r="AT261">
        <v>99.2</v>
      </c>
      <c r="AW261">
        <v>0</v>
      </c>
      <c r="AX261">
        <v>0</v>
      </c>
      <c r="BA261">
        <v>0</v>
      </c>
      <c r="BB261">
        <v>0</v>
      </c>
      <c r="BE261">
        <v>0</v>
      </c>
      <c r="BF261">
        <v>0</v>
      </c>
      <c r="BJ261">
        <v>0</v>
      </c>
      <c r="BL261">
        <v>0</v>
      </c>
      <c r="BN261">
        <v>0</v>
      </c>
      <c r="BO261" s="6">
        <v>0</v>
      </c>
      <c r="BP261">
        <v>0</v>
      </c>
      <c r="BQ261">
        <v>0</v>
      </c>
      <c r="BR261">
        <v>0</v>
      </c>
    </row>
    <row r="262" spans="1:70" ht="15" customHeight="1" x14ac:dyDescent="0.35">
      <c r="A262" s="1" t="str">
        <f t="shared" si="10"/>
        <v>ZRA7</v>
      </c>
      <c r="B262" t="s">
        <v>1415</v>
      </c>
      <c r="C262" t="s">
        <v>1416</v>
      </c>
      <c r="D262" t="s">
        <v>1417</v>
      </c>
      <c r="E262" t="s">
        <v>1418</v>
      </c>
      <c r="F262" t="s">
        <v>501</v>
      </c>
      <c r="G262" t="s">
        <v>502</v>
      </c>
      <c r="H262" t="s">
        <v>502</v>
      </c>
      <c r="I262" t="s">
        <v>178</v>
      </c>
      <c r="J262" t="b">
        <v>0</v>
      </c>
      <c r="K262" t="s">
        <v>154</v>
      </c>
      <c r="L262" t="s">
        <v>155</v>
      </c>
      <c r="N262" t="s">
        <v>81</v>
      </c>
      <c r="O262" t="s">
        <v>82</v>
      </c>
      <c r="P262" t="s">
        <v>83</v>
      </c>
      <c r="Q262" t="s">
        <v>503</v>
      </c>
      <c r="R262">
        <v>15</v>
      </c>
      <c r="S262" t="s">
        <v>85</v>
      </c>
      <c r="T262" t="s">
        <v>179</v>
      </c>
      <c r="U262">
        <v>1111111</v>
      </c>
      <c r="V262" t="s">
        <v>122</v>
      </c>
      <c r="W262" t="s">
        <v>529</v>
      </c>
      <c r="X262" t="s">
        <v>530</v>
      </c>
      <c r="Y262" t="s">
        <v>89</v>
      </c>
      <c r="Z262" t="s">
        <v>90</v>
      </c>
      <c r="AA262" t="s">
        <v>506</v>
      </c>
      <c r="AB262">
        <v>1</v>
      </c>
      <c r="AC262">
        <v>6</v>
      </c>
      <c r="AD262" t="b">
        <v>1</v>
      </c>
      <c r="AE262">
        <v>2023</v>
      </c>
      <c r="AF262" s="3">
        <v>367</v>
      </c>
      <c r="AG262" s="3">
        <v>45101</v>
      </c>
      <c r="AH262" s="3">
        <v>46193</v>
      </c>
      <c r="AJ262" s="4"/>
      <c r="AK262" s="4"/>
      <c r="AL262" s="3">
        <v>367</v>
      </c>
      <c r="AM262" s="3">
        <v>367</v>
      </c>
      <c r="AN262">
        <v>-8.6830814000000007</v>
      </c>
      <c r="AO262">
        <v>115.1999838</v>
      </c>
      <c r="AP262" t="s">
        <v>1419</v>
      </c>
      <c r="AT262">
        <v>99.2</v>
      </c>
      <c r="AW262">
        <v>0</v>
      </c>
      <c r="AX262">
        <v>0</v>
      </c>
      <c r="BA262">
        <v>0</v>
      </c>
      <c r="BB262">
        <v>0</v>
      </c>
      <c r="BE262">
        <v>0</v>
      </c>
      <c r="BF262">
        <v>0</v>
      </c>
      <c r="BJ262">
        <v>0</v>
      </c>
      <c r="BL262">
        <v>0</v>
      </c>
      <c r="BN262">
        <v>0</v>
      </c>
      <c r="BO262" s="6">
        <v>0</v>
      </c>
      <c r="BP262">
        <v>0</v>
      </c>
      <c r="BQ262">
        <v>0</v>
      </c>
      <c r="BR262">
        <v>0</v>
      </c>
    </row>
    <row r="263" spans="1:70" ht="15" customHeight="1" x14ac:dyDescent="0.35">
      <c r="A263" s="1" t="str">
        <f t="shared" si="10"/>
        <v>ZRC7</v>
      </c>
      <c r="B263" t="s">
        <v>1420</v>
      </c>
      <c r="C263" t="s">
        <v>1421</v>
      </c>
      <c r="D263" t="s">
        <v>1422</v>
      </c>
      <c r="E263" t="s">
        <v>1423</v>
      </c>
      <c r="F263" t="s">
        <v>501</v>
      </c>
      <c r="G263" t="s">
        <v>502</v>
      </c>
      <c r="H263" t="s">
        <v>502</v>
      </c>
      <c r="I263" t="s">
        <v>178</v>
      </c>
      <c r="J263" t="b">
        <v>0</v>
      </c>
      <c r="K263" t="s">
        <v>154</v>
      </c>
      <c r="L263" t="s">
        <v>155</v>
      </c>
      <c r="N263" t="s">
        <v>81</v>
      </c>
      <c r="O263" t="s">
        <v>82</v>
      </c>
      <c r="P263" t="s">
        <v>83</v>
      </c>
      <c r="Q263" t="s">
        <v>503</v>
      </c>
      <c r="R263">
        <v>24</v>
      </c>
      <c r="S263" t="s">
        <v>85</v>
      </c>
      <c r="T263" t="s">
        <v>179</v>
      </c>
      <c r="U263">
        <v>1111111</v>
      </c>
      <c r="V263" t="s">
        <v>122</v>
      </c>
      <c r="W263" t="s">
        <v>529</v>
      </c>
      <c r="X263" t="s">
        <v>530</v>
      </c>
      <c r="Y263" t="s">
        <v>89</v>
      </c>
      <c r="Z263" t="s">
        <v>90</v>
      </c>
      <c r="AA263" t="s">
        <v>506</v>
      </c>
      <c r="AB263">
        <v>1</v>
      </c>
      <c r="AC263">
        <v>6</v>
      </c>
      <c r="AD263" t="b">
        <v>1</v>
      </c>
      <c r="AE263">
        <v>2023</v>
      </c>
      <c r="AF263" s="3">
        <v>367</v>
      </c>
      <c r="AG263" s="3">
        <v>45101</v>
      </c>
      <c r="AH263" s="3">
        <v>46193</v>
      </c>
      <c r="AJ263" s="4"/>
      <c r="AK263" s="4"/>
      <c r="AL263" s="3">
        <v>367</v>
      </c>
      <c r="AM263" s="3">
        <v>367</v>
      </c>
      <c r="AN263">
        <v>-8.6942795000000004</v>
      </c>
      <c r="AO263">
        <v>115.19540019999999</v>
      </c>
      <c r="AP263" t="s">
        <v>1424</v>
      </c>
      <c r="AT263">
        <v>99.2</v>
      </c>
      <c r="AW263">
        <v>0</v>
      </c>
      <c r="AX263">
        <v>0</v>
      </c>
      <c r="BA263">
        <v>0</v>
      </c>
      <c r="BB263">
        <v>0</v>
      </c>
      <c r="BE263">
        <v>0</v>
      </c>
      <c r="BF263">
        <v>0</v>
      </c>
      <c r="BJ263">
        <v>0</v>
      </c>
      <c r="BL263">
        <v>0</v>
      </c>
      <c r="BN263">
        <v>0</v>
      </c>
      <c r="BO263" s="6">
        <v>0</v>
      </c>
      <c r="BP263">
        <v>0</v>
      </c>
      <c r="BQ263">
        <v>0</v>
      </c>
      <c r="BR263">
        <v>0</v>
      </c>
    </row>
    <row r="264" spans="1:70" ht="15" customHeight="1" x14ac:dyDescent="0.35">
      <c r="A264" s="1" t="str">
        <f t="shared" si="10"/>
        <v>ZRQ6</v>
      </c>
      <c r="B264" t="s">
        <v>1425</v>
      </c>
      <c r="C264" t="s">
        <v>1426</v>
      </c>
      <c r="D264" t="s">
        <v>1427</v>
      </c>
      <c r="E264" t="s">
        <v>1428</v>
      </c>
      <c r="F264" t="s">
        <v>537</v>
      </c>
      <c r="G264" t="s">
        <v>502</v>
      </c>
      <c r="H264" t="s">
        <v>502</v>
      </c>
      <c r="I264" t="s">
        <v>584</v>
      </c>
      <c r="J264" t="b">
        <v>0</v>
      </c>
      <c r="K264" t="s">
        <v>154</v>
      </c>
      <c r="L264" t="s">
        <v>155</v>
      </c>
      <c r="N264" t="s">
        <v>81</v>
      </c>
      <c r="O264" t="s">
        <v>82</v>
      </c>
      <c r="P264" t="s">
        <v>83</v>
      </c>
      <c r="Q264" t="s">
        <v>503</v>
      </c>
      <c r="R264">
        <v>24</v>
      </c>
      <c r="S264" t="s">
        <v>85</v>
      </c>
      <c r="T264" t="s">
        <v>179</v>
      </c>
      <c r="U264">
        <v>1111111</v>
      </c>
      <c r="V264" t="s">
        <v>122</v>
      </c>
      <c r="W264" t="s">
        <v>550</v>
      </c>
      <c r="X264" t="s">
        <v>551</v>
      </c>
      <c r="Y264" t="s">
        <v>89</v>
      </c>
      <c r="Z264" t="s">
        <v>90</v>
      </c>
      <c r="AA264" t="s">
        <v>506</v>
      </c>
      <c r="AB264">
        <v>1</v>
      </c>
      <c r="AC264">
        <v>6</v>
      </c>
      <c r="AD264" t="b">
        <v>1</v>
      </c>
      <c r="AE264">
        <v>2023</v>
      </c>
      <c r="AF264" s="3">
        <v>367</v>
      </c>
      <c r="AG264" s="3">
        <v>45102</v>
      </c>
      <c r="AH264" s="3">
        <v>46193</v>
      </c>
      <c r="AJ264" s="4"/>
      <c r="AK264" s="4"/>
      <c r="AL264" s="3">
        <v>367</v>
      </c>
      <c r="AM264" s="3">
        <v>367</v>
      </c>
      <c r="AN264">
        <v>-8.5351520000000001</v>
      </c>
      <c r="AO264">
        <v>115.3085138</v>
      </c>
      <c r="AP264" t="s">
        <v>1429</v>
      </c>
      <c r="AT264">
        <v>99.2</v>
      </c>
      <c r="AW264">
        <v>0</v>
      </c>
      <c r="AX264">
        <v>0</v>
      </c>
      <c r="BA264">
        <v>0</v>
      </c>
      <c r="BB264">
        <v>0</v>
      </c>
      <c r="BE264">
        <v>0</v>
      </c>
      <c r="BF264">
        <v>0</v>
      </c>
      <c r="BJ264">
        <v>0</v>
      </c>
      <c r="BL264">
        <v>0</v>
      </c>
      <c r="BN264">
        <v>0</v>
      </c>
      <c r="BO264" s="6">
        <v>0</v>
      </c>
      <c r="BP264">
        <v>0</v>
      </c>
      <c r="BQ264">
        <v>0</v>
      </c>
      <c r="BR264">
        <v>0</v>
      </c>
    </row>
    <row r="265" spans="1:70" ht="15" customHeight="1" x14ac:dyDescent="0.35">
      <c r="A265" s="1" t="str">
        <f t="shared" si="10"/>
        <v>ZRR6</v>
      </c>
      <c r="B265" t="s">
        <v>1430</v>
      </c>
      <c r="C265" t="s">
        <v>1431</v>
      </c>
      <c r="D265" t="s">
        <v>1432</v>
      </c>
      <c r="E265" t="s">
        <v>1433</v>
      </c>
      <c r="F265" t="s">
        <v>537</v>
      </c>
      <c r="G265" t="s">
        <v>502</v>
      </c>
      <c r="H265" t="s">
        <v>502</v>
      </c>
      <c r="I265" t="s">
        <v>137</v>
      </c>
      <c r="J265" t="b">
        <v>0</v>
      </c>
      <c r="K265" t="s">
        <v>154</v>
      </c>
      <c r="L265" t="s">
        <v>155</v>
      </c>
      <c r="N265" t="s">
        <v>81</v>
      </c>
      <c r="O265" t="s">
        <v>82</v>
      </c>
      <c r="P265" t="s">
        <v>83</v>
      </c>
      <c r="Q265" t="s">
        <v>503</v>
      </c>
      <c r="R265">
        <v>24</v>
      </c>
      <c r="S265" t="s">
        <v>85</v>
      </c>
      <c r="T265" t="s">
        <v>179</v>
      </c>
      <c r="U265">
        <v>1111111</v>
      </c>
      <c r="V265" t="s">
        <v>122</v>
      </c>
      <c r="W265" t="s">
        <v>550</v>
      </c>
      <c r="X265" t="s">
        <v>551</v>
      </c>
      <c r="Y265" t="s">
        <v>89</v>
      </c>
      <c r="Z265" t="s">
        <v>90</v>
      </c>
      <c r="AA265" t="s">
        <v>506</v>
      </c>
      <c r="AB265">
        <v>1</v>
      </c>
      <c r="AC265">
        <v>6</v>
      </c>
      <c r="AD265" t="b">
        <v>1</v>
      </c>
      <c r="AE265">
        <v>2023</v>
      </c>
      <c r="AF265" s="3">
        <v>367</v>
      </c>
      <c r="AG265" s="3">
        <v>45102</v>
      </c>
      <c r="AH265" s="3">
        <v>46193</v>
      </c>
      <c r="AJ265" s="4"/>
      <c r="AK265" s="4"/>
      <c r="AL265" s="3">
        <v>367</v>
      </c>
      <c r="AM265" s="3">
        <v>367</v>
      </c>
      <c r="AN265">
        <v>-8.6031987999999995</v>
      </c>
      <c r="AO265">
        <v>115.2579333</v>
      </c>
      <c r="AP265" t="s">
        <v>1434</v>
      </c>
      <c r="AT265">
        <v>99.2</v>
      </c>
      <c r="AW265">
        <v>0</v>
      </c>
      <c r="AX265">
        <v>0</v>
      </c>
      <c r="BA265">
        <v>0</v>
      </c>
      <c r="BB265">
        <v>0</v>
      </c>
      <c r="BE265">
        <v>0</v>
      </c>
      <c r="BF265">
        <v>0</v>
      </c>
      <c r="BJ265">
        <v>0</v>
      </c>
      <c r="BL265">
        <v>0</v>
      </c>
      <c r="BN265">
        <v>0</v>
      </c>
      <c r="BO265" s="6">
        <v>0</v>
      </c>
      <c r="BP265">
        <v>0</v>
      </c>
      <c r="BQ265">
        <v>0</v>
      </c>
      <c r="BR265">
        <v>0</v>
      </c>
    </row>
    <row r="266" spans="1:70" ht="15" customHeight="1" x14ac:dyDescent="0.35">
      <c r="A266" s="1" t="str">
        <f t="shared" si="10"/>
        <v>ZRT6</v>
      </c>
      <c r="B266" t="s">
        <v>1435</v>
      </c>
      <c r="C266" t="s">
        <v>1436</v>
      </c>
      <c r="D266" t="s">
        <v>1437</v>
      </c>
      <c r="E266" t="s">
        <v>1438</v>
      </c>
      <c r="F266" t="s">
        <v>537</v>
      </c>
      <c r="G266" t="s">
        <v>502</v>
      </c>
      <c r="H266" t="s">
        <v>502</v>
      </c>
      <c r="I266" t="s">
        <v>137</v>
      </c>
      <c r="J266" t="b">
        <v>0</v>
      </c>
      <c r="K266" t="s">
        <v>154</v>
      </c>
      <c r="L266" t="s">
        <v>155</v>
      </c>
      <c r="N266" t="s">
        <v>81</v>
      </c>
      <c r="O266" t="s">
        <v>82</v>
      </c>
      <c r="P266" t="s">
        <v>83</v>
      </c>
      <c r="Q266" t="s">
        <v>503</v>
      </c>
      <c r="R266">
        <v>15</v>
      </c>
      <c r="S266" t="s">
        <v>121</v>
      </c>
      <c r="T266" t="s">
        <v>179</v>
      </c>
      <c r="U266">
        <v>1111111</v>
      </c>
      <c r="V266" t="s">
        <v>122</v>
      </c>
      <c r="W266" t="s">
        <v>550</v>
      </c>
      <c r="X266" t="s">
        <v>551</v>
      </c>
      <c r="Y266" t="s">
        <v>89</v>
      </c>
      <c r="Z266" t="s">
        <v>90</v>
      </c>
      <c r="AA266" t="s">
        <v>506</v>
      </c>
      <c r="AB266">
        <v>1</v>
      </c>
      <c r="AC266">
        <v>6</v>
      </c>
      <c r="AD266" t="b">
        <v>1</v>
      </c>
      <c r="AE266">
        <v>2023</v>
      </c>
      <c r="AF266" s="3">
        <v>367</v>
      </c>
      <c r="AG266" s="3">
        <v>45102</v>
      </c>
      <c r="AH266" s="3">
        <v>46193</v>
      </c>
      <c r="AJ266" s="4"/>
      <c r="AK266" s="4"/>
      <c r="AL266" s="3">
        <v>367</v>
      </c>
      <c r="AM266" s="3">
        <v>367</v>
      </c>
      <c r="AN266">
        <v>-8.5490124000000005</v>
      </c>
      <c r="AO266">
        <v>115.3247806</v>
      </c>
      <c r="AP266" t="s">
        <v>1439</v>
      </c>
      <c r="AT266">
        <v>99.2</v>
      </c>
      <c r="AW266">
        <v>0</v>
      </c>
      <c r="AX266">
        <v>0</v>
      </c>
      <c r="BA266">
        <v>0</v>
      </c>
      <c r="BB266">
        <v>0</v>
      </c>
      <c r="BE266">
        <v>0</v>
      </c>
      <c r="BF266">
        <v>0</v>
      </c>
      <c r="BJ266">
        <v>0</v>
      </c>
      <c r="BL266">
        <v>0</v>
      </c>
      <c r="BN266">
        <v>0</v>
      </c>
      <c r="BO266" s="6">
        <v>0</v>
      </c>
      <c r="BP266">
        <v>0</v>
      </c>
      <c r="BQ266">
        <v>0</v>
      </c>
      <c r="BR266">
        <v>0</v>
      </c>
    </row>
    <row r="267" spans="1:70" ht="15" customHeight="1" x14ac:dyDescent="0.35">
      <c r="A267" s="1" t="str">
        <f t="shared" si="10"/>
        <v>ZRE7</v>
      </c>
      <c r="B267" t="s">
        <v>1440</v>
      </c>
      <c r="C267" t="s">
        <v>1441</v>
      </c>
      <c r="D267" t="s">
        <v>1442</v>
      </c>
      <c r="E267" t="s">
        <v>1443</v>
      </c>
      <c r="F267" t="s">
        <v>537</v>
      </c>
      <c r="G267" t="s">
        <v>502</v>
      </c>
      <c r="H267" t="s">
        <v>502</v>
      </c>
      <c r="I267" t="s">
        <v>584</v>
      </c>
      <c r="J267" t="b">
        <v>0</v>
      </c>
      <c r="K267" t="s">
        <v>154</v>
      </c>
      <c r="L267" t="s">
        <v>155</v>
      </c>
      <c r="N267" t="s">
        <v>81</v>
      </c>
      <c r="O267" t="s">
        <v>82</v>
      </c>
      <c r="P267" t="s">
        <v>83</v>
      </c>
      <c r="Q267" t="s">
        <v>503</v>
      </c>
      <c r="R267">
        <v>24</v>
      </c>
      <c r="S267" t="s">
        <v>85</v>
      </c>
      <c r="T267" t="s">
        <v>179</v>
      </c>
      <c r="U267">
        <v>1111111</v>
      </c>
      <c r="V267" t="s">
        <v>122</v>
      </c>
      <c r="W267" t="s">
        <v>550</v>
      </c>
      <c r="X267" t="s">
        <v>551</v>
      </c>
      <c r="Y267" t="s">
        <v>89</v>
      </c>
      <c r="Z267" t="s">
        <v>90</v>
      </c>
      <c r="AA267" t="s">
        <v>506</v>
      </c>
      <c r="AB267">
        <v>1</v>
      </c>
      <c r="AC267">
        <v>6</v>
      </c>
      <c r="AD267" t="b">
        <v>1</v>
      </c>
      <c r="AE267">
        <v>2023</v>
      </c>
      <c r="AF267" s="3">
        <v>367</v>
      </c>
      <c r="AG267" s="3">
        <v>45102</v>
      </c>
      <c r="AH267" s="3">
        <v>46193</v>
      </c>
      <c r="AJ267" s="4"/>
      <c r="AK267" s="4"/>
      <c r="AL267" s="3">
        <v>367</v>
      </c>
      <c r="AM267" s="3">
        <v>367</v>
      </c>
      <c r="AN267">
        <v>-8.6040319000000007</v>
      </c>
      <c r="AO267">
        <v>115.2584413</v>
      </c>
      <c r="AP267" t="s">
        <v>1444</v>
      </c>
      <c r="AT267">
        <v>99.2</v>
      </c>
      <c r="AW267">
        <v>0</v>
      </c>
      <c r="AX267">
        <v>0</v>
      </c>
      <c r="BA267">
        <v>0</v>
      </c>
      <c r="BB267">
        <v>0</v>
      </c>
      <c r="BE267">
        <v>0</v>
      </c>
      <c r="BF267">
        <v>0</v>
      </c>
      <c r="BJ267">
        <v>0</v>
      </c>
      <c r="BL267">
        <v>0</v>
      </c>
      <c r="BN267">
        <v>0</v>
      </c>
      <c r="BO267" s="6">
        <v>0</v>
      </c>
      <c r="BP267">
        <v>0</v>
      </c>
      <c r="BQ267">
        <v>0</v>
      </c>
      <c r="BR267">
        <v>0</v>
      </c>
    </row>
    <row r="268" spans="1:70" ht="15" customHeight="1" x14ac:dyDescent="0.35">
      <c r="A268" s="1" t="str">
        <f t="shared" si="10"/>
        <v>ZRW6</v>
      </c>
      <c r="B268" t="s">
        <v>1445</v>
      </c>
      <c r="C268" t="s">
        <v>1446</v>
      </c>
      <c r="D268" t="s">
        <v>1447</v>
      </c>
      <c r="E268" t="s">
        <v>1448</v>
      </c>
      <c r="F268" t="s">
        <v>501</v>
      </c>
      <c r="G268" t="s">
        <v>502</v>
      </c>
      <c r="H268" t="s">
        <v>502</v>
      </c>
      <c r="I268" t="s">
        <v>137</v>
      </c>
      <c r="J268" t="b">
        <v>0</v>
      </c>
      <c r="K268" t="s">
        <v>154</v>
      </c>
      <c r="L268" t="s">
        <v>155</v>
      </c>
      <c r="N268" t="s">
        <v>81</v>
      </c>
      <c r="O268" t="s">
        <v>82</v>
      </c>
      <c r="P268" t="s">
        <v>83</v>
      </c>
      <c r="Q268" t="s">
        <v>549</v>
      </c>
      <c r="R268">
        <v>17</v>
      </c>
      <c r="S268" t="s">
        <v>162</v>
      </c>
      <c r="T268" t="s">
        <v>179</v>
      </c>
      <c r="U268">
        <v>1111111</v>
      </c>
      <c r="V268" t="s">
        <v>122</v>
      </c>
      <c r="W268" t="s">
        <v>694</v>
      </c>
      <c r="X268" t="s">
        <v>695</v>
      </c>
      <c r="Y268" t="s">
        <v>89</v>
      </c>
      <c r="Z268" t="s">
        <v>90</v>
      </c>
      <c r="AA268" t="s">
        <v>506</v>
      </c>
      <c r="AB268">
        <v>1</v>
      </c>
      <c r="AC268">
        <v>6</v>
      </c>
      <c r="AD268" t="b">
        <v>1</v>
      </c>
      <c r="AE268">
        <v>2023</v>
      </c>
      <c r="AF268" s="3">
        <v>367</v>
      </c>
      <c r="AG268" s="3">
        <v>45102</v>
      </c>
      <c r="AH268" s="3">
        <v>46193</v>
      </c>
      <c r="AJ268" s="4"/>
      <c r="AK268" s="4"/>
      <c r="AL268" s="3">
        <v>367</v>
      </c>
      <c r="AM268" s="3">
        <v>367</v>
      </c>
      <c r="AN268">
        <v>-8.65686</v>
      </c>
      <c r="AO268">
        <v>115.2430131</v>
      </c>
      <c r="AP268" t="s">
        <v>1449</v>
      </c>
      <c r="AT268">
        <v>99.2</v>
      </c>
      <c r="AW268">
        <v>0</v>
      </c>
      <c r="AX268">
        <v>0</v>
      </c>
      <c r="BA268">
        <v>0</v>
      </c>
      <c r="BB268">
        <v>0</v>
      </c>
      <c r="BE268">
        <v>0</v>
      </c>
      <c r="BF268">
        <v>0</v>
      </c>
      <c r="BJ268">
        <v>0</v>
      </c>
      <c r="BL268">
        <v>0</v>
      </c>
      <c r="BN268">
        <v>0</v>
      </c>
      <c r="BO268" s="6">
        <v>0</v>
      </c>
      <c r="BP268">
        <v>0</v>
      </c>
      <c r="BQ268">
        <v>0</v>
      </c>
      <c r="BR268">
        <v>0</v>
      </c>
    </row>
    <row r="269" spans="1:70" ht="15" customHeight="1" x14ac:dyDescent="0.35">
      <c r="A269" s="1" t="str">
        <f t="shared" si="10"/>
        <v>ZRY6</v>
      </c>
      <c r="B269" t="s">
        <v>1450</v>
      </c>
      <c r="C269" t="s">
        <v>1451</v>
      </c>
      <c r="D269" t="s">
        <v>1452</v>
      </c>
      <c r="E269" t="s">
        <v>1453</v>
      </c>
      <c r="F269" t="s">
        <v>501</v>
      </c>
      <c r="G269" t="s">
        <v>502</v>
      </c>
      <c r="H269" t="s">
        <v>502</v>
      </c>
      <c r="I269" t="s">
        <v>137</v>
      </c>
      <c r="J269" t="b">
        <v>0</v>
      </c>
      <c r="K269" t="s">
        <v>154</v>
      </c>
      <c r="L269" t="s">
        <v>155</v>
      </c>
      <c r="N269" t="s">
        <v>81</v>
      </c>
      <c r="O269" t="s">
        <v>82</v>
      </c>
      <c r="P269" t="s">
        <v>83</v>
      </c>
      <c r="Q269" t="s">
        <v>549</v>
      </c>
      <c r="R269">
        <v>24</v>
      </c>
      <c r="S269" t="s">
        <v>85</v>
      </c>
      <c r="T269" t="s">
        <v>179</v>
      </c>
      <c r="U269">
        <v>1111111</v>
      </c>
      <c r="V269" t="s">
        <v>122</v>
      </c>
      <c r="W269" t="s">
        <v>694</v>
      </c>
      <c r="X269" t="s">
        <v>695</v>
      </c>
      <c r="Y269" t="s">
        <v>89</v>
      </c>
      <c r="Z269" t="s">
        <v>90</v>
      </c>
      <c r="AA269" t="s">
        <v>506</v>
      </c>
      <c r="AB269">
        <v>1</v>
      </c>
      <c r="AC269">
        <v>6</v>
      </c>
      <c r="AD269" t="b">
        <v>1</v>
      </c>
      <c r="AE269">
        <v>2023</v>
      </c>
      <c r="AF269" s="3">
        <v>367</v>
      </c>
      <c r="AG269" s="3">
        <v>45102</v>
      </c>
      <c r="AH269" s="3">
        <v>46193</v>
      </c>
      <c r="AJ269" s="4"/>
      <c r="AK269" s="4"/>
      <c r="AL269" s="3">
        <v>367</v>
      </c>
      <c r="AM269" s="3">
        <v>367</v>
      </c>
      <c r="AN269">
        <v>-8.6565987</v>
      </c>
      <c r="AO269">
        <v>115.2208852</v>
      </c>
      <c r="AP269" t="s">
        <v>1453</v>
      </c>
      <c r="AT269">
        <v>99.2</v>
      </c>
      <c r="AW269">
        <v>0</v>
      </c>
      <c r="AX269">
        <v>0</v>
      </c>
      <c r="BA269">
        <v>0</v>
      </c>
      <c r="BB269">
        <v>0</v>
      </c>
      <c r="BE269">
        <v>0</v>
      </c>
      <c r="BF269">
        <v>0</v>
      </c>
      <c r="BJ269">
        <v>0</v>
      </c>
      <c r="BL269">
        <v>0</v>
      </c>
      <c r="BN269">
        <v>0</v>
      </c>
      <c r="BO269" s="6">
        <v>0</v>
      </c>
      <c r="BP269">
        <v>0</v>
      </c>
      <c r="BQ269">
        <v>0</v>
      </c>
      <c r="BR269">
        <v>0</v>
      </c>
    </row>
    <row r="270" spans="1:70" ht="15" customHeight="1" x14ac:dyDescent="0.35">
      <c r="A270" s="1" t="str">
        <f t="shared" si="10"/>
        <v>ZRD7</v>
      </c>
      <c r="B270" t="s">
        <v>1454</v>
      </c>
      <c r="C270" t="s">
        <v>1455</v>
      </c>
      <c r="D270" t="s">
        <v>1456</v>
      </c>
      <c r="E270" t="s">
        <v>1457</v>
      </c>
      <c r="F270" t="s">
        <v>501</v>
      </c>
      <c r="G270" t="s">
        <v>502</v>
      </c>
      <c r="H270" t="s">
        <v>502</v>
      </c>
      <c r="I270" t="s">
        <v>178</v>
      </c>
      <c r="J270" t="b">
        <v>0</v>
      </c>
      <c r="K270" t="s">
        <v>154</v>
      </c>
      <c r="L270" t="s">
        <v>155</v>
      </c>
      <c r="N270" t="s">
        <v>81</v>
      </c>
      <c r="O270" t="s">
        <v>82</v>
      </c>
      <c r="P270" t="s">
        <v>83</v>
      </c>
      <c r="Q270" t="s">
        <v>549</v>
      </c>
      <c r="R270">
        <v>24</v>
      </c>
      <c r="S270" t="s">
        <v>85</v>
      </c>
      <c r="T270" t="s">
        <v>179</v>
      </c>
      <c r="U270">
        <v>1111111</v>
      </c>
      <c r="V270" t="s">
        <v>122</v>
      </c>
      <c r="W270" t="s">
        <v>694</v>
      </c>
      <c r="X270" t="s">
        <v>695</v>
      </c>
      <c r="Y270" t="s">
        <v>89</v>
      </c>
      <c r="Z270" t="s">
        <v>90</v>
      </c>
      <c r="AA270" t="s">
        <v>506</v>
      </c>
      <c r="AB270">
        <v>1</v>
      </c>
      <c r="AC270">
        <v>6</v>
      </c>
      <c r="AD270" t="b">
        <v>1</v>
      </c>
      <c r="AE270">
        <v>2023</v>
      </c>
      <c r="AF270" s="3">
        <v>367</v>
      </c>
      <c r="AG270" s="3">
        <v>45102</v>
      </c>
      <c r="AH270" s="3">
        <v>46193</v>
      </c>
      <c r="AJ270" s="4"/>
      <c r="AK270" s="4"/>
      <c r="AL270" s="3">
        <v>367</v>
      </c>
      <c r="AM270" s="3">
        <v>367</v>
      </c>
      <c r="AN270">
        <v>-8.6935122000000007</v>
      </c>
      <c r="AO270">
        <v>115.22651639999999</v>
      </c>
      <c r="AP270" t="s">
        <v>1458</v>
      </c>
      <c r="AT270">
        <v>99.2</v>
      </c>
      <c r="AW270">
        <v>0</v>
      </c>
      <c r="AX270">
        <v>0</v>
      </c>
      <c r="BA270">
        <v>0</v>
      </c>
      <c r="BB270">
        <v>0</v>
      </c>
      <c r="BE270">
        <v>0</v>
      </c>
      <c r="BF270">
        <v>0</v>
      </c>
      <c r="BJ270">
        <v>0</v>
      </c>
      <c r="BL270">
        <v>0</v>
      </c>
      <c r="BN270">
        <v>0</v>
      </c>
      <c r="BO270" s="6">
        <v>0</v>
      </c>
      <c r="BP270">
        <v>0</v>
      </c>
      <c r="BQ270">
        <v>0</v>
      </c>
      <c r="BR270">
        <v>0</v>
      </c>
    </row>
    <row r="271" spans="1:70" ht="15" customHeight="1" x14ac:dyDescent="0.35">
      <c r="A271" s="1" t="str">
        <f t="shared" si="10"/>
        <v>Z4CB</v>
      </c>
      <c r="B271" t="s">
        <v>1459</v>
      </c>
      <c r="C271" t="s">
        <v>1460</v>
      </c>
      <c r="D271" t="s">
        <v>1461</v>
      </c>
      <c r="E271" t="s">
        <v>1462</v>
      </c>
      <c r="F271" t="s">
        <v>501</v>
      </c>
      <c r="G271" t="s">
        <v>502</v>
      </c>
      <c r="H271" t="s">
        <v>502</v>
      </c>
      <c r="I271" t="s">
        <v>178</v>
      </c>
      <c r="J271" t="b">
        <v>0</v>
      </c>
      <c r="K271" t="s">
        <v>154</v>
      </c>
      <c r="L271" t="s">
        <v>155</v>
      </c>
      <c r="N271" t="s">
        <v>81</v>
      </c>
      <c r="O271" t="s">
        <v>82</v>
      </c>
      <c r="P271" t="s">
        <v>83</v>
      </c>
      <c r="Q271" t="s">
        <v>503</v>
      </c>
      <c r="R271">
        <v>24</v>
      </c>
      <c r="S271" t="s">
        <v>85</v>
      </c>
      <c r="T271" t="s">
        <v>179</v>
      </c>
      <c r="U271">
        <v>1111111</v>
      </c>
      <c r="V271" t="s">
        <v>122</v>
      </c>
      <c r="W271" t="s">
        <v>571</v>
      </c>
      <c r="X271" t="s">
        <v>572</v>
      </c>
      <c r="Y271" t="s">
        <v>89</v>
      </c>
      <c r="Z271" t="s">
        <v>90</v>
      </c>
      <c r="AA271" t="s">
        <v>506</v>
      </c>
      <c r="AB271">
        <v>1</v>
      </c>
      <c r="AC271">
        <v>6</v>
      </c>
      <c r="AD271" t="b">
        <v>1</v>
      </c>
      <c r="AE271">
        <v>2023</v>
      </c>
      <c r="AF271" s="3">
        <v>367</v>
      </c>
      <c r="AG271" s="3">
        <v>45102</v>
      </c>
      <c r="AH271" s="3">
        <v>46193</v>
      </c>
      <c r="AJ271" s="4"/>
      <c r="AK271" s="4"/>
      <c r="AL271" s="3">
        <v>367</v>
      </c>
      <c r="AM271" s="3">
        <v>367</v>
      </c>
      <c r="AN271">
        <v>-8.6284699000000007</v>
      </c>
      <c r="AO271">
        <v>115.2246246</v>
      </c>
      <c r="AP271" t="s">
        <v>1463</v>
      </c>
      <c r="AT271">
        <v>99.2</v>
      </c>
      <c r="AW271">
        <v>0</v>
      </c>
      <c r="AX271">
        <v>0</v>
      </c>
      <c r="BA271">
        <v>0</v>
      </c>
      <c r="BB271">
        <v>0</v>
      </c>
      <c r="BE271">
        <v>0</v>
      </c>
      <c r="BF271">
        <v>0</v>
      </c>
      <c r="BJ271">
        <v>0</v>
      </c>
      <c r="BL271">
        <v>0</v>
      </c>
      <c r="BN271">
        <v>0</v>
      </c>
      <c r="BO271" s="6">
        <v>0</v>
      </c>
      <c r="BP271">
        <v>0</v>
      </c>
      <c r="BQ271">
        <v>0</v>
      </c>
      <c r="BR271">
        <v>0</v>
      </c>
    </row>
    <row r="272" spans="1:70" ht="15" customHeight="1" x14ac:dyDescent="0.35">
      <c r="A272" s="1" t="str">
        <f t="shared" si="10"/>
        <v>ZQP3</v>
      </c>
      <c r="B272" t="s">
        <v>1464</v>
      </c>
      <c r="C272" t="s">
        <v>1465</v>
      </c>
      <c r="D272" t="s">
        <v>1466</v>
      </c>
      <c r="E272" t="s">
        <v>1467</v>
      </c>
      <c r="F272" t="s">
        <v>516</v>
      </c>
      <c r="G272" t="s">
        <v>502</v>
      </c>
      <c r="H272" t="s">
        <v>502</v>
      </c>
      <c r="I272" t="s">
        <v>137</v>
      </c>
      <c r="J272" t="b">
        <v>0</v>
      </c>
      <c r="K272" t="s">
        <v>154</v>
      </c>
      <c r="L272" t="s">
        <v>155</v>
      </c>
      <c r="N272" t="s">
        <v>81</v>
      </c>
      <c r="O272" t="s">
        <v>82</v>
      </c>
      <c r="P272" t="s">
        <v>83</v>
      </c>
      <c r="Q272" t="s">
        <v>503</v>
      </c>
      <c r="R272">
        <v>9</v>
      </c>
      <c r="S272" t="s">
        <v>1355</v>
      </c>
      <c r="T272" t="s">
        <v>179</v>
      </c>
      <c r="U272">
        <v>1111111</v>
      </c>
      <c r="V272" t="s">
        <v>122</v>
      </c>
      <c r="W272" t="s">
        <v>504</v>
      </c>
      <c r="X272" t="s">
        <v>505</v>
      </c>
      <c r="Y272" t="s">
        <v>89</v>
      </c>
      <c r="Z272" t="s">
        <v>90</v>
      </c>
      <c r="AA272" t="s">
        <v>506</v>
      </c>
      <c r="AB272">
        <v>1</v>
      </c>
      <c r="AC272">
        <v>6</v>
      </c>
      <c r="AD272" t="b">
        <v>1</v>
      </c>
      <c r="AE272">
        <v>2023</v>
      </c>
      <c r="AF272" s="3">
        <v>367</v>
      </c>
      <c r="AG272" s="3">
        <v>45103</v>
      </c>
      <c r="AH272" s="3">
        <v>46193</v>
      </c>
      <c r="AJ272" s="4"/>
      <c r="AK272" s="4"/>
      <c r="AL272" s="3">
        <v>367</v>
      </c>
      <c r="AM272" s="3">
        <v>367</v>
      </c>
      <c r="AN272">
        <v>-8.8149607000000003</v>
      </c>
      <c r="AO272">
        <v>115.11197679999999</v>
      </c>
      <c r="AP272" t="s">
        <v>1468</v>
      </c>
      <c r="AT272">
        <v>99.2</v>
      </c>
      <c r="AW272">
        <v>0</v>
      </c>
      <c r="AX272">
        <v>0</v>
      </c>
      <c r="BA272">
        <v>0</v>
      </c>
      <c r="BB272">
        <v>0</v>
      </c>
      <c r="BE272">
        <v>0</v>
      </c>
      <c r="BF272">
        <v>0</v>
      </c>
      <c r="BJ272">
        <v>0</v>
      </c>
      <c r="BL272">
        <v>0</v>
      </c>
      <c r="BN272">
        <v>0</v>
      </c>
      <c r="BO272" s="6">
        <v>0</v>
      </c>
      <c r="BP272">
        <v>0</v>
      </c>
      <c r="BQ272">
        <v>0</v>
      </c>
      <c r="BR272">
        <v>0</v>
      </c>
    </row>
    <row r="273" spans="1:70" ht="15" customHeight="1" x14ac:dyDescent="0.35">
      <c r="A273" s="1" t="str">
        <f t="shared" si="10"/>
        <v>ZQF4</v>
      </c>
      <c r="B273" t="s">
        <v>1469</v>
      </c>
      <c r="C273" t="s">
        <v>1470</v>
      </c>
      <c r="D273" t="s">
        <v>1471</v>
      </c>
      <c r="E273" t="s">
        <v>1472</v>
      </c>
      <c r="F273" t="s">
        <v>516</v>
      </c>
      <c r="G273" t="s">
        <v>502</v>
      </c>
      <c r="H273" t="s">
        <v>502</v>
      </c>
      <c r="I273" t="s">
        <v>148</v>
      </c>
      <c r="J273" t="b">
        <v>0</v>
      </c>
      <c r="K273" t="s">
        <v>154</v>
      </c>
      <c r="L273" t="s">
        <v>155</v>
      </c>
      <c r="N273" t="s">
        <v>81</v>
      </c>
      <c r="O273" t="s">
        <v>82</v>
      </c>
      <c r="P273" t="s">
        <v>83</v>
      </c>
      <c r="Q273" t="s">
        <v>503</v>
      </c>
      <c r="R273">
        <v>24</v>
      </c>
      <c r="S273" t="s">
        <v>85</v>
      </c>
      <c r="T273" t="s">
        <v>121</v>
      </c>
      <c r="U273">
        <v>1111111</v>
      </c>
      <c r="V273" t="s">
        <v>122</v>
      </c>
      <c r="W273" t="s">
        <v>517</v>
      </c>
      <c r="X273" t="s">
        <v>518</v>
      </c>
      <c r="Y273" t="s">
        <v>89</v>
      </c>
      <c r="Z273" t="s">
        <v>90</v>
      </c>
      <c r="AA273" t="s">
        <v>506</v>
      </c>
      <c r="AB273">
        <v>1</v>
      </c>
      <c r="AC273">
        <v>6</v>
      </c>
      <c r="AD273" t="b">
        <v>1</v>
      </c>
      <c r="AE273">
        <v>2023</v>
      </c>
      <c r="AF273" s="3">
        <v>367</v>
      </c>
      <c r="AG273" s="3">
        <v>45105</v>
      </c>
      <c r="AH273" s="3">
        <v>46201</v>
      </c>
      <c r="AJ273" s="4"/>
      <c r="AK273" s="4"/>
      <c r="AL273" s="3">
        <v>367</v>
      </c>
      <c r="AM273" s="3">
        <v>367</v>
      </c>
      <c r="AN273">
        <v>-8.6453793999999995</v>
      </c>
      <c r="AO273">
        <v>115.1602855</v>
      </c>
      <c r="AP273" t="s">
        <v>1472</v>
      </c>
      <c r="AT273">
        <v>99.2</v>
      </c>
      <c r="AW273">
        <v>0</v>
      </c>
      <c r="AX273">
        <v>0</v>
      </c>
      <c r="BA273">
        <v>0</v>
      </c>
      <c r="BB273">
        <v>0</v>
      </c>
      <c r="BE273">
        <v>0</v>
      </c>
      <c r="BF273">
        <v>0</v>
      </c>
      <c r="BJ273">
        <v>0</v>
      </c>
      <c r="BL273">
        <v>0</v>
      </c>
      <c r="BN273">
        <v>0</v>
      </c>
      <c r="BO273" s="6">
        <v>0</v>
      </c>
      <c r="BP273">
        <v>0</v>
      </c>
      <c r="BQ273">
        <v>0</v>
      </c>
      <c r="BR273">
        <v>0</v>
      </c>
    </row>
    <row r="274" spans="1:70" ht="15" customHeight="1" x14ac:dyDescent="0.35">
      <c r="A274" s="1" t="str">
        <f t="shared" si="10"/>
        <v>ZQC4</v>
      </c>
      <c r="B274" t="s">
        <v>1473</v>
      </c>
      <c r="C274" t="s">
        <v>1474</v>
      </c>
      <c r="D274" t="s">
        <v>1475</v>
      </c>
      <c r="E274" t="s">
        <v>1476</v>
      </c>
      <c r="F274" t="s">
        <v>516</v>
      </c>
      <c r="G274" t="s">
        <v>502</v>
      </c>
      <c r="H274" t="s">
        <v>502</v>
      </c>
      <c r="I274" t="s">
        <v>137</v>
      </c>
      <c r="J274" t="b">
        <v>0</v>
      </c>
      <c r="K274" t="s">
        <v>154</v>
      </c>
      <c r="L274" t="s">
        <v>155</v>
      </c>
      <c r="N274" t="s">
        <v>81</v>
      </c>
      <c r="O274" t="s">
        <v>82</v>
      </c>
      <c r="P274" t="s">
        <v>83</v>
      </c>
      <c r="Q274" t="s">
        <v>503</v>
      </c>
      <c r="R274">
        <v>24</v>
      </c>
      <c r="S274" t="s">
        <v>85</v>
      </c>
      <c r="T274" t="s">
        <v>121</v>
      </c>
      <c r="U274">
        <v>1111111</v>
      </c>
      <c r="V274" t="s">
        <v>122</v>
      </c>
      <c r="W274" t="s">
        <v>523</v>
      </c>
      <c r="X274" t="s">
        <v>524</v>
      </c>
      <c r="Y274" t="s">
        <v>89</v>
      </c>
      <c r="Z274" t="s">
        <v>90</v>
      </c>
      <c r="AA274" t="s">
        <v>506</v>
      </c>
      <c r="AB274">
        <v>1</v>
      </c>
      <c r="AC274">
        <v>6</v>
      </c>
      <c r="AD274" t="b">
        <v>1</v>
      </c>
      <c r="AE274">
        <v>2023</v>
      </c>
      <c r="AF274" s="3">
        <v>367</v>
      </c>
      <c r="AG274" s="3">
        <v>45105</v>
      </c>
      <c r="AH274" s="3">
        <v>46201</v>
      </c>
      <c r="AJ274" s="4"/>
      <c r="AK274" s="4"/>
      <c r="AL274" s="3">
        <v>367</v>
      </c>
      <c r="AM274" s="3">
        <v>367</v>
      </c>
      <c r="AN274">
        <v>-8.6984730999999993</v>
      </c>
      <c r="AO274">
        <v>115.17434540000001</v>
      </c>
      <c r="AP274" t="s">
        <v>1476</v>
      </c>
      <c r="AT274">
        <v>99.2</v>
      </c>
      <c r="AW274">
        <v>0</v>
      </c>
      <c r="AX274">
        <v>0</v>
      </c>
      <c r="BA274">
        <v>0</v>
      </c>
      <c r="BB274">
        <v>0</v>
      </c>
      <c r="BE274">
        <v>0</v>
      </c>
      <c r="BF274">
        <v>0</v>
      </c>
      <c r="BJ274">
        <v>0</v>
      </c>
      <c r="BL274">
        <v>0</v>
      </c>
      <c r="BN274">
        <v>0</v>
      </c>
      <c r="BO274" s="6">
        <v>0</v>
      </c>
      <c r="BP274">
        <v>0</v>
      </c>
      <c r="BQ274">
        <v>0</v>
      </c>
      <c r="BR274">
        <v>0</v>
      </c>
    </row>
    <row r="275" spans="1:70" ht="15" customHeight="1" x14ac:dyDescent="0.35">
      <c r="A275" s="1" t="str">
        <f t="shared" si="10"/>
        <v>ZQD4</v>
      </c>
      <c r="B275" t="s">
        <v>1477</v>
      </c>
      <c r="C275" t="s">
        <v>1478</v>
      </c>
      <c r="D275" t="s">
        <v>1479</v>
      </c>
      <c r="E275" t="s">
        <v>1480</v>
      </c>
      <c r="F275" t="s">
        <v>501</v>
      </c>
      <c r="G275" t="s">
        <v>502</v>
      </c>
      <c r="H275" t="s">
        <v>502</v>
      </c>
      <c r="I275" t="s">
        <v>137</v>
      </c>
      <c r="J275" t="b">
        <v>0</v>
      </c>
      <c r="K275" t="s">
        <v>154</v>
      </c>
      <c r="L275" t="s">
        <v>155</v>
      </c>
      <c r="N275" t="s">
        <v>81</v>
      </c>
      <c r="O275" t="s">
        <v>82</v>
      </c>
      <c r="P275" t="s">
        <v>83</v>
      </c>
      <c r="Q275" t="s">
        <v>503</v>
      </c>
      <c r="R275">
        <v>24</v>
      </c>
      <c r="S275" t="s">
        <v>85</v>
      </c>
      <c r="T275" t="s">
        <v>121</v>
      </c>
      <c r="U275">
        <v>1111111</v>
      </c>
      <c r="V275" t="s">
        <v>122</v>
      </c>
      <c r="W275" t="s">
        <v>523</v>
      </c>
      <c r="X275" t="s">
        <v>524</v>
      </c>
      <c r="Y275" t="s">
        <v>89</v>
      </c>
      <c r="Z275" t="s">
        <v>90</v>
      </c>
      <c r="AA275" t="s">
        <v>506</v>
      </c>
      <c r="AB275">
        <v>1</v>
      </c>
      <c r="AC275">
        <v>6</v>
      </c>
      <c r="AD275" t="b">
        <v>1</v>
      </c>
      <c r="AE275">
        <v>2023</v>
      </c>
      <c r="AF275" s="3">
        <v>367</v>
      </c>
      <c r="AG275" s="3">
        <v>45106</v>
      </c>
      <c r="AH275" s="3">
        <v>46202</v>
      </c>
      <c r="AJ275" s="4"/>
      <c r="AK275" s="4"/>
      <c r="AL275" s="3">
        <v>367</v>
      </c>
      <c r="AM275" s="3">
        <v>367</v>
      </c>
      <c r="AN275">
        <v>-8.7103660999999999</v>
      </c>
      <c r="AO275">
        <v>115.199894</v>
      </c>
      <c r="AP275" t="s">
        <v>1480</v>
      </c>
      <c r="AT275">
        <v>99.2</v>
      </c>
      <c r="AW275">
        <v>0</v>
      </c>
      <c r="AX275">
        <v>0</v>
      </c>
      <c r="BA275">
        <v>0</v>
      </c>
      <c r="BB275">
        <v>0</v>
      </c>
      <c r="BE275">
        <v>0</v>
      </c>
      <c r="BF275">
        <v>0</v>
      </c>
      <c r="BJ275">
        <v>0</v>
      </c>
      <c r="BL275">
        <v>0</v>
      </c>
      <c r="BN275">
        <v>0</v>
      </c>
      <c r="BO275" s="6">
        <v>0</v>
      </c>
      <c r="BP275">
        <v>0</v>
      </c>
      <c r="BQ275">
        <v>0</v>
      </c>
      <c r="BR275">
        <v>0</v>
      </c>
    </row>
    <row r="276" spans="1:70" ht="15" customHeight="1" x14ac:dyDescent="0.35">
      <c r="A276" s="1" t="str">
        <f t="shared" si="10"/>
        <v>ZQE4</v>
      </c>
      <c r="B276" t="s">
        <v>1481</v>
      </c>
      <c r="C276" t="s">
        <v>1482</v>
      </c>
      <c r="D276" t="s">
        <v>1483</v>
      </c>
      <c r="E276" t="s">
        <v>1484</v>
      </c>
      <c r="F276" t="s">
        <v>537</v>
      </c>
      <c r="G276" t="s">
        <v>502</v>
      </c>
      <c r="H276" t="s">
        <v>502</v>
      </c>
      <c r="I276" t="s">
        <v>148</v>
      </c>
      <c r="J276" t="b">
        <v>0</v>
      </c>
      <c r="K276" t="s">
        <v>154</v>
      </c>
      <c r="L276" t="s">
        <v>155</v>
      </c>
      <c r="N276" t="s">
        <v>81</v>
      </c>
      <c r="O276" t="s">
        <v>82</v>
      </c>
      <c r="P276" t="s">
        <v>83</v>
      </c>
      <c r="Q276" t="s">
        <v>503</v>
      </c>
      <c r="R276">
        <v>24</v>
      </c>
      <c r="S276" t="s">
        <v>85</v>
      </c>
      <c r="T276" t="s">
        <v>121</v>
      </c>
      <c r="U276">
        <v>1111111</v>
      </c>
      <c r="V276" t="s">
        <v>122</v>
      </c>
      <c r="W276" t="s">
        <v>529</v>
      </c>
      <c r="X276" t="s">
        <v>530</v>
      </c>
      <c r="Y276" t="s">
        <v>89</v>
      </c>
      <c r="Z276" t="s">
        <v>90</v>
      </c>
      <c r="AA276" t="s">
        <v>506</v>
      </c>
      <c r="AB276">
        <v>1</v>
      </c>
      <c r="AC276">
        <v>6</v>
      </c>
      <c r="AD276" t="b">
        <v>1</v>
      </c>
      <c r="AE276">
        <v>2023</v>
      </c>
      <c r="AF276" s="3">
        <v>367</v>
      </c>
      <c r="AG276" s="3">
        <v>45106</v>
      </c>
      <c r="AH276" s="3">
        <v>46202</v>
      </c>
      <c r="AJ276" s="4"/>
      <c r="AK276" s="4"/>
      <c r="AL276" s="3">
        <v>367</v>
      </c>
      <c r="AM276" s="3">
        <v>367</v>
      </c>
      <c r="AN276">
        <v>-8.4996773999999995</v>
      </c>
      <c r="AO276">
        <v>115.25267820000001</v>
      </c>
      <c r="AP276" t="s">
        <v>1485</v>
      </c>
      <c r="AT276">
        <v>99.2</v>
      </c>
      <c r="AW276">
        <v>0</v>
      </c>
      <c r="AX276">
        <v>0</v>
      </c>
      <c r="BA276">
        <v>0</v>
      </c>
      <c r="BB276">
        <v>0</v>
      </c>
      <c r="BE276">
        <v>0</v>
      </c>
      <c r="BF276">
        <v>0</v>
      </c>
      <c r="BJ276">
        <v>0</v>
      </c>
      <c r="BL276">
        <v>0</v>
      </c>
      <c r="BN276">
        <v>0</v>
      </c>
      <c r="BO276" s="6">
        <v>0</v>
      </c>
      <c r="BP276">
        <v>0</v>
      </c>
      <c r="BQ276">
        <v>0</v>
      </c>
      <c r="BR276">
        <v>0</v>
      </c>
    </row>
    <row r="277" spans="1:70" ht="15" customHeight="1" x14ac:dyDescent="0.35">
      <c r="A277" s="1" t="str">
        <f t="shared" si="10"/>
        <v>ZQB4</v>
      </c>
      <c r="B277" t="s">
        <v>1486</v>
      </c>
      <c r="C277" t="s">
        <v>1487</v>
      </c>
      <c r="D277" t="s">
        <v>1488</v>
      </c>
      <c r="E277" t="s">
        <v>1489</v>
      </c>
      <c r="F277" t="s">
        <v>537</v>
      </c>
      <c r="G277" t="s">
        <v>502</v>
      </c>
      <c r="H277" t="s">
        <v>502</v>
      </c>
      <c r="I277" t="s">
        <v>113</v>
      </c>
      <c r="J277" t="b">
        <v>1</v>
      </c>
      <c r="K277" t="s">
        <v>154</v>
      </c>
      <c r="L277" t="s">
        <v>155</v>
      </c>
      <c r="N277" t="s">
        <v>81</v>
      </c>
      <c r="O277" t="s">
        <v>82</v>
      </c>
      <c r="P277" t="s">
        <v>83</v>
      </c>
      <c r="Q277" t="s">
        <v>503</v>
      </c>
      <c r="R277">
        <v>24</v>
      </c>
      <c r="S277" t="s">
        <v>85</v>
      </c>
      <c r="T277" t="s">
        <v>179</v>
      </c>
      <c r="U277">
        <v>1111111</v>
      </c>
      <c r="V277" t="s">
        <v>122</v>
      </c>
      <c r="W277" t="s">
        <v>529</v>
      </c>
      <c r="X277" t="s">
        <v>530</v>
      </c>
      <c r="Y277" t="s">
        <v>89</v>
      </c>
      <c r="Z277" t="s">
        <v>90</v>
      </c>
      <c r="AA277" t="s">
        <v>506</v>
      </c>
      <c r="AB277">
        <v>2</v>
      </c>
      <c r="AC277">
        <v>6</v>
      </c>
      <c r="AD277" t="b">
        <v>1</v>
      </c>
      <c r="AE277">
        <v>2023</v>
      </c>
      <c r="AF277" s="3">
        <v>367</v>
      </c>
      <c r="AG277" s="3">
        <v>45145</v>
      </c>
      <c r="AH277" s="3">
        <v>46264</v>
      </c>
      <c r="AJ277" s="4"/>
      <c r="AK277" s="4"/>
      <c r="AL277" s="3">
        <v>367</v>
      </c>
      <c r="AM277" s="3">
        <v>367</v>
      </c>
      <c r="AN277">
        <v>-8.3831132000000004</v>
      </c>
      <c r="AO277">
        <v>115.2747062</v>
      </c>
      <c r="AP277" t="s">
        <v>1490</v>
      </c>
      <c r="AT277">
        <v>99.2</v>
      </c>
      <c r="AW277">
        <v>0</v>
      </c>
      <c r="AX277">
        <v>0</v>
      </c>
      <c r="BA277">
        <v>0</v>
      </c>
      <c r="BB277">
        <v>0</v>
      </c>
      <c r="BE277">
        <v>0</v>
      </c>
      <c r="BF277">
        <v>0</v>
      </c>
      <c r="BJ277">
        <v>0</v>
      </c>
      <c r="BL277">
        <v>0</v>
      </c>
      <c r="BN277">
        <v>0</v>
      </c>
      <c r="BO277" s="6">
        <v>0</v>
      </c>
      <c r="BP277">
        <v>0</v>
      </c>
      <c r="BQ277">
        <v>0</v>
      </c>
      <c r="BR277">
        <v>0</v>
      </c>
    </row>
    <row r="278" spans="1:70" ht="15" customHeight="1" x14ac:dyDescent="0.35">
      <c r="A278" s="1" t="str">
        <f t="shared" si="10"/>
        <v>6873</v>
      </c>
      <c r="B278" t="s">
        <v>1491</v>
      </c>
      <c r="C278" t="s">
        <v>1492</v>
      </c>
      <c r="D278" t="s">
        <v>1493</v>
      </c>
      <c r="E278" t="s">
        <v>1494</v>
      </c>
      <c r="F278" t="s">
        <v>501</v>
      </c>
      <c r="G278" t="s">
        <v>502</v>
      </c>
      <c r="H278" t="s">
        <v>502</v>
      </c>
      <c r="I278" t="s">
        <v>77</v>
      </c>
      <c r="J278" t="b">
        <v>0</v>
      </c>
      <c r="K278" t="s">
        <v>78</v>
      </c>
      <c r="L278" t="s">
        <v>79</v>
      </c>
      <c r="N278" t="s">
        <v>81</v>
      </c>
      <c r="O278" t="s">
        <v>82</v>
      </c>
      <c r="P278" t="s">
        <v>83</v>
      </c>
      <c r="Q278" t="s">
        <v>549</v>
      </c>
      <c r="R278">
        <v>24</v>
      </c>
      <c r="S278" t="s">
        <v>85</v>
      </c>
      <c r="T278" t="s">
        <v>179</v>
      </c>
      <c r="U278">
        <v>1111111</v>
      </c>
      <c r="V278" t="s">
        <v>122</v>
      </c>
      <c r="W278" t="s">
        <v>694</v>
      </c>
      <c r="X278" t="s">
        <v>695</v>
      </c>
      <c r="Y278" t="s">
        <v>89</v>
      </c>
      <c r="Z278" t="s">
        <v>90</v>
      </c>
      <c r="AA278" t="s">
        <v>506</v>
      </c>
      <c r="AB278">
        <v>1</v>
      </c>
      <c r="AC278">
        <v>6</v>
      </c>
      <c r="AD278" t="b">
        <v>1</v>
      </c>
      <c r="AE278">
        <v>2023</v>
      </c>
      <c r="AF278" s="3">
        <v>367</v>
      </c>
      <c r="AG278" s="3">
        <v>45173</v>
      </c>
      <c r="AH278" s="3">
        <v>46269</v>
      </c>
      <c r="AJ278" s="4"/>
      <c r="AK278" s="4"/>
      <c r="AL278" s="3">
        <v>367</v>
      </c>
      <c r="AM278" s="3">
        <v>367</v>
      </c>
      <c r="AN278">
        <v>-8.6665437000000001</v>
      </c>
      <c r="AO278">
        <v>115.2418622</v>
      </c>
      <c r="AP278" t="s">
        <v>1495</v>
      </c>
      <c r="AT278">
        <v>99.75</v>
      </c>
      <c r="AW278">
        <v>0</v>
      </c>
      <c r="AX278">
        <v>0</v>
      </c>
      <c r="BA278">
        <v>0</v>
      </c>
      <c r="BB278">
        <v>0</v>
      </c>
      <c r="BE278">
        <v>0</v>
      </c>
      <c r="BF278">
        <v>0</v>
      </c>
      <c r="BJ278">
        <v>0</v>
      </c>
      <c r="BL278">
        <v>0</v>
      </c>
      <c r="BN278">
        <v>0</v>
      </c>
      <c r="BO278" s="6">
        <v>0</v>
      </c>
      <c r="BP278">
        <v>0</v>
      </c>
      <c r="BQ278">
        <v>0</v>
      </c>
      <c r="BR278">
        <v>0</v>
      </c>
    </row>
    <row r="279" spans="1:70" ht="15" customHeight="1" x14ac:dyDescent="0.35">
      <c r="A279" s="1" t="str">
        <f t="shared" si="10"/>
        <v>00Y4</v>
      </c>
      <c r="B279" t="s">
        <v>1496</v>
      </c>
      <c r="C279" t="s">
        <v>1497</v>
      </c>
      <c r="D279" t="s">
        <v>1498</v>
      </c>
      <c r="E279" t="s">
        <v>1499</v>
      </c>
      <c r="F279" t="s">
        <v>516</v>
      </c>
      <c r="G279" t="s">
        <v>502</v>
      </c>
      <c r="H279" t="s">
        <v>502</v>
      </c>
      <c r="I279" t="s">
        <v>148</v>
      </c>
      <c r="J279" t="b">
        <v>0</v>
      </c>
      <c r="K279" t="s">
        <v>78</v>
      </c>
      <c r="L279" t="s">
        <v>79</v>
      </c>
      <c r="N279" t="s">
        <v>81</v>
      </c>
      <c r="O279" t="s">
        <v>82</v>
      </c>
      <c r="P279" t="s">
        <v>83</v>
      </c>
      <c r="Q279" t="s">
        <v>503</v>
      </c>
      <c r="R279">
        <v>24</v>
      </c>
      <c r="S279" t="s">
        <v>85</v>
      </c>
      <c r="T279" t="s">
        <v>85</v>
      </c>
      <c r="U279">
        <v>1111111</v>
      </c>
      <c r="V279" t="s">
        <v>122</v>
      </c>
      <c r="W279" t="s">
        <v>517</v>
      </c>
      <c r="X279" t="s">
        <v>518</v>
      </c>
      <c r="Y279" t="s">
        <v>89</v>
      </c>
      <c r="Z279" t="s">
        <v>90</v>
      </c>
      <c r="AA279" t="s">
        <v>506</v>
      </c>
      <c r="AB279">
        <v>1</v>
      </c>
      <c r="AC279">
        <v>6</v>
      </c>
      <c r="AD279" t="b">
        <v>1</v>
      </c>
      <c r="AE279">
        <v>2023</v>
      </c>
      <c r="AF279" s="3">
        <v>367</v>
      </c>
      <c r="AG279" s="3">
        <v>45177</v>
      </c>
      <c r="AH279" s="3">
        <v>46295</v>
      </c>
      <c r="AJ279" s="4"/>
      <c r="AK279" s="4"/>
      <c r="AL279" s="3">
        <v>367</v>
      </c>
      <c r="AM279" s="3">
        <v>367</v>
      </c>
      <c r="AN279">
        <v>-8.6287670999999992</v>
      </c>
      <c r="AO279">
        <v>115.130292</v>
      </c>
      <c r="AP279" t="s">
        <v>1500</v>
      </c>
      <c r="AT279">
        <v>99.75</v>
      </c>
      <c r="AW279">
        <v>0</v>
      </c>
      <c r="AX279">
        <v>0</v>
      </c>
      <c r="BA279">
        <v>0</v>
      </c>
      <c r="BB279">
        <v>0</v>
      </c>
      <c r="BE279">
        <v>0</v>
      </c>
      <c r="BF279">
        <v>0</v>
      </c>
      <c r="BJ279">
        <v>0</v>
      </c>
      <c r="BL279">
        <v>0</v>
      </c>
      <c r="BN279">
        <v>0</v>
      </c>
      <c r="BO279" s="6">
        <v>0</v>
      </c>
      <c r="BP279">
        <v>0</v>
      </c>
      <c r="BQ279">
        <v>0</v>
      </c>
      <c r="BR279">
        <v>0</v>
      </c>
    </row>
    <row r="280" spans="1:70" ht="15" customHeight="1" x14ac:dyDescent="0.35">
      <c r="A280" s="1" t="str">
        <f t="shared" si="10"/>
        <v>691X</v>
      </c>
      <c r="B280" t="s">
        <v>1501</v>
      </c>
      <c r="C280" t="s">
        <v>1502</v>
      </c>
      <c r="D280" t="s">
        <v>1503</v>
      </c>
      <c r="E280" t="s">
        <v>1504</v>
      </c>
      <c r="F280" t="s">
        <v>537</v>
      </c>
      <c r="G280" t="s">
        <v>502</v>
      </c>
      <c r="H280" t="s">
        <v>502</v>
      </c>
      <c r="I280" t="s">
        <v>178</v>
      </c>
      <c r="J280" t="b">
        <v>0</v>
      </c>
      <c r="K280" t="s">
        <v>78</v>
      </c>
      <c r="L280" t="s">
        <v>79</v>
      </c>
      <c r="N280" t="s">
        <v>81</v>
      </c>
      <c r="O280" t="s">
        <v>82</v>
      </c>
      <c r="P280" t="s">
        <v>83</v>
      </c>
      <c r="Q280" t="s">
        <v>503</v>
      </c>
      <c r="R280">
        <v>24</v>
      </c>
      <c r="S280" t="s">
        <v>85</v>
      </c>
      <c r="T280" t="s">
        <v>85</v>
      </c>
      <c r="U280">
        <v>1111111</v>
      </c>
      <c r="V280" t="s">
        <v>122</v>
      </c>
      <c r="W280" t="s">
        <v>550</v>
      </c>
      <c r="X280" t="s">
        <v>551</v>
      </c>
      <c r="Y280" t="s">
        <v>89</v>
      </c>
      <c r="Z280" t="s">
        <v>90</v>
      </c>
      <c r="AA280" t="s">
        <v>506</v>
      </c>
      <c r="AB280">
        <v>1</v>
      </c>
      <c r="AC280">
        <v>6</v>
      </c>
      <c r="AD280" t="b">
        <v>1</v>
      </c>
      <c r="AE280">
        <v>2023</v>
      </c>
      <c r="AF280" s="3">
        <v>367</v>
      </c>
      <c r="AG280" s="3">
        <v>45202</v>
      </c>
      <c r="AH280" s="3">
        <v>46298</v>
      </c>
      <c r="AJ280" s="4"/>
      <c r="AK280" s="4"/>
      <c r="AL280" s="3">
        <v>367</v>
      </c>
      <c r="AM280" s="3">
        <v>367</v>
      </c>
      <c r="AN280">
        <v>-8.6276036999999999</v>
      </c>
      <c r="AO280">
        <v>115.26288409999999</v>
      </c>
      <c r="AP280" t="s">
        <v>1505</v>
      </c>
      <c r="AT280">
        <v>99.75</v>
      </c>
      <c r="AW280">
        <v>0</v>
      </c>
      <c r="AX280">
        <v>0</v>
      </c>
      <c r="BA280">
        <v>0</v>
      </c>
      <c r="BB280">
        <v>0</v>
      </c>
      <c r="BE280">
        <v>0</v>
      </c>
      <c r="BF280">
        <v>0</v>
      </c>
      <c r="BJ280">
        <v>0</v>
      </c>
      <c r="BL280">
        <v>0</v>
      </c>
      <c r="BN280">
        <v>0</v>
      </c>
      <c r="BO280" s="6">
        <v>0</v>
      </c>
      <c r="BP280">
        <v>0</v>
      </c>
      <c r="BQ280">
        <v>0</v>
      </c>
      <c r="BR280">
        <v>0</v>
      </c>
    </row>
    <row r="281" spans="1:70" ht="15" customHeight="1" x14ac:dyDescent="0.35">
      <c r="A281" s="1" t="str">
        <f t="shared" si="10"/>
        <v>ZQA4</v>
      </c>
      <c r="B281" t="s">
        <v>1506</v>
      </c>
      <c r="C281" t="s">
        <v>1507</v>
      </c>
      <c r="D281" t="s">
        <v>1508</v>
      </c>
      <c r="E281" t="s">
        <v>1509</v>
      </c>
      <c r="F281" t="s">
        <v>516</v>
      </c>
      <c r="G281" t="s">
        <v>502</v>
      </c>
      <c r="H281" t="s">
        <v>502</v>
      </c>
      <c r="I281" t="s">
        <v>113</v>
      </c>
      <c r="J281" t="b">
        <v>1</v>
      </c>
      <c r="K281" t="s">
        <v>154</v>
      </c>
      <c r="L281" t="s">
        <v>155</v>
      </c>
      <c r="N281" t="s">
        <v>81</v>
      </c>
      <c r="O281" t="s">
        <v>82</v>
      </c>
      <c r="P281" t="s">
        <v>83</v>
      </c>
      <c r="Q281" t="s">
        <v>503</v>
      </c>
      <c r="R281">
        <v>24</v>
      </c>
      <c r="S281" t="s">
        <v>85</v>
      </c>
      <c r="T281" t="s">
        <v>179</v>
      </c>
      <c r="U281">
        <v>1111111</v>
      </c>
      <c r="V281" t="s">
        <v>122</v>
      </c>
      <c r="W281" t="s">
        <v>523</v>
      </c>
      <c r="X281" t="s">
        <v>524</v>
      </c>
      <c r="Y281" t="s">
        <v>89</v>
      </c>
      <c r="Z281" t="s">
        <v>90</v>
      </c>
      <c r="AA281" t="s">
        <v>506</v>
      </c>
      <c r="AB281">
        <v>1</v>
      </c>
      <c r="AC281">
        <v>6</v>
      </c>
      <c r="AD281" t="b">
        <v>1</v>
      </c>
      <c r="AE281">
        <v>2023</v>
      </c>
      <c r="AF281" s="3">
        <v>367</v>
      </c>
      <c r="AG281" s="3">
        <v>45250</v>
      </c>
      <c r="AH281" s="3">
        <v>46356</v>
      </c>
      <c r="AJ281" s="4"/>
      <c r="AK281" s="4"/>
      <c r="AL281" s="3">
        <v>367</v>
      </c>
      <c r="AM281" s="3">
        <v>367</v>
      </c>
      <c r="AN281">
        <v>-8.7054884000000001</v>
      </c>
      <c r="AO281">
        <v>115.1683396</v>
      </c>
      <c r="AP281" t="s">
        <v>1510</v>
      </c>
      <c r="AT281">
        <v>99.2</v>
      </c>
      <c r="AW281">
        <v>0</v>
      </c>
      <c r="AX281">
        <v>0</v>
      </c>
      <c r="BA281">
        <v>0</v>
      </c>
      <c r="BB281">
        <v>0</v>
      </c>
      <c r="BE281">
        <v>0</v>
      </c>
      <c r="BF281">
        <v>0</v>
      </c>
      <c r="BJ281">
        <v>0</v>
      </c>
      <c r="BL281">
        <v>0</v>
      </c>
      <c r="BN281">
        <v>0</v>
      </c>
      <c r="BO281" s="6">
        <v>0</v>
      </c>
      <c r="BP281">
        <v>0</v>
      </c>
      <c r="BQ281">
        <v>0</v>
      </c>
      <c r="BR281">
        <v>0</v>
      </c>
    </row>
    <row r="282" spans="1:70" ht="15" customHeight="1" x14ac:dyDescent="0.35">
      <c r="A282" s="1" t="str">
        <f t="shared" si="10"/>
        <v>00TZ</v>
      </c>
      <c r="B282" t="s">
        <v>1511</v>
      </c>
      <c r="C282" t="s">
        <v>1512</v>
      </c>
      <c r="D282" t="s">
        <v>1513</v>
      </c>
      <c r="E282" t="s">
        <v>1514</v>
      </c>
      <c r="F282" t="s">
        <v>501</v>
      </c>
      <c r="G282" t="s">
        <v>502</v>
      </c>
      <c r="H282" t="s">
        <v>502</v>
      </c>
      <c r="I282" t="s">
        <v>137</v>
      </c>
      <c r="J282" t="b">
        <v>0</v>
      </c>
      <c r="K282" t="s">
        <v>78</v>
      </c>
      <c r="L282" t="s">
        <v>79</v>
      </c>
      <c r="N282" t="s">
        <v>81</v>
      </c>
      <c r="O282" t="s">
        <v>82</v>
      </c>
      <c r="P282" t="s">
        <v>83</v>
      </c>
      <c r="Q282" t="s">
        <v>503</v>
      </c>
      <c r="R282">
        <v>14</v>
      </c>
      <c r="S282" t="s">
        <v>965</v>
      </c>
      <c r="T282" t="s">
        <v>179</v>
      </c>
      <c r="U282">
        <v>1111111</v>
      </c>
      <c r="V282" t="s">
        <v>122</v>
      </c>
      <c r="W282" t="s">
        <v>529</v>
      </c>
      <c r="X282" t="s">
        <v>530</v>
      </c>
      <c r="Y282" t="s">
        <v>89</v>
      </c>
      <c r="Z282" t="s">
        <v>90</v>
      </c>
      <c r="AA282" t="s">
        <v>506</v>
      </c>
      <c r="AB282">
        <v>1</v>
      </c>
      <c r="AC282">
        <v>6</v>
      </c>
      <c r="AD282" t="b">
        <v>1</v>
      </c>
      <c r="AE282">
        <v>2023</v>
      </c>
      <c r="AF282" s="3">
        <v>367</v>
      </c>
      <c r="AG282" s="3">
        <v>45264</v>
      </c>
      <c r="AH282" s="3">
        <v>46357</v>
      </c>
      <c r="AJ282" s="4"/>
      <c r="AK282" s="4"/>
      <c r="AL282" s="3">
        <v>367</v>
      </c>
      <c r="AM282" s="3">
        <v>367</v>
      </c>
      <c r="AN282">
        <v>-8.6643983000000002</v>
      </c>
      <c r="AO282">
        <v>115.19400039999999</v>
      </c>
      <c r="AP282" t="s">
        <v>1514</v>
      </c>
      <c r="AT282">
        <v>99.75</v>
      </c>
      <c r="AW282">
        <v>0</v>
      </c>
      <c r="AX282">
        <v>0</v>
      </c>
      <c r="BA282">
        <v>0</v>
      </c>
      <c r="BB282">
        <v>0</v>
      </c>
      <c r="BE282">
        <v>0</v>
      </c>
      <c r="BF282">
        <v>0</v>
      </c>
      <c r="BJ282">
        <v>0</v>
      </c>
      <c r="BL282">
        <v>0</v>
      </c>
      <c r="BN282">
        <v>0</v>
      </c>
      <c r="BO282" s="6">
        <v>0</v>
      </c>
      <c r="BP282">
        <v>0</v>
      </c>
      <c r="BQ282">
        <v>0</v>
      </c>
      <c r="BR282">
        <v>0</v>
      </c>
    </row>
    <row r="283" spans="1:70" ht="15" customHeight="1" x14ac:dyDescent="0.35">
      <c r="A283" s="1" t="str">
        <f t="shared" si="10"/>
        <v>ZKL9</v>
      </c>
      <c r="B283" t="s">
        <v>1515</v>
      </c>
      <c r="C283" t="s">
        <v>1516</v>
      </c>
      <c r="D283" t="s">
        <v>1517</v>
      </c>
      <c r="E283" t="s">
        <v>1518</v>
      </c>
      <c r="F283" t="s">
        <v>516</v>
      </c>
      <c r="G283" t="s">
        <v>502</v>
      </c>
      <c r="H283" t="s">
        <v>502</v>
      </c>
      <c r="I283" t="s">
        <v>148</v>
      </c>
      <c r="J283" t="b">
        <v>0</v>
      </c>
      <c r="K283" t="s">
        <v>154</v>
      </c>
      <c r="L283" t="s">
        <v>155</v>
      </c>
      <c r="N283" t="s">
        <v>81</v>
      </c>
      <c r="O283" t="s">
        <v>82</v>
      </c>
      <c r="P283" t="s">
        <v>83</v>
      </c>
      <c r="Q283" t="s">
        <v>503</v>
      </c>
      <c r="R283">
        <v>24</v>
      </c>
      <c r="S283" t="s">
        <v>85</v>
      </c>
      <c r="T283" t="s">
        <v>179</v>
      </c>
      <c r="U283">
        <v>1111111</v>
      </c>
      <c r="V283" t="s">
        <v>122</v>
      </c>
      <c r="W283" t="s">
        <v>517</v>
      </c>
      <c r="X283" t="s">
        <v>518</v>
      </c>
      <c r="Y283" t="s">
        <v>89</v>
      </c>
      <c r="Z283" t="s">
        <v>90</v>
      </c>
      <c r="AA283" t="s">
        <v>506</v>
      </c>
      <c r="AB283">
        <v>1</v>
      </c>
      <c r="AC283">
        <v>6</v>
      </c>
      <c r="AD283" t="b">
        <v>1</v>
      </c>
      <c r="AE283">
        <v>2023</v>
      </c>
      <c r="AF283" s="3">
        <v>367</v>
      </c>
      <c r="AG283" s="3">
        <v>45420</v>
      </c>
      <c r="AH283" s="3">
        <v>46537</v>
      </c>
      <c r="AJ283" s="4"/>
      <c r="AK283" s="4"/>
      <c r="AL283" s="3">
        <v>367</v>
      </c>
      <c r="AM283" s="3">
        <v>367</v>
      </c>
      <c r="AN283">
        <v>-8.6292702000000006</v>
      </c>
      <c r="AO283">
        <v>115.17536269999999</v>
      </c>
      <c r="AP283" t="s">
        <v>1519</v>
      </c>
      <c r="AT283">
        <v>99.2</v>
      </c>
      <c r="AW283">
        <v>0</v>
      </c>
      <c r="AX283">
        <v>0</v>
      </c>
      <c r="BA283">
        <v>0</v>
      </c>
      <c r="BB283">
        <v>0</v>
      </c>
      <c r="BE283">
        <v>0</v>
      </c>
      <c r="BF283">
        <v>0</v>
      </c>
      <c r="BJ283">
        <v>0</v>
      </c>
      <c r="BL283">
        <v>0</v>
      </c>
      <c r="BN283">
        <v>0</v>
      </c>
      <c r="BO283" s="6">
        <v>0</v>
      </c>
      <c r="BP283">
        <v>0</v>
      </c>
      <c r="BQ283">
        <v>0</v>
      </c>
      <c r="BR283">
        <v>0</v>
      </c>
    </row>
    <row r="284" spans="1:70" ht="15" customHeight="1" x14ac:dyDescent="0.35">
      <c r="A284" s="1" t="str">
        <f t="shared" si="10"/>
        <v>Z0Q4</v>
      </c>
      <c r="B284" t="s">
        <v>1520</v>
      </c>
      <c r="C284" t="s">
        <v>1521</v>
      </c>
      <c r="D284" t="s">
        <v>1522</v>
      </c>
      <c r="E284" t="s">
        <v>1523</v>
      </c>
      <c r="F284" t="s">
        <v>501</v>
      </c>
      <c r="G284" t="s">
        <v>502</v>
      </c>
      <c r="H284" t="s">
        <v>502</v>
      </c>
      <c r="I284" t="s">
        <v>148</v>
      </c>
      <c r="J284" t="b">
        <v>0</v>
      </c>
      <c r="K284" t="s">
        <v>154</v>
      </c>
      <c r="L284" t="s">
        <v>214</v>
      </c>
      <c r="N284" t="s">
        <v>81</v>
      </c>
      <c r="O284" t="s">
        <v>82</v>
      </c>
      <c r="P284" t="s">
        <v>83</v>
      </c>
      <c r="Q284" t="s">
        <v>503</v>
      </c>
      <c r="R284">
        <v>24</v>
      </c>
      <c r="S284" t="s">
        <v>85</v>
      </c>
      <c r="T284" t="s">
        <v>179</v>
      </c>
      <c r="U284">
        <v>1111111</v>
      </c>
      <c r="V284" t="s">
        <v>122</v>
      </c>
      <c r="W284" t="s">
        <v>571</v>
      </c>
      <c r="X284" t="s">
        <v>572</v>
      </c>
      <c r="Y284" t="s">
        <v>89</v>
      </c>
      <c r="Z284" t="s">
        <v>90</v>
      </c>
      <c r="AA284" t="s">
        <v>506</v>
      </c>
      <c r="AB284">
        <v>1</v>
      </c>
      <c r="AC284">
        <v>6</v>
      </c>
      <c r="AD284" t="b">
        <v>1</v>
      </c>
      <c r="AE284">
        <v>2024</v>
      </c>
      <c r="AF284" s="3">
        <v>367</v>
      </c>
      <c r="AG284" s="3">
        <v>45434</v>
      </c>
      <c r="AH284" s="3">
        <v>46537</v>
      </c>
      <c r="AJ284" s="4"/>
      <c r="AK284" s="4"/>
      <c r="AL284" s="3">
        <v>367</v>
      </c>
      <c r="AM284" s="3">
        <v>367</v>
      </c>
      <c r="AN284">
        <v>-8.6366177000000004</v>
      </c>
      <c r="AO284">
        <v>115.1835679</v>
      </c>
      <c r="AP284" t="s">
        <v>1524</v>
      </c>
      <c r="AT284">
        <v>99.2</v>
      </c>
      <c r="AW284">
        <v>0</v>
      </c>
      <c r="AX284">
        <v>0</v>
      </c>
      <c r="BA284">
        <v>0</v>
      </c>
      <c r="BB284">
        <v>0</v>
      </c>
      <c r="BE284">
        <v>0</v>
      </c>
      <c r="BF284">
        <v>0</v>
      </c>
      <c r="BJ284">
        <v>0</v>
      </c>
      <c r="BL284">
        <v>0</v>
      </c>
      <c r="BN284">
        <v>0</v>
      </c>
      <c r="BO284" s="6">
        <v>0</v>
      </c>
      <c r="BP284">
        <v>0</v>
      </c>
      <c r="BQ284">
        <v>0</v>
      </c>
      <c r="BR284">
        <v>0</v>
      </c>
    </row>
    <row r="285" spans="1:70" ht="15" customHeight="1" x14ac:dyDescent="0.35">
      <c r="A285" s="1" t="str">
        <f t="shared" si="10"/>
        <v>Z0Q3</v>
      </c>
      <c r="B285" t="s">
        <v>1525</v>
      </c>
      <c r="C285" t="s">
        <v>1521</v>
      </c>
      <c r="D285" t="s">
        <v>1526</v>
      </c>
      <c r="E285" t="s">
        <v>1523</v>
      </c>
      <c r="F285" t="s">
        <v>501</v>
      </c>
      <c r="G285" t="s">
        <v>502</v>
      </c>
      <c r="H285" t="s">
        <v>502</v>
      </c>
      <c r="I285" t="s">
        <v>148</v>
      </c>
      <c r="J285" t="b">
        <v>0</v>
      </c>
      <c r="K285" t="s">
        <v>154</v>
      </c>
      <c r="L285" t="s">
        <v>214</v>
      </c>
      <c r="N285" t="s">
        <v>81</v>
      </c>
      <c r="O285" t="s">
        <v>82</v>
      </c>
      <c r="P285" t="s">
        <v>83</v>
      </c>
      <c r="Q285" t="s">
        <v>503</v>
      </c>
      <c r="R285">
        <v>24</v>
      </c>
      <c r="S285" t="s">
        <v>85</v>
      </c>
      <c r="T285" t="s">
        <v>179</v>
      </c>
      <c r="U285">
        <v>1111111</v>
      </c>
      <c r="V285" t="s">
        <v>122</v>
      </c>
      <c r="W285" t="s">
        <v>571</v>
      </c>
      <c r="X285" t="s">
        <v>572</v>
      </c>
      <c r="Y285" t="s">
        <v>89</v>
      </c>
      <c r="Z285" t="s">
        <v>90</v>
      </c>
      <c r="AA285" t="s">
        <v>506</v>
      </c>
      <c r="AB285">
        <v>1</v>
      </c>
      <c r="AC285">
        <v>6</v>
      </c>
      <c r="AD285" t="b">
        <v>1</v>
      </c>
      <c r="AE285">
        <v>2024</v>
      </c>
      <c r="AF285" s="3">
        <v>367</v>
      </c>
      <c r="AG285" s="3">
        <v>45434</v>
      </c>
      <c r="AH285" s="3">
        <v>46537</v>
      </c>
      <c r="AJ285" s="4">
        <f>VLOOKUP(A285,'[1]1'!B:Q,16,0)</f>
        <v>1440</v>
      </c>
      <c r="AK285" s="7">
        <f t="shared" ref="AK285:AK290" si="11">AJ285/250</f>
        <v>5.76</v>
      </c>
      <c r="AL285" s="3">
        <v>367</v>
      </c>
      <c r="AM285" s="3">
        <v>367</v>
      </c>
      <c r="AN285">
        <v>-8.6371287999999993</v>
      </c>
      <c r="AO285">
        <v>115.1833965</v>
      </c>
      <c r="AP285" t="s">
        <v>1527</v>
      </c>
      <c r="AT285">
        <v>99.2</v>
      </c>
      <c r="AW285">
        <v>0</v>
      </c>
      <c r="AX285">
        <v>0</v>
      </c>
      <c r="BA285">
        <v>0</v>
      </c>
      <c r="BB285">
        <v>0</v>
      </c>
      <c r="BE285">
        <v>0</v>
      </c>
      <c r="BF285">
        <v>0</v>
      </c>
      <c r="BJ285">
        <v>0</v>
      </c>
      <c r="BL285">
        <v>0</v>
      </c>
      <c r="BN285">
        <v>0</v>
      </c>
      <c r="BO285" s="6">
        <v>0</v>
      </c>
      <c r="BP285">
        <v>0</v>
      </c>
      <c r="BQ285">
        <v>0</v>
      </c>
      <c r="BR285">
        <v>0</v>
      </c>
    </row>
    <row r="286" spans="1:70" ht="15" customHeight="1" x14ac:dyDescent="0.35">
      <c r="A286" s="1" t="str">
        <f t="shared" si="10"/>
        <v>Z08F</v>
      </c>
      <c r="B286" t="s">
        <v>1528</v>
      </c>
      <c r="C286" t="s">
        <v>1529</v>
      </c>
      <c r="D286" t="s">
        <v>1530</v>
      </c>
      <c r="E286" t="s">
        <v>1531</v>
      </c>
      <c r="F286" t="s">
        <v>501</v>
      </c>
      <c r="G286" t="s">
        <v>502</v>
      </c>
      <c r="H286" t="s">
        <v>502</v>
      </c>
      <c r="I286" t="s">
        <v>148</v>
      </c>
      <c r="J286" t="b">
        <v>0</v>
      </c>
      <c r="K286" t="s">
        <v>154</v>
      </c>
      <c r="L286" t="s">
        <v>214</v>
      </c>
      <c r="N286" t="s">
        <v>81</v>
      </c>
      <c r="O286" t="s">
        <v>82</v>
      </c>
      <c r="P286" t="s">
        <v>83</v>
      </c>
      <c r="Q286" t="s">
        <v>503</v>
      </c>
      <c r="R286">
        <v>24</v>
      </c>
      <c r="S286" t="s">
        <v>85</v>
      </c>
      <c r="T286" t="s">
        <v>179</v>
      </c>
      <c r="U286">
        <v>1111111</v>
      </c>
      <c r="V286" t="s">
        <v>122</v>
      </c>
      <c r="W286" t="s">
        <v>571</v>
      </c>
      <c r="X286" t="s">
        <v>572</v>
      </c>
      <c r="Y286" t="s">
        <v>89</v>
      </c>
      <c r="Z286" t="s">
        <v>90</v>
      </c>
      <c r="AA286" t="s">
        <v>506</v>
      </c>
      <c r="AB286">
        <v>1</v>
      </c>
      <c r="AC286">
        <v>6</v>
      </c>
      <c r="AD286" t="b">
        <v>1</v>
      </c>
      <c r="AE286">
        <v>2024</v>
      </c>
      <c r="AF286" s="3">
        <v>367</v>
      </c>
      <c r="AG286" s="3">
        <v>45434</v>
      </c>
      <c r="AH286" s="3">
        <v>46537</v>
      </c>
      <c r="AJ286" s="4">
        <f>VLOOKUP(A286,'[1]1'!B:Q,16,0)</f>
        <v>1440</v>
      </c>
      <c r="AK286" s="7">
        <f t="shared" si="11"/>
        <v>5.76</v>
      </c>
      <c r="AL286" s="3">
        <v>367</v>
      </c>
      <c r="AM286" s="3">
        <v>367</v>
      </c>
      <c r="AN286">
        <v>-8.6426496999999998</v>
      </c>
      <c r="AO286">
        <v>115.2092559</v>
      </c>
      <c r="AP286" t="s">
        <v>1531</v>
      </c>
      <c r="AT286">
        <v>99.2</v>
      </c>
      <c r="AW286">
        <v>0</v>
      </c>
      <c r="AX286">
        <v>0</v>
      </c>
      <c r="BA286">
        <v>0</v>
      </c>
      <c r="BB286">
        <v>0</v>
      </c>
      <c r="BE286">
        <v>0</v>
      </c>
      <c r="BF286">
        <v>0</v>
      </c>
      <c r="BJ286">
        <v>0</v>
      </c>
      <c r="BL286">
        <v>0</v>
      </c>
      <c r="BN286">
        <v>0</v>
      </c>
      <c r="BO286" s="6">
        <v>0</v>
      </c>
      <c r="BP286">
        <v>0</v>
      </c>
      <c r="BQ286">
        <v>0</v>
      </c>
      <c r="BR286">
        <v>0</v>
      </c>
    </row>
    <row r="287" spans="1:70" ht="15" customHeight="1" x14ac:dyDescent="0.35">
      <c r="A287" s="1" t="str">
        <f t="shared" si="10"/>
        <v>Z08E</v>
      </c>
      <c r="B287" t="s">
        <v>1532</v>
      </c>
      <c r="C287" t="s">
        <v>1533</v>
      </c>
      <c r="D287" t="s">
        <v>1534</v>
      </c>
      <c r="E287" t="s">
        <v>1535</v>
      </c>
      <c r="F287" t="s">
        <v>501</v>
      </c>
      <c r="G287" t="s">
        <v>502</v>
      </c>
      <c r="H287" t="s">
        <v>502</v>
      </c>
      <c r="I287" t="s">
        <v>148</v>
      </c>
      <c r="J287" t="b">
        <v>0</v>
      </c>
      <c r="K287" t="s">
        <v>154</v>
      </c>
      <c r="L287" t="s">
        <v>214</v>
      </c>
      <c r="N287" t="s">
        <v>81</v>
      </c>
      <c r="O287" t="s">
        <v>82</v>
      </c>
      <c r="P287" t="s">
        <v>83</v>
      </c>
      <c r="Q287" t="s">
        <v>503</v>
      </c>
      <c r="R287">
        <v>24</v>
      </c>
      <c r="S287" t="s">
        <v>85</v>
      </c>
      <c r="T287" t="s">
        <v>179</v>
      </c>
      <c r="U287">
        <v>1111111</v>
      </c>
      <c r="V287" t="s">
        <v>122</v>
      </c>
      <c r="W287" t="s">
        <v>571</v>
      </c>
      <c r="X287" t="s">
        <v>572</v>
      </c>
      <c r="Y287" t="s">
        <v>89</v>
      </c>
      <c r="Z287" t="s">
        <v>90</v>
      </c>
      <c r="AA287" t="s">
        <v>506</v>
      </c>
      <c r="AB287">
        <v>1</v>
      </c>
      <c r="AC287">
        <v>6</v>
      </c>
      <c r="AD287" t="b">
        <v>1</v>
      </c>
      <c r="AE287">
        <v>2024</v>
      </c>
      <c r="AF287" s="3">
        <v>367</v>
      </c>
      <c r="AG287" s="3">
        <v>45434</v>
      </c>
      <c r="AH287" s="3">
        <v>46537</v>
      </c>
      <c r="AJ287" s="4">
        <f>VLOOKUP(A287,'[1]1'!B:Q,16,0)</f>
        <v>1440</v>
      </c>
      <c r="AK287" s="7">
        <f t="shared" si="11"/>
        <v>5.76</v>
      </c>
      <c r="AL287" s="3">
        <v>367</v>
      </c>
      <c r="AM287" s="3">
        <v>367</v>
      </c>
      <c r="AN287">
        <v>-8.6426505999999996</v>
      </c>
      <c r="AO287">
        <v>115.2093878</v>
      </c>
      <c r="AP287" t="s">
        <v>1535</v>
      </c>
      <c r="AT287">
        <v>99.2</v>
      </c>
      <c r="AW287">
        <v>0</v>
      </c>
      <c r="AX287">
        <v>0</v>
      </c>
      <c r="BA287">
        <v>0</v>
      </c>
      <c r="BB287">
        <v>0</v>
      </c>
      <c r="BE287">
        <v>0</v>
      </c>
      <c r="BF287">
        <v>0</v>
      </c>
      <c r="BJ287">
        <v>0</v>
      </c>
      <c r="BL287">
        <v>0</v>
      </c>
      <c r="BN287">
        <v>0</v>
      </c>
      <c r="BO287" s="6">
        <v>0</v>
      </c>
      <c r="BP287">
        <v>0</v>
      </c>
      <c r="BQ287">
        <v>0</v>
      </c>
      <c r="BR287">
        <v>0</v>
      </c>
    </row>
    <row r="288" spans="1:70" ht="15" customHeight="1" x14ac:dyDescent="0.35">
      <c r="A288" s="1" t="str">
        <f t="shared" si="10"/>
        <v>Z833</v>
      </c>
      <c r="B288" t="s">
        <v>1536</v>
      </c>
      <c r="C288" t="s">
        <v>1537</v>
      </c>
      <c r="D288" t="s">
        <v>1538</v>
      </c>
      <c r="E288" t="s">
        <v>1539</v>
      </c>
      <c r="F288" t="s">
        <v>501</v>
      </c>
      <c r="G288" t="s">
        <v>502</v>
      </c>
      <c r="H288" t="s">
        <v>502</v>
      </c>
      <c r="I288" t="s">
        <v>148</v>
      </c>
      <c r="J288" t="b">
        <v>0</v>
      </c>
      <c r="K288" t="s">
        <v>154</v>
      </c>
      <c r="L288" t="s">
        <v>214</v>
      </c>
      <c r="N288" t="s">
        <v>81</v>
      </c>
      <c r="O288" t="s">
        <v>82</v>
      </c>
      <c r="P288" t="s">
        <v>83</v>
      </c>
      <c r="Q288" t="s">
        <v>503</v>
      </c>
      <c r="R288">
        <v>24</v>
      </c>
      <c r="S288" t="s">
        <v>85</v>
      </c>
      <c r="T288" t="s">
        <v>85</v>
      </c>
      <c r="U288">
        <v>1111111</v>
      </c>
      <c r="V288" t="s">
        <v>122</v>
      </c>
      <c r="W288" t="s">
        <v>571</v>
      </c>
      <c r="X288" t="s">
        <v>572</v>
      </c>
      <c r="Y288" t="s">
        <v>89</v>
      </c>
      <c r="Z288" t="s">
        <v>90</v>
      </c>
      <c r="AA288" t="s">
        <v>506</v>
      </c>
      <c r="AB288">
        <v>1</v>
      </c>
      <c r="AC288">
        <v>6</v>
      </c>
      <c r="AD288" t="b">
        <v>1</v>
      </c>
      <c r="AE288">
        <v>2024</v>
      </c>
      <c r="AF288" s="3">
        <v>367</v>
      </c>
      <c r="AG288" s="3">
        <v>45435</v>
      </c>
      <c r="AH288" s="3">
        <v>46530</v>
      </c>
      <c r="AJ288" s="4">
        <f>VLOOKUP(A288,'[1]1'!B:Q,16,0)</f>
        <v>1440</v>
      </c>
      <c r="AK288" s="7">
        <f t="shared" si="11"/>
        <v>5.76</v>
      </c>
      <c r="AL288" s="3">
        <v>367</v>
      </c>
      <c r="AM288" s="3">
        <v>367</v>
      </c>
      <c r="AN288">
        <v>-8.6358478000000005</v>
      </c>
      <c r="AO288">
        <v>115.22001520000001</v>
      </c>
      <c r="AP288" t="s">
        <v>1540</v>
      </c>
      <c r="AT288">
        <v>99.2</v>
      </c>
      <c r="AW288">
        <v>0</v>
      </c>
      <c r="AX288">
        <v>0</v>
      </c>
      <c r="BA288">
        <v>0</v>
      </c>
      <c r="BB288">
        <v>0</v>
      </c>
      <c r="BE288">
        <v>0</v>
      </c>
      <c r="BF288">
        <v>0</v>
      </c>
      <c r="BJ288">
        <v>0</v>
      </c>
      <c r="BL288">
        <v>0</v>
      </c>
      <c r="BN288">
        <v>0</v>
      </c>
      <c r="BO288" s="6">
        <v>0</v>
      </c>
      <c r="BP288">
        <v>0</v>
      </c>
      <c r="BQ288">
        <v>0</v>
      </c>
      <c r="BR288">
        <v>0</v>
      </c>
    </row>
    <row r="289" spans="1:70" ht="15" customHeight="1" x14ac:dyDescent="0.35">
      <c r="A289" s="1" t="str">
        <f t="shared" si="10"/>
        <v>Z832</v>
      </c>
      <c r="B289" t="s">
        <v>1541</v>
      </c>
      <c r="C289" t="s">
        <v>1542</v>
      </c>
      <c r="D289" t="s">
        <v>1543</v>
      </c>
      <c r="E289" t="s">
        <v>1539</v>
      </c>
      <c r="F289" t="s">
        <v>501</v>
      </c>
      <c r="G289" t="s">
        <v>502</v>
      </c>
      <c r="H289" t="s">
        <v>502</v>
      </c>
      <c r="I289" t="s">
        <v>148</v>
      </c>
      <c r="J289" t="b">
        <v>0</v>
      </c>
      <c r="K289" t="s">
        <v>154</v>
      </c>
      <c r="L289" t="s">
        <v>214</v>
      </c>
      <c r="N289" t="s">
        <v>81</v>
      </c>
      <c r="O289" t="s">
        <v>82</v>
      </c>
      <c r="P289" t="s">
        <v>83</v>
      </c>
      <c r="Q289" t="s">
        <v>503</v>
      </c>
      <c r="R289">
        <v>24</v>
      </c>
      <c r="S289" t="s">
        <v>85</v>
      </c>
      <c r="T289" t="s">
        <v>85</v>
      </c>
      <c r="U289">
        <v>1111111</v>
      </c>
      <c r="V289" t="s">
        <v>122</v>
      </c>
      <c r="W289" t="s">
        <v>571</v>
      </c>
      <c r="X289" t="s">
        <v>572</v>
      </c>
      <c r="Y289" t="s">
        <v>89</v>
      </c>
      <c r="Z289" t="s">
        <v>90</v>
      </c>
      <c r="AA289" t="s">
        <v>506</v>
      </c>
      <c r="AB289">
        <v>1</v>
      </c>
      <c r="AC289">
        <v>6</v>
      </c>
      <c r="AD289" t="b">
        <v>1</v>
      </c>
      <c r="AE289">
        <v>2024</v>
      </c>
      <c r="AF289" s="3">
        <v>367</v>
      </c>
      <c r="AG289" s="3">
        <v>45435</v>
      </c>
      <c r="AH289" s="3">
        <v>46530</v>
      </c>
      <c r="AJ289" s="4">
        <f>VLOOKUP(A289,'[1]1'!B:Q,16,0)</f>
        <v>1440</v>
      </c>
      <c r="AK289" s="7">
        <f t="shared" si="11"/>
        <v>5.76</v>
      </c>
      <c r="AL289" s="3">
        <v>367</v>
      </c>
      <c r="AM289" s="3">
        <v>367</v>
      </c>
      <c r="AN289">
        <v>-8.6358425000000008</v>
      </c>
      <c r="AO289">
        <v>115.2199694</v>
      </c>
      <c r="AP289" t="s">
        <v>1540</v>
      </c>
      <c r="AT289">
        <v>99.2</v>
      </c>
      <c r="AW289">
        <v>0</v>
      </c>
      <c r="AX289">
        <v>0</v>
      </c>
      <c r="BA289">
        <v>0</v>
      </c>
      <c r="BB289">
        <v>0</v>
      </c>
      <c r="BE289">
        <v>0</v>
      </c>
      <c r="BF289">
        <v>0</v>
      </c>
      <c r="BJ289">
        <v>0</v>
      </c>
      <c r="BL289">
        <v>0</v>
      </c>
      <c r="BN289">
        <v>0</v>
      </c>
      <c r="BO289" s="6">
        <v>0</v>
      </c>
      <c r="BP289">
        <v>0</v>
      </c>
      <c r="BQ289">
        <v>0</v>
      </c>
      <c r="BR289">
        <v>0</v>
      </c>
    </row>
    <row r="290" spans="1:70" ht="15" customHeight="1" x14ac:dyDescent="0.35">
      <c r="A290" s="1" t="str">
        <f t="shared" si="10"/>
        <v>Z2H4</v>
      </c>
      <c r="B290" t="s">
        <v>1544</v>
      </c>
      <c r="C290" t="s">
        <v>1545</v>
      </c>
      <c r="D290" t="s">
        <v>1546</v>
      </c>
      <c r="E290" t="s">
        <v>1547</v>
      </c>
      <c r="F290" t="s">
        <v>501</v>
      </c>
      <c r="G290" t="s">
        <v>502</v>
      </c>
      <c r="H290" t="s">
        <v>502</v>
      </c>
      <c r="I290" t="s">
        <v>148</v>
      </c>
      <c r="J290" t="b">
        <v>0</v>
      </c>
      <c r="K290" t="s">
        <v>154</v>
      </c>
      <c r="L290" t="s">
        <v>214</v>
      </c>
      <c r="N290" t="s">
        <v>81</v>
      </c>
      <c r="O290" t="s">
        <v>82</v>
      </c>
      <c r="P290" t="s">
        <v>83</v>
      </c>
      <c r="Q290" t="s">
        <v>503</v>
      </c>
      <c r="R290">
        <v>24</v>
      </c>
      <c r="S290" t="s">
        <v>85</v>
      </c>
      <c r="T290" t="s">
        <v>85</v>
      </c>
      <c r="U290">
        <v>1111111</v>
      </c>
      <c r="V290" t="s">
        <v>122</v>
      </c>
      <c r="W290" t="s">
        <v>550</v>
      </c>
      <c r="X290" t="s">
        <v>551</v>
      </c>
      <c r="Y290" t="s">
        <v>89</v>
      </c>
      <c r="Z290" t="s">
        <v>90</v>
      </c>
      <c r="AA290" t="s">
        <v>506</v>
      </c>
      <c r="AB290">
        <v>1</v>
      </c>
      <c r="AC290">
        <v>6</v>
      </c>
      <c r="AD290" t="b">
        <v>1</v>
      </c>
      <c r="AE290">
        <v>2024</v>
      </c>
      <c r="AF290" s="3">
        <v>367</v>
      </c>
      <c r="AG290" s="3">
        <v>45435</v>
      </c>
      <c r="AH290" s="3">
        <v>46530</v>
      </c>
      <c r="AJ290" s="4">
        <f>VLOOKUP(A290,'[1]1'!B:Q,16,0)</f>
        <v>1440</v>
      </c>
      <c r="AK290" s="7">
        <f t="shared" si="11"/>
        <v>5.76</v>
      </c>
      <c r="AL290" s="3">
        <v>367</v>
      </c>
      <c r="AM290" s="3">
        <v>367</v>
      </c>
      <c r="AN290">
        <v>-8.6351940000000003</v>
      </c>
      <c r="AO290">
        <v>115.2476285</v>
      </c>
      <c r="AP290" t="s">
        <v>1548</v>
      </c>
      <c r="AT290">
        <v>99.2</v>
      </c>
      <c r="AW290">
        <v>0</v>
      </c>
      <c r="AX290">
        <v>0</v>
      </c>
      <c r="BA290">
        <v>0</v>
      </c>
      <c r="BB290">
        <v>0</v>
      </c>
      <c r="BE290">
        <v>0</v>
      </c>
      <c r="BF290">
        <v>0</v>
      </c>
      <c r="BJ290">
        <v>0</v>
      </c>
      <c r="BL290">
        <v>0</v>
      </c>
      <c r="BN290">
        <v>0</v>
      </c>
      <c r="BO290" s="6">
        <v>0</v>
      </c>
      <c r="BP290">
        <v>0</v>
      </c>
      <c r="BQ290">
        <v>0</v>
      </c>
      <c r="BR290">
        <v>0</v>
      </c>
    </row>
    <row r="291" spans="1:70" ht="15" customHeight="1" x14ac:dyDescent="0.35">
      <c r="A291" s="1" t="str">
        <f t="shared" si="10"/>
        <v>Z2H3</v>
      </c>
      <c r="B291" t="s">
        <v>1549</v>
      </c>
      <c r="C291" t="s">
        <v>1550</v>
      </c>
      <c r="D291" t="s">
        <v>1551</v>
      </c>
      <c r="E291" t="s">
        <v>1552</v>
      </c>
      <c r="F291" t="s">
        <v>501</v>
      </c>
      <c r="G291" t="s">
        <v>502</v>
      </c>
      <c r="H291" t="s">
        <v>502</v>
      </c>
      <c r="I291" t="s">
        <v>148</v>
      </c>
      <c r="J291" t="b">
        <v>0</v>
      </c>
      <c r="K291" t="s">
        <v>154</v>
      </c>
      <c r="L291" t="s">
        <v>214</v>
      </c>
      <c r="N291" t="s">
        <v>81</v>
      </c>
      <c r="O291" t="s">
        <v>82</v>
      </c>
      <c r="P291" t="s">
        <v>83</v>
      </c>
      <c r="Q291" t="s">
        <v>503</v>
      </c>
      <c r="R291">
        <v>24</v>
      </c>
      <c r="S291" t="s">
        <v>85</v>
      </c>
      <c r="T291" t="s">
        <v>85</v>
      </c>
      <c r="U291">
        <v>1111111</v>
      </c>
      <c r="V291" t="s">
        <v>122</v>
      </c>
      <c r="W291" t="s">
        <v>550</v>
      </c>
      <c r="X291" t="s">
        <v>551</v>
      </c>
      <c r="Y291" t="s">
        <v>89</v>
      </c>
      <c r="Z291" t="s">
        <v>90</v>
      </c>
      <c r="AA291" t="s">
        <v>506</v>
      </c>
      <c r="AB291">
        <v>1</v>
      </c>
      <c r="AC291">
        <v>6</v>
      </c>
      <c r="AD291" t="b">
        <v>1</v>
      </c>
      <c r="AE291">
        <v>2024</v>
      </c>
      <c r="AF291" s="3">
        <v>367</v>
      </c>
      <c r="AG291" s="3">
        <v>45435</v>
      </c>
      <c r="AH291" s="3">
        <v>46530</v>
      </c>
      <c r="AJ291" s="4"/>
      <c r="AK291" s="4"/>
      <c r="AL291" s="3">
        <v>367</v>
      </c>
      <c r="AM291" s="3">
        <v>367</v>
      </c>
      <c r="AN291">
        <v>-8.6353717000000003</v>
      </c>
      <c r="AO291">
        <v>115.2476458</v>
      </c>
      <c r="AP291" t="s">
        <v>1553</v>
      </c>
      <c r="AT291">
        <v>99.2</v>
      </c>
      <c r="AW291">
        <v>0</v>
      </c>
      <c r="AX291">
        <v>0</v>
      </c>
      <c r="BA291">
        <v>0</v>
      </c>
      <c r="BB291">
        <v>0</v>
      </c>
      <c r="BE291">
        <v>0</v>
      </c>
      <c r="BF291">
        <v>0</v>
      </c>
      <c r="BJ291">
        <v>0</v>
      </c>
      <c r="BL291">
        <v>0</v>
      </c>
      <c r="BN291">
        <v>0</v>
      </c>
      <c r="BO291" s="6">
        <v>0</v>
      </c>
      <c r="BP291">
        <v>0</v>
      </c>
      <c r="BQ291">
        <v>0</v>
      </c>
      <c r="BR291">
        <v>0</v>
      </c>
    </row>
    <row r="292" spans="1:70" ht="15" customHeight="1" x14ac:dyDescent="0.35">
      <c r="A292" s="1" t="str">
        <f t="shared" si="10"/>
        <v>Z2H2</v>
      </c>
      <c r="B292" t="s">
        <v>1554</v>
      </c>
      <c r="C292" t="s">
        <v>1545</v>
      </c>
      <c r="D292" t="s">
        <v>1555</v>
      </c>
      <c r="E292" t="s">
        <v>1556</v>
      </c>
      <c r="F292" t="s">
        <v>501</v>
      </c>
      <c r="G292" t="s">
        <v>502</v>
      </c>
      <c r="H292" t="s">
        <v>502</v>
      </c>
      <c r="I292" t="s">
        <v>148</v>
      </c>
      <c r="J292" t="b">
        <v>0</v>
      </c>
      <c r="K292" t="s">
        <v>154</v>
      </c>
      <c r="L292" t="s">
        <v>214</v>
      </c>
      <c r="N292" t="s">
        <v>81</v>
      </c>
      <c r="O292" t="s">
        <v>82</v>
      </c>
      <c r="P292" t="s">
        <v>83</v>
      </c>
      <c r="Q292" t="s">
        <v>503</v>
      </c>
      <c r="R292">
        <v>24</v>
      </c>
      <c r="S292" t="s">
        <v>85</v>
      </c>
      <c r="T292" t="s">
        <v>85</v>
      </c>
      <c r="U292">
        <v>1111111</v>
      </c>
      <c r="V292" t="s">
        <v>122</v>
      </c>
      <c r="W292" t="s">
        <v>550</v>
      </c>
      <c r="X292" t="s">
        <v>551</v>
      </c>
      <c r="Y292" t="s">
        <v>89</v>
      </c>
      <c r="Z292" t="s">
        <v>90</v>
      </c>
      <c r="AA292" t="s">
        <v>506</v>
      </c>
      <c r="AB292">
        <v>1</v>
      </c>
      <c r="AC292">
        <v>6</v>
      </c>
      <c r="AD292" t="b">
        <v>1</v>
      </c>
      <c r="AE292">
        <v>2024</v>
      </c>
      <c r="AF292" s="3">
        <v>367</v>
      </c>
      <c r="AG292" s="3">
        <v>45435</v>
      </c>
      <c r="AH292" s="3">
        <v>46530</v>
      </c>
      <c r="AJ292" s="4">
        <f>VLOOKUP(A292,'[1]1'!B:Q,16,0)</f>
        <v>1440</v>
      </c>
      <c r="AK292" s="7">
        <f t="shared" ref="AK292:AK294" si="12">AJ292/250</f>
        <v>5.76</v>
      </c>
      <c r="AL292" s="3">
        <v>367</v>
      </c>
      <c r="AM292" s="3">
        <v>367</v>
      </c>
      <c r="AN292">
        <v>-8.6352832999999993</v>
      </c>
      <c r="AO292">
        <v>115.247625</v>
      </c>
      <c r="AP292" t="s">
        <v>1557</v>
      </c>
      <c r="AT292">
        <v>99.2</v>
      </c>
      <c r="AW292">
        <v>0</v>
      </c>
      <c r="AX292">
        <v>0</v>
      </c>
      <c r="BA292">
        <v>0</v>
      </c>
      <c r="BB292">
        <v>0</v>
      </c>
      <c r="BE292">
        <v>0</v>
      </c>
      <c r="BF292">
        <v>0</v>
      </c>
      <c r="BJ292">
        <v>0</v>
      </c>
      <c r="BL292">
        <v>0</v>
      </c>
      <c r="BN292">
        <v>0</v>
      </c>
      <c r="BO292" s="6">
        <v>0</v>
      </c>
      <c r="BP292">
        <v>0</v>
      </c>
      <c r="BQ292">
        <v>0</v>
      </c>
      <c r="BR292">
        <v>0</v>
      </c>
    </row>
    <row r="293" spans="1:70" ht="15" customHeight="1" x14ac:dyDescent="0.35">
      <c r="A293" s="1" t="str">
        <f t="shared" si="10"/>
        <v>Z858</v>
      </c>
      <c r="B293" t="s">
        <v>1558</v>
      </c>
      <c r="C293" t="s">
        <v>1559</v>
      </c>
      <c r="D293" t="s">
        <v>1560</v>
      </c>
      <c r="E293" t="s">
        <v>1561</v>
      </c>
      <c r="F293" t="s">
        <v>516</v>
      </c>
      <c r="G293" t="s">
        <v>502</v>
      </c>
      <c r="H293" t="s">
        <v>502</v>
      </c>
      <c r="I293" t="s">
        <v>148</v>
      </c>
      <c r="J293" t="b">
        <v>0</v>
      </c>
      <c r="K293" t="s">
        <v>154</v>
      </c>
      <c r="L293" t="s">
        <v>214</v>
      </c>
      <c r="N293" t="s">
        <v>81</v>
      </c>
      <c r="O293" t="s">
        <v>82</v>
      </c>
      <c r="P293" t="s">
        <v>83</v>
      </c>
      <c r="Q293" t="s">
        <v>503</v>
      </c>
      <c r="R293">
        <v>24</v>
      </c>
      <c r="S293" t="s">
        <v>85</v>
      </c>
      <c r="T293" t="s">
        <v>85</v>
      </c>
      <c r="U293">
        <v>1111111</v>
      </c>
      <c r="V293" t="s">
        <v>122</v>
      </c>
      <c r="W293" t="s">
        <v>523</v>
      </c>
      <c r="X293" t="s">
        <v>524</v>
      </c>
      <c r="Y293" t="s">
        <v>89</v>
      </c>
      <c r="Z293" t="s">
        <v>90</v>
      </c>
      <c r="AA293" t="s">
        <v>506</v>
      </c>
      <c r="AB293">
        <v>1</v>
      </c>
      <c r="AC293">
        <v>6</v>
      </c>
      <c r="AD293" t="b">
        <v>1</v>
      </c>
      <c r="AE293">
        <v>2024</v>
      </c>
      <c r="AF293" s="3">
        <v>367</v>
      </c>
      <c r="AG293" s="3">
        <v>45436</v>
      </c>
      <c r="AH293" s="3">
        <v>46531</v>
      </c>
      <c r="AJ293" s="4">
        <f>VLOOKUP(A293,'[1]1'!B:Q,16,0)</f>
        <v>1440</v>
      </c>
      <c r="AK293" s="7">
        <f t="shared" si="12"/>
        <v>5.76</v>
      </c>
      <c r="AL293" s="3">
        <v>367</v>
      </c>
      <c r="AM293" s="3">
        <v>367</v>
      </c>
      <c r="AN293">
        <v>-8.7179205</v>
      </c>
      <c r="AO293">
        <v>115.1810923</v>
      </c>
      <c r="AP293" t="s">
        <v>1562</v>
      </c>
      <c r="AT293">
        <v>99.2</v>
      </c>
      <c r="AW293">
        <v>0</v>
      </c>
      <c r="AX293">
        <v>0</v>
      </c>
      <c r="BA293">
        <v>0</v>
      </c>
      <c r="BB293">
        <v>0</v>
      </c>
      <c r="BE293">
        <v>0</v>
      </c>
      <c r="BF293">
        <v>0</v>
      </c>
      <c r="BJ293">
        <v>0</v>
      </c>
      <c r="BL293">
        <v>0</v>
      </c>
      <c r="BN293">
        <v>0</v>
      </c>
      <c r="BO293" s="6">
        <v>0</v>
      </c>
      <c r="BP293">
        <v>0</v>
      </c>
      <c r="BQ293">
        <v>0</v>
      </c>
      <c r="BR293">
        <v>0</v>
      </c>
    </row>
    <row r="294" spans="1:70" ht="15" customHeight="1" x14ac:dyDescent="0.35">
      <c r="A294" s="1" t="str">
        <f t="shared" si="10"/>
        <v>Z837</v>
      </c>
      <c r="B294" t="s">
        <v>1563</v>
      </c>
      <c r="C294" t="s">
        <v>1564</v>
      </c>
      <c r="D294" t="s">
        <v>1565</v>
      </c>
      <c r="E294" t="s">
        <v>1566</v>
      </c>
      <c r="F294" t="s">
        <v>1354</v>
      </c>
      <c r="G294" t="s">
        <v>502</v>
      </c>
      <c r="H294" t="s">
        <v>502</v>
      </c>
      <c r="I294" t="s">
        <v>148</v>
      </c>
      <c r="J294" t="b">
        <v>0</v>
      </c>
      <c r="K294" t="s">
        <v>154</v>
      </c>
      <c r="L294" t="s">
        <v>214</v>
      </c>
      <c r="N294" t="s">
        <v>81</v>
      </c>
      <c r="O294" t="s">
        <v>82</v>
      </c>
      <c r="P294" t="s">
        <v>83</v>
      </c>
      <c r="Q294" t="s">
        <v>503</v>
      </c>
      <c r="R294">
        <v>24</v>
      </c>
      <c r="S294" t="s">
        <v>85</v>
      </c>
      <c r="T294" t="s">
        <v>179</v>
      </c>
      <c r="U294">
        <v>1111111</v>
      </c>
      <c r="V294" t="s">
        <v>122</v>
      </c>
      <c r="W294" t="s">
        <v>550</v>
      </c>
      <c r="X294" t="s">
        <v>551</v>
      </c>
      <c r="Y294" t="s">
        <v>89</v>
      </c>
      <c r="Z294" t="s">
        <v>90</v>
      </c>
      <c r="AA294" t="s">
        <v>506</v>
      </c>
      <c r="AB294">
        <v>2</v>
      </c>
      <c r="AC294">
        <v>6</v>
      </c>
      <c r="AD294" t="b">
        <v>1</v>
      </c>
      <c r="AE294">
        <v>2024</v>
      </c>
      <c r="AF294" s="3">
        <v>367</v>
      </c>
      <c r="AG294" s="3">
        <v>45438</v>
      </c>
      <c r="AH294" s="3">
        <v>46537</v>
      </c>
      <c r="AJ294" s="4">
        <f>VLOOKUP(A294,'[1]1'!B:Q,16,0)</f>
        <v>1440</v>
      </c>
      <c r="AK294" s="7">
        <f t="shared" si="12"/>
        <v>5.76</v>
      </c>
      <c r="AL294" s="3">
        <v>367</v>
      </c>
      <c r="AM294" s="3">
        <v>367</v>
      </c>
      <c r="AN294">
        <v>-8.5444922999999999</v>
      </c>
      <c r="AO294">
        <v>115.40258300000001</v>
      </c>
      <c r="AP294" t="s">
        <v>1567</v>
      </c>
      <c r="AT294">
        <v>99.2</v>
      </c>
      <c r="AW294">
        <v>0</v>
      </c>
      <c r="AX294">
        <v>0</v>
      </c>
      <c r="BA294">
        <v>0</v>
      </c>
      <c r="BB294">
        <v>0</v>
      </c>
      <c r="BE294">
        <v>0</v>
      </c>
      <c r="BF294">
        <v>0</v>
      </c>
      <c r="BJ294">
        <v>0</v>
      </c>
      <c r="BL294">
        <v>0</v>
      </c>
      <c r="BN294">
        <v>0</v>
      </c>
      <c r="BO294" s="6">
        <v>0</v>
      </c>
      <c r="BP294">
        <v>0</v>
      </c>
      <c r="BQ294">
        <v>0</v>
      </c>
      <c r="BR294">
        <v>0</v>
      </c>
    </row>
    <row r="295" spans="1:70" ht="15" customHeight="1" x14ac:dyDescent="0.35">
      <c r="A295" s="1" t="str">
        <f t="shared" si="10"/>
        <v>Z836</v>
      </c>
      <c r="B295" t="s">
        <v>1568</v>
      </c>
      <c r="C295" t="s">
        <v>1569</v>
      </c>
      <c r="D295" t="s">
        <v>1570</v>
      </c>
      <c r="E295" t="s">
        <v>1566</v>
      </c>
      <c r="F295" t="s">
        <v>1354</v>
      </c>
      <c r="G295" t="s">
        <v>502</v>
      </c>
      <c r="H295" t="s">
        <v>502</v>
      </c>
      <c r="I295" t="s">
        <v>148</v>
      </c>
      <c r="J295" t="b">
        <v>0</v>
      </c>
      <c r="K295" t="s">
        <v>154</v>
      </c>
      <c r="L295" t="s">
        <v>214</v>
      </c>
      <c r="N295" t="s">
        <v>81</v>
      </c>
      <c r="O295" t="s">
        <v>82</v>
      </c>
      <c r="P295" t="s">
        <v>83</v>
      </c>
      <c r="Q295" t="s">
        <v>503</v>
      </c>
      <c r="R295">
        <v>24</v>
      </c>
      <c r="S295" t="s">
        <v>85</v>
      </c>
      <c r="T295" t="s">
        <v>179</v>
      </c>
      <c r="U295">
        <v>1111111</v>
      </c>
      <c r="V295" t="s">
        <v>122</v>
      </c>
      <c r="W295" t="s">
        <v>550</v>
      </c>
      <c r="X295" t="s">
        <v>551</v>
      </c>
      <c r="Y295" t="s">
        <v>89</v>
      </c>
      <c r="Z295" t="s">
        <v>90</v>
      </c>
      <c r="AA295" t="s">
        <v>506</v>
      </c>
      <c r="AB295">
        <v>2</v>
      </c>
      <c r="AC295">
        <v>6</v>
      </c>
      <c r="AD295" t="b">
        <v>1</v>
      </c>
      <c r="AE295">
        <v>2024</v>
      </c>
      <c r="AF295" s="3">
        <v>367</v>
      </c>
      <c r="AG295" s="3">
        <v>45438</v>
      </c>
      <c r="AH295" s="3">
        <v>46537</v>
      </c>
      <c r="AJ295" s="4"/>
      <c r="AK295" s="4"/>
      <c r="AL295" s="3">
        <v>367</v>
      </c>
      <c r="AM295" s="3">
        <v>367</v>
      </c>
      <c r="AN295">
        <v>-8.5445241000000003</v>
      </c>
      <c r="AO295">
        <v>115.4025098</v>
      </c>
      <c r="AP295" t="s">
        <v>1571</v>
      </c>
      <c r="AT295">
        <v>99.2</v>
      </c>
      <c r="AW295">
        <v>0</v>
      </c>
      <c r="AX295">
        <v>0</v>
      </c>
      <c r="BA295">
        <v>0</v>
      </c>
      <c r="BB295">
        <v>0</v>
      </c>
      <c r="BE295">
        <v>0</v>
      </c>
      <c r="BF295">
        <v>0</v>
      </c>
      <c r="BJ295">
        <v>0</v>
      </c>
      <c r="BL295">
        <v>0</v>
      </c>
      <c r="BN295">
        <v>0</v>
      </c>
      <c r="BO295" s="6">
        <v>0</v>
      </c>
      <c r="BP295">
        <v>0</v>
      </c>
      <c r="BQ295">
        <v>0</v>
      </c>
      <c r="BR295">
        <v>0</v>
      </c>
    </row>
    <row r="296" spans="1:70" ht="15" customHeight="1" x14ac:dyDescent="0.35">
      <c r="A296" s="1" t="str">
        <f t="shared" si="10"/>
        <v>Z844</v>
      </c>
      <c r="B296" t="s">
        <v>1572</v>
      </c>
      <c r="C296" t="s">
        <v>1573</v>
      </c>
      <c r="D296" t="s">
        <v>1574</v>
      </c>
      <c r="E296" t="s">
        <v>1575</v>
      </c>
      <c r="F296" t="s">
        <v>537</v>
      </c>
      <c r="G296" t="s">
        <v>502</v>
      </c>
      <c r="H296" t="s">
        <v>502</v>
      </c>
      <c r="I296" t="s">
        <v>148</v>
      </c>
      <c r="J296" t="b">
        <v>0</v>
      </c>
      <c r="K296" t="s">
        <v>154</v>
      </c>
      <c r="L296" t="s">
        <v>214</v>
      </c>
      <c r="N296" t="s">
        <v>81</v>
      </c>
      <c r="O296" t="s">
        <v>82</v>
      </c>
      <c r="P296" t="s">
        <v>83</v>
      </c>
      <c r="Q296" t="s">
        <v>503</v>
      </c>
      <c r="R296">
        <v>24</v>
      </c>
      <c r="S296" t="s">
        <v>85</v>
      </c>
      <c r="T296" t="s">
        <v>179</v>
      </c>
      <c r="U296">
        <v>1111111</v>
      </c>
      <c r="V296" t="s">
        <v>122</v>
      </c>
      <c r="W296" t="s">
        <v>550</v>
      </c>
      <c r="X296" t="s">
        <v>551</v>
      </c>
      <c r="Y296" t="s">
        <v>89</v>
      </c>
      <c r="Z296" t="s">
        <v>90</v>
      </c>
      <c r="AA296" t="s">
        <v>506</v>
      </c>
      <c r="AB296">
        <v>2</v>
      </c>
      <c r="AC296">
        <v>6</v>
      </c>
      <c r="AD296" t="b">
        <v>1</v>
      </c>
      <c r="AE296">
        <v>2024</v>
      </c>
      <c r="AF296" s="3">
        <v>367</v>
      </c>
      <c r="AG296" s="3">
        <v>45438</v>
      </c>
      <c r="AH296" s="3">
        <v>46537</v>
      </c>
      <c r="AJ296" s="4"/>
      <c r="AK296" s="4"/>
      <c r="AL296" s="3">
        <v>367</v>
      </c>
      <c r="AM296" s="3">
        <v>367</v>
      </c>
      <c r="AN296">
        <v>-8.5414998999999998</v>
      </c>
      <c r="AO296">
        <v>115.3190745</v>
      </c>
      <c r="AP296" t="s">
        <v>1576</v>
      </c>
      <c r="AT296">
        <v>99.2</v>
      </c>
      <c r="AW296">
        <v>0</v>
      </c>
      <c r="AX296">
        <v>0</v>
      </c>
      <c r="BA296">
        <v>0</v>
      </c>
      <c r="BB296">
        <v>0</v>
      </c>
      <c r="BE296">
        <v>0</v>
      </c>
      <c r="BF296">
        <v>0</v>
      </c>
      <c r="BJ296">
        <v>0</v>
      </c>
      <c r="BL296">
        <v>0</v>
      </c>
      <c r="BN296">
        <v>0</v>
      </c>
      <c r="BO296" s="6">
        <v>0</v>
      </c>
      <c r="BP296">
        <v>0</v>
      </c>
      <c r="BQ296">
        <v>0</v>
      </c>
      <c r="BR296">
        <v>0</v>
      </c>
    </row>
    <row r="297" spans="1:70" ht="15" customHeight="1" x14ac:dyDescent="0.35">
      <c r="A297" s="1" t="str">
        <f t="shared" si="10"/>
        <v>Z4XL</v>
      </c>
      <c r="B297" t="s">
        <v>1577</v>
      </c>
      <c r="C297" t="s">
        <v>1578</v>
      </c>
      <c r="D297" t="s">
        <v>1579</v>
      </c>
      <c r="E297" t="s">
        <v>1575</v>
      </c>
      <c r="F297" t="s">
        <v>537</v>
      </c>
      <c r="G297" t="s">
        <v>502</v>
      </c>
      <c r="H297" t="s">
        <v>502</v>
      </c>
      <c r="I297" t="s">
        <v>148</v>
      </c>
      <c r="J297" t="b">
        <v>0</v>
      </c>
      <c r="K297" t="s">
        <v>154</v>
      </c>
      <c r="L297" t="s">
        <v>214</v>
      </c>
      <c r="N297" t="s">
        <v>81</v>
      </c>
      <c r="O297" t="s">
        <v>82</v>
      </c>
      <c r="P297" t="s">
        <v>83</v>
      </c>
      <c r="Q297" t="s">
        <v>503</v>
      </c>
      <c r="R297">
        <v>24</v>
      </c>
      <c r="S297" t="s">
        <v>85</v>
      </c>
      <c r="T297" t="s">
        <v>179</v>
      </c>
      <c r="U297">
        <v>1111111</v>
      </c>
      <c r="V297" t="s">
        <v>122</v>
      </c>
      <c r="W297" t="s">
        <v>550</v>
      </c>
      <c r="X297" t="s">
        <v>551</v>
      </c>
      <c r="Y297" t="s">
        <v>89</v>
      </c>
      <c r="Z297" t="s">
        <v>90</v>
      </c>
      <c r="AA297" t="s">
        <v>506</v>
      </c>
      <c r="AB297">
        <v>2</v>
      </c>
      <c r="AC297">
        <v>6</v>
      </c>
      <c r="AD297" t="b">
        <v>1</v>
      </c>
      <c r="AE297">
        <v>2024</v>
      </c>
      <c r="AF297" s="3">
        <v>367</v>
      </c>
      <c r="AG297" s="3">
        <v>45438</v>
      </c>
      <c r="AH297" s="3">
        <v>46537</v>
      </c>
      <c r="AJ297" s="4"/>
      <c r="AK297" s="4"/>
      <c r="AL297" s="3">
        <v>367</v>
      </c>
      <c r="AM297" s="3">
        <v>367</v>
      </c>
      <c r="AN297">
        <v>-8.5408816000000005</v>
      </c>
      <c r="AO297">
        <v>115.31895950000001</v>
      </c>
      <c r="AP297" t="s">
        <v>1580</v>
      </c>
      <c r="AT297">
        <v>99.2</v>
      </c>
      <c r="AW297">
        <v>0</v>
      </c>
      <c r="AX297">
        <v>0</v>
      </c>
      <c r="BA297">
        <v>0</v>
      </c>
      <c r="BB297">
        <v>0</v>
      </c>
      <c r="BE297">
        <v>0</v>
      </c>
      <c r="BF297">
        <v>0</v>
      </c>
      <c r="BJ297">
        <v>0</v>
      </c>
      <c r="BL297">
        <v>0</v>
      </c>
      <c r="BN297">
        <v>0</v>
      </c>
      <c r="BO297" s="6">
        <v>0</v>
      </c>
      <c r="BP297">
        <v>0</v>
      </c>
      <c r="BQ297">
        <v>0</v>
      </c>
      <c r="BR297">
        <v>0</v>
      </c>
    </row>
    <row r="298" spans="1:70" ht="15" customHeight="1" x14ac:dyDescent="0.35">
      <c r="A298" s="1" t="str">
        <f t="shared" si="10"/>
        <v>Z843</v>
      </c>
      <c r="B298" t="s">
        <v>1581</v>
      </c>
      <c r="C298" t="s">
        <v>1582</v>
      </c>
      <c r="D298" t="s">
        <v>1583</v>
      </c>
      <c r="E298" t="s">
        <v>1575</v>
      </c>
      <c r="F298" t="s">
        <v>537</v>
      </c>
      <c r="G298" t="s">
        <v>502</v>
      </c>
      <c r="H298" t="s">
        <v>502</v>
      </c>
      <c r="I298" t="s">
        <v>148</v>
      </c>
      <c r="J298" t="b">
        <v>0</v>
      </c>
      <c r="K298" t="s">
        <v>154</v>
      </c>
      <c r="L298" t="s">
        <v>214</v>
      </c>
      <c r="N298" t="s">
        <v>81</v>
      </c>
      <c r="O298" t="s">
        <v>82</v>
      </c>
      <c r="P298" t="s">
        <v>83</v>
      </c>
      <c r="Q298" t="s">
        <v>503</v>
      </c>
      <c r="R298">
        <v>24</v>
      </c>
      <c r="S298" t="s">
        <v>85</v>
      </c>
      <c r="T298" t="s">
        <v>179</v>
      </c>
      <c r="U298">
        <v>1111111</v>
      </c>
      <c r="V298" t="s">
        <v>122</v>
      </c>
      <c r="W298" t="s">
        <v>550</v>
      </c>
      <c r="X298" t="s">
        <v>551</v>
      </c>
      <c r="Y298" t="s">
        <v>89</v>
      </c>
      <c r="Z298" t="s">
        <v>90</v>
      </c>
      <c r="AA298" t="s">
        <v>506</v>
      </c>
      <c r="AB298">
        <v>2</v>
      </c>
      <c r="AC298">
        <v>6</v>
      </c>
      <c r="AD298" t="b">
        <v>1</v>
      </c>
      <c r="AE298">
        <v>2024</v>
      </c>
      <c r="AF298" s="3">
        <v>367</v>
      </c>
      <c r="AG298" s="3">
        <v>45438</v>
      </c>
      <c r="AH298" s="3">
        <v>46537</v>
      </c>
      <c r="AJ298" s="4"/>
      <c r="AK298" s="4"/>
      <c r="AL298" s="3">
        <v>367</v>
      </c>
      <c r="AM298" s="3">
        <v>367</v>
      </c>
      <c r="AN298">
        <v>-8.5409430999999998</v>
      </c>
      <c r="AO298">
        <v>115.31898150000001</v>
      </c>
      <c r="AP298" t="s">
        <v>1584</v>
      </c>
      <c r="AT298">
        <v>99.2</v>
      </c>
      <c r="AW298">
        <v>0</v>
      </c>
      <c r="AX298">
        <v>0</v>
      </c>
      <c r="BA298">
        <v>0</v>
      </c>
      <c r="BB298">
        <v>0</v>
      </c>
      <c r="BE298">
        <v>0</v>
      </c>
      <c r="BF298">
        <v>0</v>
      </c>
      <c r="BJ298">
        <v>0</v>
      </c>
      <c r="BL298">
        <v>0</v>
      </c>
      <c r="BN298">
        <v>0</v>
      </c>
      <c r="BO298" s="6">
        <v>0</v>
      </c>
      <c r="BP298">
        <v>0</v>
      </c>
      <c r="BQ298">
        <v>0</v>
      </c>
      <c r="BR298">
        <v>0</v>
      </c>
    </row>
    <row r="299" spans="1:70" ht="15" customHeight="1" x14ac:dyDescent="0.35">
      <c r="A299" s="1" t="str">
        <f t="shared" si="10"/>
        <v>Z5R7</v>
      </c>
      <c r="B299" t="s">
        <v>1585</v>
      </c>
      <c r="C299" t="s">
        <v>1586</v>
      </c>
      <c r="D299" t="s">
        <v>1587</v>
      </c>
      <c r="E299" t="s">
        <v>1588</v>
      </c>
      <c r="F299" t="s">
        <v>516</v>
      </c>
      <c r="G299" t="s">
        <v>502</v>
      </c>
      <c r="H299" t="s">
        <v>502</v>
      </c>
      <c r="I299" t="s">
        <v>148</v>
      </c>
      <c r="J299" t="b">
        <v>0</v>
      </c>
      <c r="K299" t="s">
        <v>154</v>
      </c>
      <c r="L299" t="s">
        <v>214</v>
      </c>
      <c r="N299" t="s">
        <v>81</v>
      </c>
      <c r="O299" t="s">
        <v>82</v>
      </c>
      <c r="P299" t="s">
        <v>83</v>
      </c>
      <c r="Q299" t="s">
        <v>503</v>
      </c>
      <c r="R299">
        <v>24</v>
      </c>
      <c r="S299" t="s">
        <v>85</v>
      </c>
      <c r="T299" t="s">
        <v>179</v>
      </c>
      <c r="U299">
        <v>1111111</v>
      </c>
      <c r="V299" t="s">
        <v>122</v>
      </c>
      <c r="W299" t="s">
        <v>504</v>
      </c>
      <c r="X299" t="s">
        <v>505</v>
      </c>
      <c r="Y299" t="s">
        <v>89</v>
      </c>
      <c r="Z299" t="s">
        <v>90</v>
      </c>
      <c r="AA299" t="s">
        <v>506</v>
      </c>
      <c r="AB299">
        <v>1</v>
      </c>
      <c r="AC299">
        <v>6</v>
      </c>
      <c r="AD299" t="b">
        <v>1</v>
      </c>
      <c r="AE299">
        <v>2024</v>
      </c>
      <c r="AF299" s="3">
        <v>367</v>
      </c>
      <c r="AG299" s="3">
        <v>45437</v>
      </c>
      <c r="AH299" s="3">
        <v>46537</v>
      </c>
      <c r="AJ299" s="4"/>
      <c r="AK299" s="4"/>
      <c r="AL299" s="3">
        <v>367</v>
      </c>
      <c r="AM299" s="3">
        <v>367</v>
      </c>
      <c r="AN299">
        <v>-8.8107986</v>
      </c>
      <c r="AO299">
        <v>115.15764609999999</v>
      </c>
      <c r="AP299" t="s">
        <v>1589</v>
      </c>
      <c r="AT299">
        <v>99.2</v>
      </c>
      <c r="AW299">
        <v>0</v>
      </c>
      <c r="AX299">
        <v>0</v>
      </c>
      <c r="BA299">
        <v>0</v>
      </c>
      <c r="BB299">
        <v>0</v>
      </c>
      <c r="BE299">
        <v>0</v>
      </c>
      <c r="BF299">
        <v>0</v>
      </c>
      <c r="BJ299">
        <v>0</v>
      </c>
      <c r="BL299">
        <v>0</v>
      </c>
      <c r="BN299">
        <v>0</v>
      </c>
      <c r="BO299" s="6">
        <v>0</v>
      </c>
      <c r="BP299">
        <v>0</v>
      </c>
      <c r="BQ299">
        <v>0</v>
      </c>
      <c r="BR299">
        <v>0</v>
      </c>
    </row>
    <row r="300" spans="1:70" ht="15" customHeight="1" x14ac:dyDescent="0.35">
      <c r="A300" s="1" t="str">
        <f t="shared" si="10"/>
        <v>Z5R6</v>
      </c>
      <c r="B300" t="s">
        <v>1590</v>
      </c>
      <c r="C300" t="s">
        <v>1591</v>
      </c>
      <c r="D300" t="s">
        <v>1592</v>
      </c>
      <c r="E300" t="s">
        <v>1593</v>
      </c>
      <c r="F300" t="s">
        <v>516</v>
      </c>
      <c r="G300" t="s">
        <v>502</v>
      </c>
      <c r="H300" t="s">
        <v>502</v>
      </c>
      <c r="I300" t="s">
        <v>148</v>
      </c>
      <c r="J300" t="b">
        <v>0</v>
      </c>
      <c r="K300" t="s">
        <v>154</v>
      </c>
      <c r="L300" t="s">
        <v>214</v>
      </c>
      <c r="N300" t="s">
        <v>81</v>
      </c>
      <c r="O300" t="s">
        <v>82</v>
      </c>
      <c r="P300" t="s">
        <v>83</v>
      </c>
      <c r="Q300" t="s">
        <v>503</v>
      </c>
      <c r="R300">
        <v>24</v>
      </c>
      <c r="S300" t="s">
        <v>85</v>
      </c>
      <c r="T300" t="s">
        <v>179</v>
      </c>
      <c r="U300">
        <v>1111111</v>
      </c>
      <c r="V300" t="s">
        <v>122</v>
      </c>
      <c r="W300" t="s">
        <v>504</v>
      </c>
      <c r="X300" t="s">
        <v>505</v>
      </c>
      <c r="Y300" t="s">
        <v>89</v>
      </c>
      <c r="Z300" t="s">
        <v>90</v>
      </c>
      <c r="AA300" t="s">
        <v>506</v>
      </c>
      <c r="AB300">
        <v>1</v>
      </c>
      <c r="AC300">
        <v>6</v>
      </c>
      <c r="AD300" t="b">
        <v>1</v>
      </c>
      <c r="AE300">
        <v>2024</v>
      </c>
      <c r="AF300" s="3">
        <v>367</v>
      </c>
      <c r="AG300" s="3">
        <v>45437</v>
      </c>
      <c r="AH300" s="3">
        <v>46537</v>
      </c>
      <c r="AJ300" s="4"/>
      <c r="AK300" s="4"/>
      <c r="AL300" s="3">
        <v>367</v>
      </c>
      <c r="AM300" s="3">
        <v>367</v>
      </c>
      <c r="AN300">
        <v>-8.8107679000000001</v>
      </c>
      <c r="AO300">
        <v>115.1576309</v>
      </c>
      <c r="AP300" t="s">
        <v>1589</v>
      </c>
      <c r="AT300">
        <v>99.2</v>
      </c>
      <c r="AW300">
        <v>0</v>
      </c>
      <c r="AX300">
        <v>0</v>
      </c>
      <c r="BA300">
        <v>0</v>
      </c>
      <c r="BB300">
        <v>0</v>
      </c>
      <c r="BE300">
        <v>0</v>
      </c>
      <c r="BF300">
        <v>0</v>
      </c>
      <c r="BJ300">
        <v>0</v>
      </c>
      <c r="BL300">
        <v>0</v>
      </c>
      <c r="BN300">
        <v>0</v>
      </c>
      <c r="BO300" s="6">
        <v>0</v>
      </c>
      <c r="BP300">
        <v>0</v>
      </c>
      <c r="BQ300">
        <v>0</v>
      </c>
      <c r="BR300">
        <v>0</v>
      </c>
    </row>
    <row r="301" spans="1:70" ht="15" customHeight="1" x14ac:dyDescent="0.35">
      <c r="A301" s="1" t="str">
        <f t="shared" si="10"/>
        <v>Z5R5</v>
      </c>
      <c r="B301" t="s">
        <v>1594</v>
      </c>
      <c r="C301" t="s">
        <v>1591</v>
      </c>
      <c r="D301" t="s">
        <v>1595</v>
      </c>
      <c r="E301" t="s">
        <v>1596</v>
      </c>
      <c r="F301" t="s">
        <v>516</v>
      </c>
      <c r="G301" t="s">
        <v>502</v>
      </c>
      <c r="H301" t="s">
        <v>502</v>
      </c>
      <c r="I301" t="s">
        <v>148</v>
      </c>
      <c r="J301" t="b">
        <v>0</v>
      </c>
      <c r="K301" t="s">
        <v>154</v>
      </c>
      <c r="L301" t="s">
        <v>214</v>
      </c>
      <c r="N301" t="s">
        <v>81</v>
      </c>
      <c r="O301" t="s">
        <v>82</v>
      </c>
      <c r="P301" t="s">
        <v>83</v>
      </c>
      <c r="Q301" t="s">
        <v>503</v>
      </c>
      <c r="R301">
        <v>24</v>
      </c>
      <c r="S301" t="s">
        <v>85</v>
      </c>
      <c r="T301" t="s">
        <v>179</v>
      </c>
      <c r="U301">
        <v>1111111</v>
      </c>
      <c r="V301" t="s">
        <v>122</v>
      </c>
      <c r="W301" t="s">
        <v>504</v>
      </c>
      <c r="X301" t="s">
        <v>505</v>
      </c>
      <c r="Y301" t="s">
        <v>89</v>
      </c>
      <c r="Z301" t="s">
        <v>90</v>
      </c>
      <c r="AA301" t="s">
        <v>506</v>
      </c>
      <c r="AB301">
        <v>1</v>
      </c>
      <c r="AC301">
        <v>6</v>
      </c>
      <c r="AD301" t="b">
        <v>1</v>
      </c>
      <c r="AE301">
        <v>2024</v>
      </c>
      <c r="AF301" s="3">
        <v>367</v>
      </c>
      <c r="AG301" s="3">
        <v>45437</v>
      </c>
      <c r="AH301" s="3">
        <v>46537</v>
      </c>
      <c r="AJ301" s="4"/>
      <c r="AK301" s="4"/>
      <c r="AL301" s="3">
        <v>367</v>
      </c>
      <c r="AM301" s="3">
        <v>367</v>
      </c>
      <c r="AN301">
        <v>-8.8107822000000002</v>
      </c>
      <c r="AO301">
        <v>115.1576323</v>
      </c>
      <c r="AP301" t="s">
        <v>1589</v>
      </c>
      <c r="AT301">
        <v>99.2</v>
      </c>
      <c r="AW301">
        <v>0</v>
      </c>
      <c r="AX301">
        <v>0</v>
      </c>
      <c r="BA301">
        <v>0</v>
      </c>
      <c r="BB301">
        <v>0</v>
      </c>
      <c r="BE301">
        <v>0</v>
      </c>
      <c r="BF301">
        <v>0</v>
      </c>
      <c r="BJ301">
        <v>0</v>
      </c>
      <c r="BL301">
        <v>0</v>
      </c>
      <c r="BN301">
        <v>0</v>
      </c>
      <c r="BO301" s="6">
        <v>0</v>
      </c>
      <c r="BP301">
        <v>0</v>
      </c>
      <c r="BQ301">
        <v>0</v>
      </c>
      <c r="BR301">
        <v>0</v>
      </c>
    </row>
    <row r="302" spans="1:70" ht="15" customHeight="1" x14ac:dyDescent="0.35">
      <c r="A302" s="1" t="str">
        <f t="shared" si="10"/>
        <v>Z14W</v>
      </c>
      <c r="B302" t="s">
        <v>1597</v>
      </c>
      <c r="C302" t="s">
        <v>1598</v>
      </c>
      <c r="D302" t="s">
        <v>1599</v>
      </c>
      <c r="E302" t="s">
        <v>1600</v>
      </c>
      <c r="F302" t="s">
        <v>516</v>
      </c>
      <c r="G302" t="s">
        <v>502</v>
      </c>
      <c r="H302" t="s">
        <v>502</v>
      </c>
      <c r="I302" t="s">
        <v>148</v>
      </c>
      <c r="J302" t="b">
        <v>0</v>
      </c>
      <c r="K302" t="s">
        <v>154</v>
      </c>
      <c r="L302" t="s">
        <v>214</v>
      </c>
      <c r="N302" t="s">
        <v>81</v>
      </c>
      <c r="O302" t="s">
        <v>82</v>
      </c>
      <c r="P302" t="s">
        <v>83</v>
      </c>
      <c r="Q302" t="s">
        <v>503</v>
      </c>
      <c r="R302">
        <v>24</v>
      </c>
      <c r="S302" t="s">
        <v>85</v>
      </c>
      <c r="T302" t="s">
        <v>179</v>
      </c>
      <c r="U302">
        <v>1111111</v>
      </c>
      <c r="V302" t="s">
        <v>122</v>
      </c>
      <c r="W302" t="s">
        <v>504</v>
      </c>
      <c r="X302" t="s">
        <v>505</v>
      </c>
      <c r="Y302" t="s">
        <v>89</v>
      </c>
      <c r="Z302" t="s">
        <v>90</v>
      </c>
      <c r="AA302" t="s">
        <v>506</v>
      </c>
      <c r="AB302">
        <v>1</v>
      </c>
      <c r="AC302">
        <v>6</v>
      </c>
      <c r="AD302" t="b">
        <v>1</v>
      </c>
      <c r="AE302">
        <v>2024</v>
      </c>
      <c r="AF302" s="3">
        <v>367</v>
      </c>
      <c r="AG302" s="3">
        <v>45437</v>
      </c>
      <c r="AH302" s="3">
        <v>46537</v>
      </c>
      <c r="AJ302" s="4"/>
      <c r="AK302" s="4"/>
      <c r="AL302" s="3">
        <v>367</v>
      </c>
      <c r="AM302" s="3">
        <v>367</v>
      </c>
      <c r="AN302">
        <v>-8.7889275999999992</v>
      </c>
      <c r="AO302">
        <v>115.2097936</v>
      </c>
      <c r="AP302" t="s">
        <v>1601</v>
      </c>
      <c r="AT302">
        <v>99.2</v>
      </c>
      <c r="AW302">
        <v>0</v>
      </c>
      <c r="AX302">
        <v>0</v>
      </c>
      <c r="BA302">
        <v>0</v>
      </c>
      <c r="BB302">
        <v>0</v>
      </c>
      <c r="BE302">
        <v>0</v>
      </c>
      <c r="BF302">
        <v>0</v>
      </c>
      <c r="BJ302">
        <v>0</v>
      </c>
      <c r="BL302">
        <v>0</v>
      </c>
      <c r="BN302">
        <v>0</v>
      </c>
      <c r="BO302" s="6">
        <v>0</v>
      </c>
      <c r="BP302">
        <v>0</v>
      </c>
      <c r="BQ302">
        <v>0</v>
      </c>
      <c r="BR302">
        <v>0</v>
      </c>
    </row>
    <row r="303" spans="1:70" ht="15" customHeight="1" x14ac:dyDescent="0.35">
      <c r="A303" s="1" t="str">
        <f t="shared" si="10"/>
        <v>Z14T</v>
      </c>
      <c r="B303" t="s">
        <v>1602</v>
      </c>
      <c r="C303" t="s">
        <v>1603</v>
      </c>
      <c r="D303" t="s">
        <v>1604</v>
      </c>
      <c r="E303" t="s">
        <v>1600</v>
      </c>
      <c r="F303" t="s">
        <v>516</v>
      </c>
      <c r="G303" t="s">
        <v>502</v>
      </c>
      <c r="H303" t="s">
        <v>502</v>
      </c>
      <c r="I303" t="s">
        <v>148</v>
      </c>
      <c r="J303" t="b">
        <v>0</v>
      </c>
      <c r="K303" t="s">
        <v>154</v>
      </c>
      <c r="L303" t="s">
        <v>214</v>
      </c>
      <c r="N303" t="s">
        <v>81</v>
      </c>
      <c r="O303" t="s">
        <v>82</v>
      </c>
      <c r="P303" t="s">
        <v>83</v>
      </c>
      <c r="Q303" t="s">
        <v>503</v>
      </c>
      <c r="R303">
        <v>24</v>
      </c>
      <c r="S303" t="s">
        <v>85</v>
      </c>
      <c r="T303" t="s">
        <v>179</v>
      </c>
      <c r="U303">
        <v>1111111</v>
      </c>
      <c r="V303" t="s">
        <v>122</v>
      </c>
      <c r="W303" t="s">
        <v>504</v>
      </c>
      <c r="X303" t="s">
        <v>505</v>
      </c>
      <c r="Y303" t="s">
        <v>89</v>
      </c>
      <c r="Z303" t="s">
        <v>90</v>
      </c>
      <c r="AA303" t="s">
        <v>506</v>
      </c>
      <c r="AB303">
        <v>1</v>
      </c>
      <c r="AC303">
        <v>6</v>
      </c>
      <c r="AD303" t="b">
        <v>1</v>
      </c>
      <c r="AE303">
        <v>2024</v>
      </c>
      <c r="AF303" s="3">
        <v>367</v>
      </c>
      <c r="AG303" s="3">
        <v>45437</v>
      </c>
      <c r="AH303" s="3">
        <v>46537</v>
      </c>
      <c r="AJ303" s="4"/>
      <c r="AK303" s="4"/>
      <c r="AL303" s="3">
        <v>367</v>
      </c>
      <c r="AM303" s="3">
        <v>367</v>
      </c>
      <c r="AN303">
        <v>-8.7889139000000007</v>
      </c>
      <c r="AO303">
        <v>115.2098948</v>
      </c>
      <c r="AP303" t="s">
        <v>1601</v>
      </c>
      <c r="AT303">
        <v>99.2</v>
      </c>
      <c r="AW303">
        <v>0</v>
      </c>
      <c r="AX303">
        <v>0</v>
      </c>
      <c r="BA303">
        <v>0</v>
      </c>
      <c r="BB303">
        <v>0</v>
      </c>
      <c r="BE303">
        <v>0</v>
      </c>
      <c r="BF303">
        <v>0</v>
      </c>
      <c r="BJ303">
        <v>0</v>
      </c>
      <c r="BL303">
        <v>0</v>
      </c>
      <c r="BN303">
        <v>0</v>
      </c>
      <c r="BO303" s="6">
        <v>0</v>
      </c>
      <c r="BP303">
        <v>0</v>
      </c>
      <c r="BQ303">
        <v>0</v>
      </c>
      <c r="BR303">
        <v>0</v>
      </c>
    </row>
    <row r="304" spans="1:70" ht="15" customHeight="1" x14ac:dyDescent="0.35">
      <c r="A304" s="1" t="str">
        <f t="shared" si="10"/>
        <v>Z849</v>
      </c>
      <c r="B304" t="s">
        <v>1605</v>
      </c>
      <c r="C304" t="s">
        <v>1606</v>
      </c>
      <c r="D304" t="s">
        <v>1607</v>
      </c>
      <c r="E304" t="s">
        <v>1608</v>
      </c>
      <c r="F304" t="s">
        <v>501</v>
      </c>
      <c r="G304" t="s">
        <v>502</v>
      </c>
      <c r="H304" t="s">
        <v>502</v>
      </c>
      <c r="I304" t="s">
        <v>148</v>
      </c>
      <c r="J304" t="b">
        <v>0</v>
      </c>
      <c r="K304" t="s">
        <v>154</v>
      </c>
      <c r="L304" t="s">
        <v>214</v>
      </c>
      <c r="N304" t="s">
        <v>81</v>
      </c>
      <c r="O304" t="s">
        <v>82</v>
      </c>
      <c r="P304" t="s">
        <v>83</v>
      </c>
      <c r="Q304" t="s">
        <v>503</v>
      </c>
      <c r="R304">
        <v>24</v>
      </c>
      <c r="S304" t="s">
        <v>85</v>
      </c>
      <c r="T304" t="s">
        <v>179</v>
      </c>
      <c r="U304">
        <v>1111111</v>
      </c>
      <c r="V304" t="s">
        <v>122</v>
      </c>
      <c r="W304" t="s">
        <v>529</v>
      </c>
      <c r="X304" t="s">
        <v>530</v>
      </c>
      <c r="Y304" t="s">
        <v>89</v>
      </c>
      <c r="Z304" t="s">
        <v>90</v>
      </c>
      <c r="AA304" t="s">
        <v>506</v>
      </c>
      <c r="AB304">
        <v>1</v>
      </c>
      <c r="AC304">
        <v>6</v>
      </c>
      <c r="AD304" t="b">
        <v>1</v>
      </c>
      <c r="AE304">
        <v>2024</v>
      </c>
      <c r="AF304" s="3">
        <v>367</v>
      </c>
      <c r="AG304" s="3">
        <v>45436</v>
      </c>
      <c r="AH304" s="3">
        <v>46537</v>
      </c>
      <c r="AJ304" s="4"/>
      <c r="AK304" s="4"/>
      <c r="AL304" s="3">
        <v>367</v>
      </c>
      <c r="AM304" s="3">
        <v>367</v>
      </c>
      <c r="AN304">
        <v>-8.7107332999999993</v>
      </c>
      <c r="AO304">
        <v>115.221715</v>
      </c>
      <c r="AP304" t="s">
        <v>1609</v>
      </c>
      <c r="AT304">
        <v>99.2</v>
      </c>
      <c r="AW304">
        <v>0</v>
      </c>
      <c r="AX304">
        <v>0</v>
      </c>
      <c r="BA304">
        <v>0</v>
      </c>
      <c r="BB304">
        <v>0</v>
      </c>
      <c r="BE304">
        <v>0</v>
      </c>
      <c r="BF304">
        <v>0</v>
      </c>
      <c r="BJ304">
        <v>0</v>
      </c>
      <c r="BL304">
        <v>0</v>
      </c>
      <c r="BN304">
        <v>0</v>
      </c>
      <c r="BO304" s="6">
        <v>0</v>
      </c>
      <c r="BP304">
        <v>0</v>
      </c>
      <c r="BQ304">
        <v>0</v>
      </c>
      <c r="BR304">
        <v>0</v>
      </c>
    </row>
    <row r="305" spans="1:70" ht="15" customHeight="1" x14ac:dyDescent="0.35">
      <c r="A305" s="1" t="str">
        <f t="shared" si="10"/>
        <v>Z848</v>
      </c>
      <c r="B305" t="s">
        <v>1610</v>
      </c>
      <c r="C305" t="s">
        <v>1611</v>
      </c>
      <c r="D305" t="s">
        <v>1612</v>
      </c>
      <c r="E305" t="s">
        <v>1608</v>
      </c>
      <c r="F305" t="s">
        <v>501</v>
      </c>
      <c r="G305" t="s">
        <v>502</v>
      </c>
      <c r="H305" t="s">
        <v>502</v>
      </c>
      <c r="I305" t="s">
        <v>148</v>
      </c>
      <c r="J305" t="b">
        <v>0</v>
      </c>
      <c r="K305" t="s">
        <v>154</v>
      </c>
      <c r="L305" t="s">
        <v>214</v>
      </c>
      <c r="N305" t="s">
        <v>81</v>
      </c>
      <c r="O305" t="s">
        <v>82</v>
      </c>
      <c r="P305" t="s">
        <v>83</v>
      </c>
      <c r="Q305" t="s">
        <v>503</v>
      </c>
      <c r="R305">
        <v>24</v>
      </c>
      <c r="S305" t="s">
        <v>85</v>
      </c>
      <c r="T305" t="s">
        <v>179</v>
      </c>
      <c r="U305">
        <v>1111111</v>
      </c>
      <c r="V305" t="s">
        <v>122</v>
      </c>
      <c r="W305" t="s">
        <v>529</v>
      </c>
      <c r="X305" t="s">
        <v>530</v>
      </c>
      <c r="Y305" t="s">
        <v>89</v>
      </c>
      <c r="Z305" t="s">
        <v>90</v>
      </c>
      <c r="AA305" t="s">
        <v>506</v>
      </c>
      <c r="AB305">
        <v>1</v>
      </c>
      <c r="AC305">
        <v>6</v>
      </c>
      <c r="AD305" t="b">
        <v>1</v>
      </c>
      <c r="AE305">
        <v>2024</v>
      </c>
      <c r="AF305" s="3">
        <v>367</v>
      </c>
      <c r="AG305" s="3">
        <v>45436</v>
      </c>
      <c r="AH305" s="3">
        <v>46537</v>
      </c>
      <c r="AJ305" s="4"/>
      <c r="AK305" s="4"/>
      <c r="AL305" s="3">
        <v>367</v>
      </c>
      <c r="AM305" s="3">
        <v>367</v>
      </c>
      <c r="AN305">
        <v>-8.7107673999999999</v>
      </c>
      <c r="AO305">
        <v>115.2216794</v>
      </c>
      <c r="AP305" t="s">
        <v>1613</v>
      </c>
      <c r="AT305">
        <v>99.2</v>
      </c>
      <c r="AW305">
        <v>0</v>
      </c>
      <c r="AX305">
        <v>0</v>
      </c>
      <c r="BA305">
        <v>0</v>
      </c>
      <c r="BB305">
        <v>0</v>
      </c>
      <c r="BE305">
        <v>0</v>
      </c>
      <c r="BF305">
        <v>0</v>
      </c>
      <c r="BJ305">
        <v>0</v>
      </c>
      <c r="BL305">
        <v>0</v>
      </c>
      <c r="BN305">
        <v>0</v>
      </c>
      <c r="BO305" s="6">
        <v>0</v>
      </c>
      <c r="BP305">
        <v>0</v>
      </c>
      <c r="BQ305">
        <v>0</v>
      </c>
      <c r="BR305">
        <v>0</v>
      </c>
    </row>
    <row r="306" spans="1:70" ht="15" customHeight="1" x14ac:dyDescent="0.35">
      <c r="A306" s="1" t="str">
        <f t="shared" si="10"/>
        <v>Z847</v>
      </c>
      <c r="B306" t="s">
        <v>1614</v>
      </c>
      <c r="C306" t="s">
        <v>1615</v>
      </c>
      <c r="D306" t="s">
        <v>1616</v>
      </c>
      <c r="E306" t="s">
        <v>1608</v>
      </c>
      <c r="F306" t="s">
        <v>501</v>
      </c>
      <c r="G306" t="s">
        <v>502</v>
      </c>
      <c r="H306" t="s">
        <v>502</v>
      </c>
      <c r="I306" t="s">
        <v>148</v>
      </c>
      <c r="J306" t="b">
        <v>0</v>
      </c>
      <c r="K306" t="s">
        <v>154</v>
      </c>
      <c r="L306" t="s">
        <v>214</v>
      </c>
      <c r="N306" t="s">
        <v>81</v>
      </c>
      <c r="O306" t="s">
        <v>82</v>
      </c>
      <c r="P306" t="s">
        <v>83</v>
      </c>
      <c r="Q306" t="s">
        <v>503</v>
      </c>
      <c r="R306">
        <v>24</v>
      </c>
      <c r="S306" t="s">
        <v>85</v>
      </c>
      <c r="T306" t="s">
        <v>179</v>
      </c>
      <c r="U306">
        <v>1111111</v>
      </c>
      <c r="V306" t="s">
        <v>122</v>
      </c>
      <c r="W306" t="s">
        <v>529</v>
      </c>
      <c r="X306" t="s">
        <v>530</v>
      </c>
      <c r="Y306" t="s">
        <v>89</v>
      </c>
      <c r="Z306" t="s">
        <v>90</v>
      </c>
      <c r="AA306" t="s">
        <v>506</v>
      </c>
      <c r="AB306">
        <v>1</v>
      </c>
      <c r="AC306">
        <v>6</v>
      </c>
      <c r="AD306" t="b">
        <v>1</v>
      </c>
      <c r="AE306">
        <v>2024</v>
      </c>
      <c r="AF306" s="3">
        <v>367</v>
      </c>
      <c r="AG306" s="3">
        <v>45436</v>
      </c>
      <c r="AH306" s="3">
        <v>46537</v>
      </c>
      <c r="AJ306" s="4"/>
      <c r="AK306" s="4"/>
      <c r="AL306" s="3">
        <v>367</v>
      </c>
      <c r="AM306" s="3">
        <v>367</v>
      </c>
      <c r="AN306">
        <v>-8.7108869000000002</v>
      </c>
      <c r="AO306">
        <v>115.2216121</v>
      </c>
      <c r="AP306" t="s">
        <v>1617</v>
      </c>
      <c r="AT306">
        <v>99.2</v>
      </c>
      <c r="AW306">
        <v>0</v>
      </c>
      <c r="AX306">
        <v>0</v>
      </c>
      <c r="BA306">
        <v>0</v>
      </c>
      <c r="BB306">
        <v>0</v>
      </c>
      <c r="BE306">
        <v>0</v>
      </c>
      <c r="BF306">
        <v>0</v>
      </c>
      <c r="BJ306">
        <v>0</v>
      </c>
      <c r="BL306">
        <v>0</v>
      </c>
      <c r="BN306">
        <v>0</v>
      </c>
      <c r="BO306" s="6">
        <v>0</v>
      </c>
      <c r="BP306">
        <v>0</v>
      </c>
      <c r="BQ306">
        <v>0</v>
      </c>
      <c r="BR306">
        <v>0</v>
      </c>
    </row>
    <row r="307" spans="1:70" ht="15" customHeight="1" x14ac:dyDescent="0.35">
      <c r="A307" s="1" t="str">
        <f t="shared" si="10"/>
        <v>ZDX5</v>
      </c>
      <c r="B307" t="s">
        <v>1618</v>
      </c>
      <c r="C307" t="s">
        <v>1619</v>
      </c>
      <c r="D307" t="s">
        <v>1620</v>
      </c>
      <c r="E307" t="s">
        <v>1621</v>
      </c>
      <c r="F307" t="s">
        <v>724</v>
      </c>
      <c r="G307" t="s">
        <v>502</v>
      </c>
      <c r="H307" t="s">
        <v>502</v>
      </c>
      <c r="I307" t="s">
        <v>137</v>
      </c>
      <c r="J307" t="b">
        <v>0</v>
      </c>
      <c r="K307" t="s">
        <v>154</v>
      </c>
      <c r="L307" t="s">
        <v>214</v>
      </c>
      <c r="N307" t="s">
        <v>81</v>
      </c>
      <c r="O307" t="s">
        <v>82</v>
      </c>
      <c r="P307" t="s">
        <v>83</v>
      </c>
      <c r="Q307" t="s">
        <v>503</v>
      </c>
      <c r="R307">
        <v>15</v>
      </c>
      <c r="S307" t="s">
        <v>121</v>
      </c>
      <c r="T307" t="s">
        <v>121</v>
      </c>
      <c r="U307">
        <v>1111111</v>
      </c>
      <c r="V307" t="s">
        <v>122</v>
      </c>
      <c r="W307" t="s">
        <v>517</v>
      </c>
      <c r="X307" t="s">
        <v>518</v>
      </c>
      <c r="Y307" t="s">
        <v>89</v>
      </c>
      <c r="Z307" t="s">
        <v>90</v>
      </c>
      <c r="AA307" t="s">
        <v>506</v>
      </c>
      <c r="AB307">
        <v>1</v>
      </c>
      <c r="AC307">
        <v>6</v>
      </c>
      <c r="AD307" t="b">
        <v>1</v>
      </c>
      <c r="AE307">
        <v>2024</v>
      </c>
      <c r="AF307" s="3">
        <v>367</v>
      </c>
      <c r="AG307" s="3">
        <v>45439</v>
      </c>
      <c r="AH307" s="3">
        <v>46534</v>
      </c>
      <c r="AJ307" s="4">
        <f>VLOOKUP(A307,'[1]1'!B:Q,16,0)</f>
        <v>1440</v>
      </c>
      <c r="AK307" s="7">
        <f t="shared" ref="AK307:AK313" si="13">AJ307/250</f>
        <v>5.76</v>
      </c>
      <c r="AL307" s="3">
        <v>367</v>
      </c>
      <c r="AM307" s="3">
        <v>367</v>
      </c>
      <c r="AN307">
        <v>-8.5604560000000003</v>
      </c>
      <c r="AO307">
        <v>115.1374275</v>
      </c>
      <c r="AP307" t="s">
        <v>1622</v>
      </c>
      <c r="AT307">
        <v>99.2</v>
      </c>
      <c r="AW307">
        <v>0</v>
      </c>
      <c r="AX307">
        <v>0</v>
      </c>
      <c r="BA307">
        <v>0</v>
      </c>
      <c r="BB307">
        <v>0</v>
      </c>
      <c r="BE307">
        <v>0</v>
      </c>
      <c r="BF307">
        <v>0</v>
      </c>
      <c r="BJ307">
        <v>0</v>
      </c>
      <c r="BL307">
        <v>0</v>
      </c>
      <c r="BN307">
        <v>0</v>
      </c>
      <c r="BO307" s="6">
        <v>0</v>
      </c>
      <c r="BP307">
        <v>0</v>
      </c>
      <c r="BQ307">
        <v>0</v>
      </c>
      <c r="BR307">
        <v>0</v>
      </c>
    </row>
    <row r="308" spans="1:70" ht="15" customHeight="1" x14ac:dyDescent="0.35">
      <c r="A308" s="1" t="str">
        <f t="shared" si="10"/>
        <v>Z11K</v>
      </c>
      <c r="B308" t="s">
        <v>1623</v>
      </c>
      <c r="C308" t="s">
        <v>1624</v>
      </c>
      <c r="D308" t="s">
        <v>1625</v>
      </c>
      <c r="E308" t="s">
        <v>1626</v>
      </c>
      <c r="F308" t="s">
        <v>516</v>
      </c>
      <c r="G308" t="s">
        <v>502</v>
      </c>
      <c r="H308" t="s">
        <v>502</v>
      </c>
      <c r="I308" t="s">
        <v>148</v>
      </c>
      <c r="J308" t="b">
        <v>0</v>
      </c>
      <c r="K308" t="s">
        <v>154</v>
      </c>
      <c r="L308" t="s">
        <v>214</v>
      </c>
      <c r="N308" t="s">
        <v>81</v>
      </c>
      <c r="O308" t="s">
        <v>82</v>
      </c>
      <c r="P308" t="s">
        <v>83</v>
      </c>
      <c r="Q308" t="s">
        <v>503</v>
      </c>
      <c r="R308">
        <v>24</v>
      </c>
      <c r="S308" t="s">
        <v>85</v>
      </c>
      <c r="T308" t="s">
        <v>179</v>
      </c>
      <c r="U308">
        <v>1111111</v>
      </c>
      <c r="V308" t="s">
        <v>122</v>
      </c>
      <c r="W308" t="s">
        <v>694</v>
      </c>
      <c r="X308" t="s">
        <v>695</v>
      </c>
      <c r="Y308" t="s">
        <v>89</v>
      </c>
      <c r="Z308" t="s">
        <v>90</v>
      </c>
      <c r="AA308" t="s">
        <v>506</v>
      </c>
      <c r="AB308">
        <v>1</v>
      </c>
      <c r="AC308">
        <v>6</v>
      </c>
      <c r="AD308" t="b">
        <v>1</v>
      </c>
      <c r="AE308">
        <v>2024</v>
      </c>
      <c r="AF308" s="3">
        <v>367</v>
      </c>
      <c r="AG308" s="3">
        <v>45439</v>
      </c>
      <c r="AH308" s="3">
        <v>46537</v>
      </c>
      <c r="AJ308" s="4">
        <f>VLOOKUP(A308,'[1]1'!B:Q,16,0)</f>
        <v>1440</v>
      </c>
      <c r="AK308" s="7">
        <f t="shared" si="13"/>
        <v>5.76</v>
      </c>
      <c r="AL308" s="3">
        <v>367</v>
      </c>
      <c r="AM308" s="3">
        <v>367</v>
      </c>
      <c r="AN308">
        <v>-8.6725481000000002</v>
      </c>
      <c r="AO308">
        <v>115.1648405</v>
      </c>
      <c r="AP308" t="s">
        <v>1627</v>
      </c>
      <c r="AT308">
        <v>99.2</v>
      </c>
      <c r="AW308">
        <v>0</v>
      </c>
      <c r="AX308">
        <v>0</v>
      </c>
      <c r="BA308">
        <v>0</v>
      </c>
      <c r="BB308">
        <v>0</v>
      </c>
      <c r="BE308">
        <v>0</v>
      </c>
      <c r="BF308">
        <v>0</v>
      </c>
      <c r="BJ308">
        <v>0</v>
      </c>
      <c r="BL308">
        <v>0</v>
      </c>
      <c r="BN308">
        <v>0</v>
      </c>
      <c r="BO308" s="6">
        <v>0</v>
      </c>
      <c r="BP308">
        <v>0</v>
      </c>
      <c r="BQ308">
        <v>0</v>
      </c>
      <c r="BR308">
        <v>0</v>
      </c>
    </row>
    <row r="309" spans="1:70" ht="15" customHeight="1" x14ac:dyDescent="0.35">
      <c r="A309" s="1" t="str">
        <f t="shared" si="10"/>
        <v>Z867</v>
      </c>
      <c r="B309" t="s">
        <v>1628</v>
      </c>
      <c r="C309" t="s">
        <v>1629</v>
      </c>
      <c r="D309" t="s">
        <v>1630</v>
      </c>
      <c r="E309" t="s">
        <v>1631</v>
      </c>
      <c r="F309" t="s">
        <v>724</v>
      </c>
      <c r="G309" t="s">
        <v>502</v>
      </c>
      <c r="H309" t="s">
        <v>502</v>
      </c>
      <c r="I309" t="s">
        <v>148</v>
      </c>
      <c r="J309" t="b">
        <v>0</v>
      </c>
      <c r="K309" t="s">
        <v>154</v>
      </c>
      <c r="L309" t="s">
        <v>214</v>
      </c>
      <c r="N309" t="s">
        <v>81</v>
      </c>
      <c r="O309" t="s">
        <v>82</v>
      </c>
      <c r="P309" t="s">
        <v>83</v>
      </c>
      <c r="Q309" t="s">
        <v>503</v>
      </c>
      <c r="R309">
        <v>24</v>
      </c>
      <c r="S309" t="s">
        <v>85</v>
      </c>
      <c r="T309" t="s">
        <v>179</v>
      </c>
      <c r="U309">
        <v>1111111</v>
      </c>
      <c r="V309" t="s">
        <v>122</v>
      </c>
      <c r="W309" t="s">
        <v>517</v>
      </c>
      <c r="X309" t="s">
        <v>518</v>
      </c>
      <c r="Y309" t="s">
        <v>89</v>
      </c>
      <c r="Z309" t="s">
        <v>90</v>
      </c>
      <c r="AA309" t="s">
        <v>506</v>
      </c>
      <c r="AB309">
        <v>1</v>
      </c>
      <c r="AC309">
        <v>6</v>
      </c>
      <c r="AD309" t="b">
        <v>1</v>
      </c>
      <c r="AE309">
        <v>2024</v>
      </c>
      <c r="AF309" s="3">
        <v>367</v>
      </c>
      <c r="AG309" s="3">
        <v>45439</v>
      </c>
      <c r="AH309" s="3">
        <v>46537</v>
      </c>
      <c r="AJ309" s="4">
        <f>VLOOKUP(A309,'[1]1'!B:Q,16,0)</f>
        <v>1440</v>
      </c>
      <c r="AK309" s="7">
        <f t="shared" si="13"/>
        <v>5.76</v>
      </c>
      <c r="AL309" s="3">
        <v>367</v>
      </c>
      <c r="AM309" s="3">
        <v>367</v>
      </c>
      <c r="AN309">
        <v>-8.5389400000000002</v>
      </c>
      <c r="AO309">
        <v>115.1245117</v>
      </c>
      <c r="AP309" t="s">
        <v>1632</v>
      </c>
      <c r="AT309">
        <v>99.2</v>
      </c>
      <c r="AW309">
        <v>0</v>
      </c>
      <c r="AX309">
        <v>0</v>
      </c>
      <c r="BA309">
        <v>0</v>
      </c>
      <c r="BB309">
        <v>0</v>
      </c>
      <c r="BE309">
        <v>0</v>
      </c>
      <c r="BF309">
        <v>0</v>
      </c>
      <c r="BJ309">
        <v>0</v>
      </c>
      <c r="BL309">
        <v>0</v>
      </c>
      <c r="BN309">
        <v>0</v>
      </c>
      <c r="BO309" s="6">
        <v>0</v>
      </c>
      <c r="BP309">
        <v>0</v>
      </c>
      <c r="BQ309">
        <v>0</v>
      </c>
      <c r="BR309">
        <v>0</v>
      </c>
    </row>
    <row r="310" spans="1:70" ht="15" customHeight="1" x14ac:dyDescent="0.35">
      <c r="A310" s="1" t="str">
        <f t="shared" si="10"/>
        <v>Z866</v>
      </c>
      <c r="B310" t="s">
        <v>1633</v>
      </c>
      <c r="C310" t="s">
        <v>1634</v>
      </c>
      <c r="D310" t="s">
        <v>1635</v>
      </c>
      <c r="E310" t="s">
        <v>1631</v>
      </c>
      <c r="F310" t="s">
        <v>724</v>
      </c>
      <c r="G310" t="s">
        <v>502</v>
      </c>
      <c r="H310" t="s">
        <v>502</v>
      </c>
      <c r="I310" t="s">
        <v>148</v>
      </c>
      <c r="J310" t="b">
        <v>0</v>
      </c>
      <c r="K310" t="s">
        <v>154</v>
      </c>
      <c r="L310" t="s">
        <v>214</v>
      </c>
      <c r="N310" t="s">
        <v>81</v>
      </c>
      <c r="O310" t="s">
        <v>82</v>
      </c>
      <c r="P310" t="s">
        <v>83</v>
      </c>
      <c r="Q310" t="s">
        <v>503</v>
      </c>
      <c r="R310">
        <v>24</v>
      </c>
      <c r="S310" t="s">
        <v>85</v>
      </c>
      <c r="T310" t="s">
        <v>179</v>
      </c>
      <c r="U310">
        <v>1111111</v>
      </c>
      <c r="V310" t="s">
        <v>122</v>
      </c>
      <c r="W310" t="s">
        <v>517</v>
      </c>
      <c r="X310" t="s">
        <v>518</v>
      </c>
      <c r="Y310" t="s">
        <v>89</v>
      </c>
      <c r="Z310" t="s">
        <v>90</v>
      </c>
      <c r="AA310" t="s">
        <v>506</v>
      </c>
      <c r="AB310">
        <v>1</v>
      </c>
      <c r="AC310">
        <v>6</v>
      </c>
      <c r="AD310" t="b">
        <v>1</v>
      </c>
      <c r="AE310">
        <v>2024</v>
      </c>
      <c r="AF310" s="3">
        <v>367</v>
      </c>
      <c r="AG310" s="3">
        <v>45439</v>
      </c>
      <c r="AH310" s="3">
        <v>46537</v>
      </c>
      <c r="AJ310" s="4">
        <f>VLOOKUP(A310,'[1]1'!B:Q,16,0)</f>
        <v>1440</v>
      </c>
      <c r="AK310" s="7">
        <f t="shared" si="13"/>
        <v>5.76</v>
      </c>
      <c r="AL310" s="3">
        <v>367</v>
      </c>
      <c r="AM310" s="3">
        <v>367</v>
      </c>
      <c r="AN310">
        <v>-8.5390189000000003</v>
      </c>
      <c r="AO310">
        <v>115.1245077</v>
      </c>
      <c r="AP310" t="s">
        <v>1636</v>
      </c>
      <c r="AT310">
        <v>99.2</v>
      </c>
      <c r="AW310">
        <v>0</v>
      </c>
      <c r="AX310">
        <v>0</v>
      </c>
      <c r="BA310">
        <v>0</v>
      </c>
      <c r="BB310">
        <v>0</v>
      </c>
      <c r="BE310">
        <v>0</v>
      </c>
      <c r="BF310">
        <v>0</v>
      </c>
      <c r="BJ310">
        <v>0</v>
      </c>
      <c r="BL310">
        <v>0</v>
      </c>
      <c r="BN310">
        <v>0</v>
      </c>
      <c r="BO310" s="6">
        <v>0</v>
      </c>
      <c r="BP310">
        <v>0</v>
      </c>
      <c r="BQ310">
        <v>0</v>
      </c>
      <c r="BR310">
        <v>0</v>
      </c>
    </row>
    <row r="311" spans="1:70" ht="15" customHeight="1" x14ac:dyDescent="0.35">
      <c r="A311" s="1" t="str">
        <f t="shared" si="10"/>
        <v>Z4WJ</v>
      </c>
      <c r="B311" t="s">
        <v>1637</v>
      </c>
      <c r="C311" t="s">
        <v>1638</v>
      </c>
      <c r="D311" t="s">
        <v>1639</v>
      </c>
      <c r="E311" t="s">
        <v>1640</v>
      </c>
      <c r="F311" t="s">
        <v>501</v>
      </c>
      <c r="G311" t="s">
        <v>502</v>
      </c>
      <c r="H311" t="s">
        <v>502</v>
      </c>
      <c r="I311" t="s">
        <v>148</v>
      </c>
      <c r="J311" t="b">
        <v>0</v>
      </c>
      <c r="K311" t="s">
        <v>154</v>
      </c>
      <c r="L311" t="s">
        <v>214</v>
      </c>
      <c r="N311" t="s">
        <v>81</v>
      </c>
      <c r="O311" t="s">
        <v>82</v>
      </c>
      <c r="P311" t="s">
        <v>83</v>
      </c>
      <c r="Q311" t="s">
        <v>503</v>
      </c>
      <c r="R311">
        <v>24</v>
      </c>
      <c r="S311" t="s">
        <v>85</v>
      </c>
      <c r="T311" t="s">
        <v>179</v>
      </c>
      <c r="U311">
        <v>1111111</v>
      </c>
      <c r="V311" t="s">
        <v>122</v>
      </c>
      <c r="W311" t="s">
        <v>523</v>
      </c>
      <c r="X311" t="s">
        <v>524</v>
      </c>
      <c r="Y311" t="s">
        <v>89</v>
      </c>
      <c r="Z311" t="s">
        <v>90</v>
      </c>
      <c r="AA311" t="s">
        <v>506</v>
      </c>
      <c r="AB311">
        <v>1</v>
      </c>
      <c r="AC311">
        <v>6</v>
      </c>
      <c r="AD311" t="b">
        <v>1</v>
      </c>
      <c r="AE311">
        <v>2024</v>
      </c>
      <c r="AF311" s="3">
        <v>367</v>
      </c>
      <c r="AG311" s="3">
        <v>45440</v>
      </c>
      <c r="AH311" s="3">
        <v>46537</v>
      </c>
      <c r="AJ311" s="4">
        <f>VLOOKUP(A311,'[1]1'!B:Q,16,0)</f>
        <v>1440</v>
      </c>
      <c r="AK311" s="7">
        <f t="shared" si="13"/>
        <v>5.76</v>
      </c>
      <c r="AL311" s="3">
        <v>367</v>
      </c>
      <c r="AM311" s="3">
        <v>367</v>
      </c>
      <c r="AN311">
        <v>-8.6778943999999996</v>
      </c>
      <c r="AO311">
        <v>115.1908091</v>
      </c>
      <c r="AP311" t="s">
        <v>1641</v>
      </c>
      <c r="AT311">
        <v>99.2</v>
      </c>
      <c r="AW311">
        <v>0</v>
      </c>
      <c r="AX311">
        <v>0</v>
      </c>
      <c r="BA311">
        <v>0</v>
      </c>
      <c r="BB311">
        <v>0</v>
      </c>
      <c r="BE311">
        <v>0</v>
      </c>
      <c r="BF311">
        <v>0</v>
      </c>
      <c r="BJ311">
        <v>0</v>
      </c>
      <c r="BL311">
        <v>0</v>
      </c>
      <c r="BN311">
        <v>0</v>
      </c>
      <c r="BO311" s="6">
        <v>0</v>
      </c>
      <c r="BP311">
        <v>0</v>
      </c>
      <c r="BQ311">
        <v>0</v>
      </c>
      <c r="BR311">
        <v>0</v>
      </c>
    </row>
    <row r="312" spans="1:70" ht="15" customHeight="1" x14ac:dyDescent="0.35">
      <c r="A312" s="1" t="str">
        <f t="shared" si="10"/>
        <v>Z09R</v>
      </c>
      <c r="B312" t="s">
        <v>1642</v>
      </c>
      <c r="C312" t="s">
        <v>1643</v>
      </c>
      <c r="D312" t="s">
        <v>1644</v>
      </c>
      <c r="E312" t="s">
        <v>1640</v>
      </c>
      <c r="F312" t="s">
        <v>501</v>
      </c>
      <c r="G312" t="s">
        <v>502</v>
      </c>
      <c r="H312" t="s">
        <v>502</v>
      </c>
      <c r="I312" t="s">
        <v>148</v>
      </c>
      <c r="J312" t="b">
        <v>0</v>
      </c>
      <c r="K312" t="s">
        <v>154</v>
      </c>
      <c r="L312" t="s">
        <v>214</v>
      </c>
      <c r="N312" t="s">
        <v>81</v>
      </c>
      <c r="O312" t="s">
        <v>82</v>
      </c>
      <c r="P312" t="s">
        <v>83</v>
      </c>
      <c r="Q312" t="s">
        <v>503</v>
      </c>
      <c r="R312">
        <v>24</v>
      </c>
      <c r="S312" t="s">
        <v>85</v>
      </c>
      <c r="T312" t="s">
        <v>179</v>
      </c>
      <c r="U312">
        <v>1111111</v>
      </c>
      <c r="V312" t="s">
        <v>122</v>
      </c>
      <c r="W312" t="s">
        <v>523</v>
      </c>
      <c r="X312" t="s">
        <v>524</v>
      </c>
      <c r="Y312" t="s">
        <v>89</v>
      </c>
      <c r="Z312" t="s">
        <v>90</v>
      </c>
      <c r="AA312" t="s">
        <v>506</v>
      </c>
      <c r="AB312">
        <v>1</v>
      </c>
      <c r="AC312">
        <v>6</v>
      </c>
      <c r="AD312" t="b">
        <v>1</v>
      </c>
      <c r="AE312">
        <v>2024</v>
      </c>
      <c r="AF312" s="3">
        <v>367</v>
      </c>
      <c r="AG312" s="3">
        <v>45440</v>
      </c>
      <c r="AH312" s="3">
        <v>46537</v>
      </c>
      <c r="AJ312" s="4">
        <f>VLOOKUP(A312,'[1]1'!B:Q,16,0)</f>
        <v>1440</v>
      </c>
      <c r="AK312" s="7">
        <f t="shared" si="13"/>
        <v>5.76</v>
      </c>
      <c r="AL312" s="3">
        <v>367</v>
      </c>
      <c r="AM312" s="3">
        <v>367</v>
      </c>
      <c r="AN312">
        <v>-8.6778869000000007</v>
      </c>
      <c r="AO312">
        <v>115.1905381</v>
      </c>
      <c r="AP312" t="s">
        <v>1645</v>
      </c>
      <c r="AT312">
        <v>99.2</v>
      </c>
      <c r="AW312">
        <v>0</v>
      </c>
      <c r="AX312">
        <v>0</v>
      </c>
      <c r="BA312">
        <v>0</v>
      </c>
      <c r="BB312">
        <v>0</v>
      </c>
      <c r="BE312">
        <v>0</v>
      </c>
      <c r="BF312">
        <v>0</v>
      </c>
      <c r="BJ312">
        <v>0</v>
      </c>
      <c r="BL312">
        <v>0</v>
      </c>
      <c r="BN312">
        <v>0</v>
      </c>
      <c r="BO312" s="6">
        <v>0</v>
      </c>
      <c r="BP312">
        <v>0</v>
      </c>
      <c r="BQ312">
        <v>0</v>
      </c>
      <c r="BR312">
        <v>0</v>
      </c>
    </row>
    <row r="313" spans="1:70" ht="15" customHeight="1" x14ac:dyDescent="0.35">
      <c r="A313" s="1" t="str">
        <f t="shared" si="10"/>
        <v>Z09Q</v>
      </c>
      <c r="B313" t="s">
        <v>1646</v>
      </c>
      <c r="C313" t="s">
        <v>1647</v>
      </c>
      <c r="D313" t="s">
        <v>1648</v>
      </c>
      <c r="E313" t="s">
        <v>1640</v>
      </c>
      <c r="F313" t="s">
        <v>501</v>
      </c>
      <c r="G313" t="s">
        <v>502</v>
      </c>
      <c r="H313" t="s">
        <v>502</v>
      </c>
      <c r="I313" t="s">
        <v>148</v>
      </c>
      <c r="J313" t="b">
        <v>0</v>
      </c>
      <c r="K313" t="s">
        <v>154</v>
      </c>
      <c r="L313" t="s">
        <v>214</v>
      </c>
      <c r="N313" t="s">
        <v>81</v>
      </c>
      <c r="O313" t="s">
        <v>82</v>
      </c>
      <c r="P313" t="s">
        <v>83</v>
      </c>
      <c r="Q313" t="s">
        <v>503</v>
      </c>
      <c r="R313">
        <v>24</v>
      </c>
      <c r="S313" t="s">
        <v>85</v>
      </c>
      <c r="T313" t="s">
        <v>179</v>
      </c>
      <c r="U313">
        <v>1111111</v>
      </c>
      <c r="V313" t="s">
        <v>122</v>
      </c>
      <c r="W313" t="s">
        <v>523</v>
      </c>
      <c r="X313" t="s">
        <v>524</v>
      </c>
      <c r="Y313" t="s">
        <v>89</v>
      </c>
      <c r="Z313" t="s">
        <v>90</v>
      </c>
      <c r="AA313" t="s">
        <v>506</v>
      </c>
      <c r="AB313">
        <v>1</v>
      </c>
      <c r="AC313">
        <v>6</v>
      </c>
      <c r="AD313" t="b">
        <v>1</v>
      </c>
      <c r="AE313">
        <v>2024</v>
      </c>
      <c r="AF313" s="3">
        <v>367</v>
      </c>
      <c r="AG313" s="3">
        <v>45440</v>
      </c>
      <c r="AH313" s="3">
        <v>46537</v>
      </c>
      <c r="AJ313" s="4">
        <f>VLOOKUP(A313,'[1]1'!B:Q,16,0)</f>
        <v>1440</v>
      </c>
      <c r="AK313" s="7">
        <f t="shared" si="13"/>
        <v>5.76</v>
      </c>
      <c r="AL313" s="3">
        <v>367</v>
      </c>
      <c r="AM313" s="3">
        <v>367</v>
      </c>
      <c r="AN313">
        <v>-8.6778559000000008</v>
      </c>
      <c r="AO313">
        <v>115.1907685</v>
      </c>
      <c r="AP313" t="s">
        <v>1641</v>
      </c>
      <c r="AT313">
        <v>99.2</v>
      </c>
      <c r="AW313">
        <v>0</v>
      </c>
      <c r="AX313">
        <v>0</v>
      </c>
      <c r="BA313">
        <v>0</v>
      </c>
      <c r="BB313">
        <v>0</v>
      </c>
      <c r="BE313">
        <v>0</v>
      </c>
      <c r="BF313">
        <v>0</v>
      </c>
      <c r="BJ313">
        <v>0</v>
      </c>
      <c r="BL313">
        <v>0</v>
      </c>
      <c r="BN313">
        <v>0</v>
      </c>
      <c r="BO313" s="6">
        <v>0</v>
      </c>
      <c r="BP313">
        <v>0</v>
      </c>
      <c r="BQ313">
        <v>0</v>
      </c>
      <c r="BR313">
        <v>0</v>
      </c>
    </row>
    <row r="314" spans="1:70" ht="15" customHeight="1" x14ac:dyDescent="0.35">
      <c r="A314" s="1" t="str">
        <f t="shared" si="10"/>
        <v>Z09P</v>
      </c>
      <c r="B314" t="s">
        <v>1649</v>
      </c>
      <c r="C314" t="s">
        <v>1650</v>
      </c>
      <c r="D314" t="s">
        <v>1651</v>
      </c>
      <c r="E314" t="s">
        <v>1640</v>
      </c>
      <c r="F314" t="s">
        <v>501</v>
      </c>
      <c r="G314" t="s">
        <v>502</v>
      </c>
      <c r="H314" t="s">
        <v>502</v>
      </c>
      <c r="I314" t="s">
        <v>148</v>
      </c>
      <c r="J314" t="b">
        <v>0</v>
      </c>
      <c r="K314" t="s">
        <v>154</v>
      </c>
      <c r="L314" t="s">
        <v>214</v>
      </c>
      <c r="N314" t="s">
        <v>81</v>
      </c>
      <c r="O314" t="s">
        <v>82</v>
      </c>
      <c r="P314" t="s">
        <v>83</v>
      </c>
      <c r="Q314" t="s">
        <v>503</v>
      </c>
      <c r="R314">
        <v>24</v>
      </c>
      <c r="S314" t="s">
        <v>85</v>
      </c>
      <c r="T314" t="s">
        <v>179</v>
      </c>
      <c r="U314">
        <v>1111111</v>
      </c>
      <c r="V314" t="s">
        <v>122</v>
      </c>
      <c r="W314" t="s">
        <v>523</v>
      </c>
      <c r="X314" t="s">
        <v>524</v>
      </c>
      <c r="Y314" t="s">
        <v>89</v>
      </c>
      <c r="Z314" t="s">
        <v>90</v>
      </c>
      <c r="AA314" t="s">
        <v>506</v>
      </c>
      <c r="AB314">
        <v>1</v>
      </c>
      <c r="AC314">
        <v>6</v>
      </c>
      <c r="AD314" t="b">
        <v>1</v>
      </c>
      <c r="AE314">
        <v>2024</v>
      </c>
      <c r="AF314" s="3">
        <v>367</v>
      </c>
      <c r="AG314" s="3">
        <v>45440</v>
      </c>
      <c r="AH314" s="3">
        <v>46537</v>
      </c>
      <c r="AJ314" s="4"/>
      <c r="AK314" s="4"/>
      <c r="AL314" s="3">
        <v>367</v>
      </c>
      <c r="AM314" s="3">
        <v>367</v>
      </c>
      <c r="AN314">
        <v>-8.6778949999999995</v>
      </c>
      <c r="AO314">
        <v>115.190755</v>
      </c>
      <c r="AP314" t="s">
        <v>1641</v>
      </c>
      <c r="AT314">
        <v>99.2</v>
      </c>
      <c r="AW314">
        <v>0</v>
      </c>
      <c r="AX314">
        <v>0</v>
      </c>
      <c r="BA314">
        <v>0</v>
      </c>
      <c r="BB314">
        <v>0</v>
      </c>
      <c r="BE314">
        <v>0</v>
      </c>
      <c r="BF314">
        <v>0</v>
      </c>
      <c r="BJ314">
        <v>0</v>
      </c>
      <c r="BL314">
        <v>0</v>
      </c>
      <c r="BN314">
        <v>0</v>
      </c>
      <c r="BO314" s="6">
        <v>0</v>
      </c>
      <c r="BP314">
        <v>0</v>
      </c>
      <c r="BQ314">
        <v>0</v>
      </c>
      <c r="BR314">
        <v>0</v>
      </c>
    </row>
    <row r="315" spans="1:70" ht="15" customHeight="1" x14ac:dyDescent="0.35">
      <c r="A315" s="1" t="str">
        <f t="shared" si="10"/>
        <v>Z09N</v>
      </c>
      <c r="B315" t="s">
        <v>1652</v>
      </c>
      <c r="C315" t="s">
        <v>1653</v>
      </c>
      <c r="D315" t="s">
        <v>1654</v>
      </c>
      <c r="E315" t="s">
        <v>1640</v>
      </c>
      <c r="F315" t="s">
        <v>501</v>
      </c>
      <c r="G315" t="s">
        <v>502</v>
      </c>
      <c r="H315" t="s">
        <v>502</v>
      </c>
      <c r="I315" t="s">
        <v>148</v>
      </c>
      <c r="J315" t="b">
        <v>0</v>
      </c>
      <c r="K315" t="s">
        <v>154</v>
      </c>
      <c r="L315" t="s">
        <v>214</v>
      </c>
      <c r="N315" t="s">
        <v>81</v>
      </c>
      <c r="O315" t="s">
        <v>82</v>
      </c>
      <c r="P315" t="s">
        <v>83</v>
      </c>
      <c r="Q315" t="s">
        <v>503</v>
      </c>
      <c r="R315">
        <v>24</v>
      </c>
      <c r="S315" t="s">
        <v>85</v>
      </c>
      <c r="T315" t="s">
        <v>179</v>
      </c>
      <c r="U315">
        <v>1111111</v>
      </c>
      <c r="V315" t="s">
        <v>122</v>
      </c>
      <c r="W315" t="s">
        <v>523</v>
      </c>
      <c r="X315" t="s">
        <v>524</v>
      </c>
      <c r="Y315" t="s">
        <v>89</v>
      </c>
      <c r="Z315" t="s">
        <v>90</v>
      </c>
      <c r="AA315" t="s">
        <v>506</v>
      </c>
      <c r="AB315">
        <v>1</v>
      </c>
      <c r="AC315">
        <v>6</v>
      </c>
      <c r="AD315" t="b">
        <v>1</v>
      </c>
      <c r="AE315">
        <v>2024</v>
      </c>
      <c r="AF315" s="3">
        <v>367</v>
      </c>
      <c r="AG315" s="3">
        <v>45440</v>
      </c>
      <c r="AH315" s="3">
        <v>46537</v>
      </c>
      <c r="AJ315" s="4"/>
      <c r="AK315" s="4"/>
      <c r="AL315" s="3">
        <v>367</v>
      </c>
      <c r="AM315" s="3">
        <v>367</v>
      </c>
      <c r="AN315">
        <v>-8.6780071999999997</v>
      </c>
      <c r="AO315">
        <v>115.1908464</v>
      </c>
      <c r="AP315" t="s">
        <v>1655</v>
      </c>
      <c r="AT315">
        <v>99.2</v>
      </c>
      <c r="AW315">
        <v>0</v>
      </c>
      <c r="AX315">
        <v>0</v>
      </c>
      <c r="BA315">
        <v>0</v>
      </c>
      <c r="BB315">
        <v>0</v>
      </c>
      <c r="BE315">
        <v>0</v>
      </c>
      <c r="BF315">
        <v>0</v>
      </c>
      <c r="BJ315">
        <v>0</v>
      </c>
      <c r="BL315">
        <v>0</v>
      </c>
      <c r="BN315">
        <v>0</v>
      </c>
      <c r="BO315" s="6">
        <v>0</v>
      </c>
      <c r="BP315">
        <v>0</v>
      </c>
      <c r="BQ315">
        <v>0</v>
      </c>
      <c r="BR315">
        <v>0</v>
      </c>
    </row>
    <row r="316" spans="1:70" ht="15" customHeight="1" x14ac:dyDescent="0.35">
      <c r="A316" s="1" t="str">
        <f t="shared" si="10"/>
        <v>Z4WD</v>
      </c>
      <c r="B316" t="s">
        <v>1656</v>
      </c>
      <c r="C316" t="s">
        <v>1657</v>
      </c>
      <c r="D316" t="s">
        <v>1658</v>
      </c>
      <c r="E316" t="s">
        <v>1659</v>
      </c>
      <c r="F316" t="s">
        <v>501</v>
      </c>
      <c r="G316" t="s">
        <v>502</v>
      </c>
      <c r="H316" t="s">
        <v>502</v>
      </c>
      <c r="I316" t="s">
        <v>148</v>
      </c>
      <c r="J316" t="b">
        <v>0</v>
      </c>
      <c r="K316" t="s">
        <v>154</v>
      </c>
      <c r="L316" t="s">
        <v>214</v>
      </c>
      <c r="N316" t="s">
        <v>81</v>
      </c>
      <c r="O316" t="s">
        <v>82</v>
      </c>
      <c r="P316" t="s">
        <v>83</v>
      </c>
      <c r="Q316" t="s">
        <v>549</v>
      </c>
      <c r="R316">
        <v>24</v>
      </c>
      <c r="S316" t="s">
        <v>85</v>
      </c>
      <c r="T316" t="s">
        <v>179</v>
      </c>
      <c r="U316">
        <v>1111111</v>
      </c>
      <c r="V316" t="s">
        <v>122</v>
      </c>
      <c r="W316" t="s">
        <v>550</v>
      </c>
      <c r="X316" t="s">
        <v>551</v>
      </c>
      <c r="Y316" t="s">
        <v>89</v>
      </c>
      <c r="Z316" t="s">
        <v>90</v>
      </c>
      <c r="AA316" t="s">
        <v>506</v>
      </c>
      <c r="AB316">
        <v>1</v>
      </c>
      <c r="AC316">
        <v>6</v>
      </c>
      <c r="AD316" t="b">
        <v>1</v>
      </c>
      <c r="AE316">
        <v>2024</v>
      </c>
      <c r="AF316" s="3">
        <v>367</v>
      </c>
      <c r="AG316" s="3">
        <v>45440</v>
      </c>
      <c r="AH316" s="3">
        <v>46537</v>
      </c>
      <c r="AJ316" s="4"/>
      <c r="AK316" s="4"/>
      <c r="AL316" s="3">
        <v>367</v>
      </c>
      <c r="AM316" s="3">
        <v>367</v>
      </c>
      <c r="AN316">
        <v>-8.6733493999999993</v>
      </c>
      <c r="AO316">
        <v>115.2406204</v>
      </c>
      <c r="AP316" t="s">
        <v>1660</v>
      </c>
      <c r="AT316">
        <v>99.2</v>
      </c>
      <c r="AW316">
        <v>0</v>
      </c>
      <c r="AX316">
        <v>0</v>
      </c>
      <c r="BA316">
        <v>0</v>
      </c>
      <c r="BB316">
        <v>0</v>
      </c>
      <c r="BE316">
        <v>0</v>
      </c>
      <c r="BF316">
        <v>0</v>
      </c>
      <c r="BJ316">
        <v>0</v>
      </c>
      <c r="BL316">
        <v>0</v>
      </c>
      <c r="BN316">
        <v>0</v>
      </c>
      <c r="BO316" s="6">
        <v>0</v>
      </c>
      <c r="BP316">
        <v>0</v>
      </c>
      <c r="BQ316">
        <v>0</v>
      </c>
      <c r="BR316">
        <v>0</v>
      </c>
    </row>
    <row r="317" spans="1:70" ht="15" customHeight="1" x14ac:dyDescent="0.35">
      <c r="A317" s="1" t="str">
        <f t="shared" si="10"/>
        <v>Z841</v>
      </c>
      <c r="B317" t="s">
        <v>1661</v>
      </c>
      <c r="C317" t="s">
        <v>1662</v>
      </c>
      <c r="D317" t="s">
        <v>1663</v>
      </c>
      <c r="E317" t="s">
        <v>1664</v>
      </c>
      <c r="F317" t="s">
        <v>501</v>
      </c>
      <c r="G317" t="s">
        <v>502</v>
      </c>
      <c r="H317" t="s">
        <v>502</v>
      </c>
      <c r="I317" t="s">
        <v>148</v>
      </c>
      <c r="J317" t="b">
        <v>0</v>
      </c>
      <c r="K317" t="s">
        <v>154</v>
      </c>
      <c r="L317" t="s">
        <v>214</v>
      </c>
      <c r="N317" t="s">
        <v>81</v>
      </c>
      <c r="O317" t="s">
        <v>82</v>
      </c>
      <c r="P317" t="s">
        <v>83</v>
      </c>
      <c r="Q317" t="s">
        <v>549</v>
      </c>
      <c r="R317">
        <v>24</v>
      </c>
      <c r="S317" t="s">
        <v>85</v>
      </c>
      <c r="T317" t="s">
        <v>179</v>
      </c>
      <c r="U317">
        <v>1111111</v>
      </c>
      <c r="V317" t="s">
        <v>122</v>
      </c>
      <c r="W317" t="s">
        <v>529</v>
      </c>
      <c r="X317" t="s">
        <v>530</v>
      </c>
      <c r="Y317" t="s">
        <v>89</v>
      </c>
      <c r="Z317" t="s">
        <v>90</v>
      </c>
      <c r="AA317" t="s">
        <v>506</v>
      </c>
      <c r="AB317">
        <v>1</v>
      </c>
      <c r="AC317">
        <v>6</v>
      </c>
      <c r="AD317" t="b">
        <v>1</v>
      </c>
      <c r="AE317">
        <v>2024</v>
      </c>
      <c r="AF317" s="3">
        <v>367</v>
      </c>
      <c r="AG317" s="3">
        <v>45441</v>
      </c>
      <c r="AH317" s="3">
        <v>46537</v>
      </c>
      <c r="AJ317" s="4"/>
      <c r="AK317" s="4"/>
      <c r="AL317" s="3">
        <v>367</v>
      </c>
      <c r="AM317" s="3">
        <v>367</v>
      </c>
      <c r="AN317">
        <v>-8.6651383000000006</v>
      </c>
      <c r="AO317">
        <v>115.21498</v>
      </c>
      <c r="AP317" t="s">
        <v>1665</v>
      </c>
      <c r="AT317">
        <v>99.2</v>
      </c>
      <c r="AW317">
        <v>0</v>
      </c>
      <c r="AX317">
        <v>0</v>
      </c>
      <c r="BA317">
        <v>0</v>
      </c>
      <c r="BB317">
        <v>0</v>
      </c>
      <c r="BE317">
        <v>0</v>
      </c>
      <c r="BF317">
        <v>0</v>
      </c>
      <c r="BJ317">
        <v>0</v>
      </c>
      <c r="BL317">
        <v>0</v>
      </c>
      <c r="BN317">
        <v>0</v>
      </c>
      <c r="BO317" s="6">
        <v>0</v>
      </c>
      <c r="BP317">
        <v>0</v>
      </c>
      <c r="BQ317">
        <v>0</v>
      </c>
      <c r="BR317">
        <v>0</v>
      </c>
    </row>
    <row r="318" spans="1:70" ht="15" customHeight="1" x14ac:dyDescent="0.35">
      <c r="A318" s="1" t="str">
        <f t="shared" si="10"/>
        <v>Z840</v>
      </c>
      <c r="B318" t="s">
        <v>1666</v>
      </c>
      <c r="C318" t="s">
        <v>1667</v>
      </c>
      <c r="D318" t="s">
        <v>1668</v>
      </c>
      <c r="E318" t="s">
        <v>1664</v>
      </c>
      <c r="F318" t="s">
        <v>501</v>
      </c>
      <c r="G318" t="s">
        <v>502</v>
      </c>
      <c r="H318" t="s">
        <v>502</v>
      </c>
      <c r="I318" t="s">
        <v>148</v>
      </c>
      <c r="J318" t="b">
        <v>0</v>
      </c>
      <c r="K318" t="s">
        <v>154</v>
      </c>
      <c r="L318" t="s">
        <v>214</v>
      </c>
      <c r="N318" t="s">
        <v>81</v>
      </c>
      <c r="O318" t="s">
        <v>82</v>
      </c>
      <c r="P318" t="s">
        <v>83</v>
      </c>
      <c r="Q318" t="s">
        <v>549</v>
      </c>
      <c r="R318">
        <v>24</v>
      </c>
      <c r="S318" t="s">
        <v>85</v>
      </c>
      <c r="T318" t="s">
        <v>179</v>
      </c>
      <c r="U318">
        <v>1111111</v>
      </c>
      <c r="V318" t="s">
        <v>122</v>
      </c>
      <c r="W318" t="s">
        <v>529</v>
      </c>
      <c r="X318" t="s">
        <v>530</v>
      </c>
      <c r="Y318" t="s">
        <v>89</v>
      </c>
      <c r="Z318" t="s">
        <v>90</v>
      </c>
      <c r="AA318" t="s">
        <v>506</v>
      </c>
      <c r="AB318">
        <v>1</v>
      </c>
      <c r="AC318">
        <v>6</v>
      </c>
      <c r="AD318" t="b">
        <v>1</v>
      </c>
      <c r="AE318">
        <v>2024</v>
      </c>
      <c r="AF318" s="3">
        <v>367</v>
      </c>
      <c r="AG318" s="3">
        <v>45441</v>
      </c>
      <c r="AH318" s="3">
        <v>46537</v>
      </c>
      <c r="AJ318" s="4"/>
      <c r="AK318" s="4"/>
      <c r="AL318" s="3">
        <v>367</v>
      </c>
      <c r="AM318" s="3">
        <v>367</v>
      </c>
      <c r="AN318">
        <v>-8.6651799</v>
      </c>
      <c r="AO318">
        <v>115.21495160000001</v>
      </c>
      <c r="AP318" t="s">
        <v>1665</v>
      </c>
      <c r="AT318">
        <v>99.2</v>
      </c>
      <c r="AW318">
        <v>0</v>
      </c>
      <c r="AX318">
        <v>0</v>
      </c>
      <c r="BA318">
        <v>0</v>
      </c>
      <c r="BB318">
        <v>0</v>
      </c>
      <c r="BE318">
        <v>0</v>
      </c>
      <c r="BF318">
        <v>0</v>
      </c>
      <c r="BJ318">
        <v>0</v>
      </c>
      <c r="BL318">
        <v>0</v>
      </c>
      <c r="BN318">
        <v>0</v>
      </c>
      <c r="BO318" s="6">
        <v>0</v>
      </c>
      <c r="BP318">
        <v>0</v>
      </c>
      <c r="BQ318">
        <v>0</v>
      </c>
      <c r="BR318">
        <v>0</v>
      </c>
    </row>
    <row r="319" spans="1:70" ht="15" customHeight="1" x14ac:dyDescent="0.35">
      <c r="A319" s="1" t="str">
        <f t="shared" si="10"/>
        <v>Z08R</v>
      </c>
      <c r="B319" t="s">
        <v>1669</v>
      </c>
      <c r="C319" t="s">
        <v>1670</v>
      </c>
      <c r="D319" t="s">
        <v>1671</v>
      </c>
      <c r="E319" t="s">
        <v>1672</v>
      </c>
      <c r="F319" t="s">
        <v>501</v>
      </c>
      <c r="G319" t="s">
        <v>502</v>
      </c>
      <c r="H319" t="s">
        <v>502</v>
      </c>
      <c r="I319" t="s">
        <v>584</v>
      </c>
      <c r="J319" t="b">
        <v>0</v>
      </c>
      <c r="K319" t="s">
        <v>154</v>
      </c>
      <c r="L319" t="s">
        <v>214</v>
      </c>
      <c r="N319" t="s">
        <v>81</v>
      </c>
      <c r="O319" t="s">
        <v>82</v>
      </c>
      <c r="P319" t="s">
        <v>83</v>
      </c>
      <c r="Q319" t="s">
        <v>503</v>
      </c>
      <c r="R319">
        <v>24</v>
      </c>
      <c r="S319" t="s">
        <v>85</v>
      </c>
      <c r="T319" t="s">
        <v>179</v>
      </c>
      <c r="U319">
        <v>1111111</v>
      </c>
      <c r="V319" t="s">
        <v>122</v>
      </c>
      <c r="W319" t="s">
        <v>694</v>
      </c>
      <c r="X319" t="s">
        <v>695</v>
      </c>
      <c r="Y319" t="s">
        <v>89</v>
      </c>
      <c r="Z319" t="s">
        <v>90</v>
      </c>
      <c r="AA319" t="s">
        <v>506</v>
      </c>
      <c r="AB319">
        <v>1</v>
      </c>
      <c r="AC319">
        <v>6</v>
      </c>
      <c r="AD319" t="b">
        <v>1</v>
      </c>
      <c r="AE319">
        <v>2024</v>
      </c>
      <c r="AF319" s="3">
        <v>367</v>
      </c>
      <c r="AG319" s="3">
        <v>45441</v>
      </c>
      <c r="AH319" s="3">
        <v>46537</v>
      </c>
      <c r="AJ319" s="4"/>
      <c r="AK319" s="4"/>
      <c r="AL319" s="3">
        <v>367</v>
      </c>
      <c r="AM319" s="3">
        <v>367</v>
      </c>
      <c r="AN319">
        <v>-8.6584517000000005</v>
      </c>
      <c r="AO319">
        <v>115.21285690000001</v>
      </c>
      <c r="AP319" t="s">
        <v>1672</v>
      </c>
      <c r="AT319">
        <v>99.2</v>
      </c>
      <c r="AW319">
        <v>0</v>
      </c>
      <c r="AX319">
        <v>0</v>
      </c>
      <c r="BA319">
        <v>0</v>
      </c>
      <c r="BB319">
        <v>0</v>
      </c>
      <c r="BE319">
        <v>0</v>
      </c>
      <c r="BF319">
        <v>0</v>
      </c>
      <c r="BJ319">
        <v>0</v>
      </c>
      <c r="BL319">
        <v>0</v>
      </c>
      <c r="BN319">
        <v>0</v>
      </c>
      <c r="BO319" s="6">
        <v>0</v>
      </c>
      <c r="BP319">
        <v>0</v>
      </c>
      <c r="BQ319">
        <v>0</v>
      </c>
      <c r="BR319">
        <v>0</v>
      </c>
    </row>
    <row r="320" spans="1:70" ht="15" customHeight="1" x14ac:dyDescent="0.35">
      <c r="A320" s="1" t="str">
        <f t="shared" si="10"/>
        <v>Z08Q</v>
      </c>
      <c r="B320" t="s">
        <v>1673</v>
      </c>
      <c r="C320" t="s">
        <v>1674</v>
      </c>
      <c r="D320" t="s">
        <v>1675</v>
      </c>
      <c r="E320" t="s">
        <v>1672</v>
      </c>
      <c r="F320" t="s">
        <v>501</v>
      </c>
      <c r="G320" t="s">
        <v>502</v>
      </c>
      <c r="H320" t="s">
        <v>502</v>
      </c>
      <c r="I320" t="s">
        <v>584</v>
      </c>
      <c r="J320" t="b">
        <v>0</v>
      </c>
      <c r="K320" t="s">
        <v>154</v>
      </c>
      <c r="L320" t="s">
        <v>214</v>
      </c>
      <c r="N320" t="s">
        <v>81</v>
      </c>
      <c r="O320" t="s">
        <v>82</v>
      </c>
      <c r="P320" t="s">
        <v>83</v>
      </c>
      <c r="Q320" t="s">
        <v>503</v>
      </c>
      <c r="R320">
        <v>24</v>
      </c>
      <c r="S320" t="s">
        <v>85</v>
      </c>
      <c r="T320" t="s">
        <v>179</v>
      </c>
      <c r="U320">
        <v>1111111</v>
      </c>
      <c r="V320" t="s">
        <v>122</v>
      </c>
      <c r="W320" t="s">
        <v>694</v>
      </c>
      <c r="X320" t="s">
        <v>695</v>
      </c>
      <c r="Y320" t="s">
        <v>89</v>
      </c>
      <c r="Z320" t="s">
        <v>90</v>
      </c>
      <c r="AA320" t="s">
        <v>506</v>
      </c>
      <c r="AB320">
        <v>1</v>
      </c>
      <c r="AC320">
        <v>6</v>
      </c>
      <c r="AD320" t="b">
        <v>1</v>
      </c>
      <c r="AE320">
        <v>2024</v>
      </c>
      <c r="AF320" s="3">
        <v>367</v>
      </c>
      <c r="AG320" s="3">
        <v>45441</v>
      </c>
      <c r="AH320" s="3">
        <v>46537</v>
      </c>
      <c r="AJ320" s="4"/>
      <c r="AK320" s="4"/>
      <c r="AL320" s="3">
        <v>367</v>
      </c>
      <c r="AM320" s="3">
        <v>367</v>
      </c>
      <c r="AN320">
        <v>-8.6584299999999992</v>
      </c>
      <c r="AO320">
        <v>115.2128417</v>
      </c>
      <c r="AP320" t="s">
        <v>1672</v>
      </c>
      <c r="AT320">
        <v>99.2</v>
      </c>
      <c r="AW320">
        <v>0</v>
      </c>
      <c r="AX320">
        <v>0</v>
      </c>
      <c r="BA320">
        <v>0</v>
      </c>
      <c r="BB320">
        <v>0</v>
      </c>
      <c r="BE320">
        <v>0</v>
      </c>
      <c r="BF320">
        <v>0</v>
      </c>
      <c r="BJ320">
        <v>0</v>
      </c>
      <c r="BL320">
        <v>0</v>
      </c>
      <c r="BN320">
        <v>0</v>
      </c>
      <c r="BO320" s="6">
        <v>0</v>
      </c>
      <c r="BP320">
        <v>0</v>
      </c>
      <c r="BQ320">
        <v>0</v>
      </c>
      <c r="BR320">
        <v>0</v>
      </c>
    </row>
    <row r="321" spans="1:70" ht="15" customHeight="1" x14ac:dyDescent="0.35">
      <c r="A321" s="1" t="str">
        <f t="shared" si="10"/>
        <v>Z08P</v>
      </c>
      <c r="B321" t="s">
        <v>1676</v>
      </c>
      <c r="C321" t="s">
        <v>1677</v>
      </c>
      <c r="D321" t="s">
        <v>1678</v>
      </c>
      <c r="E321" t="s">
        <v>1679</v>
      </c>
      <c r="F321" t="s">
        <v>501</v>
      </c>
      <c r="G321" t="s">
        <v>502</v>
      </c>
      <c r="H321" t="s">
        <v>502</v>
      </c>
      <c r="I321" t="s">
        <v>584</v>
      </c>
      <c r="J321" t="b">
        <v>0</v>
      </c>
      <c r="K321" t="s">
        <v>154</v>
      </c>
      <c r="L321" t="s">
        <v>214</v>
      </c>
      <c r="N321" t="s">
        <v>81</v>
      </c>
      <c r="O321" t="s">
        <v>82</v>
      </c>
      <c r="P321" t="s">
        <v>83</v>
      </c>
      <c r="Q321" t="s">
        <v>503</v>
      </c>
      <c r="R321">
        <v>24</v>
      </c>
      <c r="S321" t="s">
        <v>85</v>
      </c>
      <c r="T321" t="s">
        <v>179</v>
      </c>
      <c r="U321">
        <v>1111111</v>
      </c>
      <c r="V321" t="s">
        <v>122</v>
      </c>
      <c r="W321" t="s">
        <v>694</v>
      </c>
      <c r="X321" t="s">
        <v>695</v>
      </c>
      <c r="Y321" t="s">
        <v>89</v>
      </c>
      <c r="Z321" t="s">
        <v>90</v>
      </c>
      <c r="AA321" t="s">
        <v>506</v>
      </c>
      <c r="AB321">
        <v>1</v>
      </c>
      <c r="AC321">
        <v>6</v>
      </c>
      <c r="AD321" t="b">
        <v>1</v>
      </c>
      <c r="AE321">
        <v>2024</v>
      </c>
      <c r="AF321" s="3">
        <v>367</v>
      </c>
      <c r="AG321" s="3">
        <v>45441</v>
      </c>
      <c r="AH321" s="3">
        <v>46537</v>
      </c>
      <c r="AJ321" s="4"/>
      <c r="AK321" s="4"/>
      <c r="AL321" s="3">
        <v>367</v>
      </c>
      <c r="AM321" s="3">
        <v>367</v>
      </c>
      <c r="AN321">
        <v>-8.6587797000000002</v>
      </c>
      <c r="AO321">
        <v>115.2127622</v>
      </c>
      <c r="AP321" t="s">
        <v>1679</v>
      </c>
      <c r="AT321">
        <v>99.2</v>
      </c>
      <c r="AW321">
        <v>0</v>
      </c>
      <c r="AX321">
        <v>0</v>
      </c>
      <c r="BA321">
        <v>0</v>
      </c>
      <c r="BB321">
        <v>0</v>
      </c>
      <c r="BE321">
        <v>0</v>
      </c>
      <c r="BF321">
        <v>0</v>
      </c>
      <c r="BJ321">
        <v>0</v>
      </c>
      <c r="BL321">
        <v>0</v>
      </c>
      <c r="BN321">
        <v>0</v>
      </c>
      <c r="BO321" s="6">
        <v>0</v>
      </c>
      <c r="BP321">
        <v>0</v>
      </c>
      <c r="BQ321">
        <v>0</v>
      </c>
      <c r="BR321">
        <v>0</v>
      </c>
    </row>
    <row r="322" spans="1:70" ht="15" customHeight="1" x14ac:dyDescent="0.35">
      <c r="A322" s="1" t="str">
        <f t="shared" si="10"/>
        <v>Z08N</v>
      </c>
      <c r="B322" t="s">
        <v>1680</v>
      </c>
      <c r="C322" t="s">
        <v>1681</v>
      </c>
      <c r="D322" t="s">
        <v>1682</v>
      </c>
      <c r="E322" t="s">
        <v>1683</v>
      </c>
      <c r="F322" t="s">
        <v>501</v>
      </c>
      <c r="G322" t="s">
        <v>502</v>
      </c>
      <c r="H322" t="s">
        <v>502</v>
      </c>
      <c r="I322" t="s">
        <v>584</v>
      </c>
      <c r="J322" t="b">
        <v>0</v>
      </c>
      <c r="K322" t="s">
        <v>154</v>
      </c>
      <c r="L322" t="s">
        <v>214</v>
      </c>
      <c r="N322" t="s">
        <v>81</v>
      </c>
      <c r="O322" t="s">
        <v>82</v>
      </c>
      <c r="P322" t="s">
        <v>83</v>
      </c>
      <c r="Q322" t="s">
        <v>503</v>
      </c>
      <c r="R322">
        <v>24</v>
      </c>
      <c r="S322" t="s">
        <v>85</v>
      </c>
      <c r="T322" t="s">
        <v>179</v>
      </c>
      <c r="U322">
        <v>1111111</v>
      </c>
      <c r="V322" t="s">
        <v>122</v>
      </c>
      <c r="W322" t="s">
        <v>694</v>
      </c>
      <c r="X322" t="s">
        <v>695</v>
      </c>
      <c r="Y322" t="s">
        <v>89</v>
      </c>
      <c r="Z322" t="s">
        <v>90</v>
      </c>
      <c r="AA322" t="s">
        <v>506</v>
      </c>
      <c r="AB322">
        <v>1</v>
      </c>
      <c r="AC322">
        <v>6</v>
      </c>
      <c r="AD322" t="b">
        <v>1</v>
      </c>
      <c r="AE322">
        <v>2024</v>
      </c>
      <c r="AF322" s="3">
        <v>367</v>
      </c>
      <c r="AG322" s="3">
        <v>45441</v>
      </c>
      <c r="AH322" s="3">
        <v>46537</v>
      </c>
      <c r="AJ322" s="4"/>
      <c r="AK322" s="4"/>
      <c r="AL322" s="3">
        <v>367</v>
      </c>
      <c r="AM322" s="3">
        <v>367</v>
      </c>
      <c r="AN322">
        <v>-8.6584176999999993</v>
      </c>
      <c r="AO322">
        <v>115.2127627</v>
      </c>
      <c r="AP322" t="s">
        <v>1683</v>
      </c>
      <c r="AT322">
        <v>99.2</v>
      </c>
      <c r="AW322">
        <v>0</v>
      </c>
      <c r="AX322">
        <v>0</v>
      </c>
      <c r="BA322">
        <v>0</v>
      </c>
      <c r="BB322">
        <v>0</v>
      </c>
      <c r="BE322">
        <v>0</v>
      </c>
      <c r="BF322">
        <v>0</v>
      </c>
      <c r="BJ322">
        <v>0</v>
      </c>
      <c r="BL322">
        <v>0</v>
      </c>
      <c r="BN322">
        <v>0</v>
      </c>
      <c r="BO322" s="6">
        <v>0</v>
      </c>
      <c r="BP322">
        <v>0</v>
      </c>
      <c r="BQ322">
        <v>0</v>
      </c>
      <c r="BR322">
        <v>0</v>
      </c>
    </row>
    <row r="323" spans="1:70" ht="15" customHeight="1" x14ac:dyDescent="0.35">
      <c r="A323" s="1" t="str">
        <f t="shared" ref="A323:A386" si="14">LEFT(B323,LEN(B323)-3)</f>
        <v>Z09K</v>
      </c>
      <c r="B323" t="s">
        <v>1684</v>
      </c>
      <c r="C323" t="s">
        <v>1685</v>
      </c>
      <c r="D323" t="s">
        <v>1686</v>
      </c>
      <c r="E323" t="s">
        <v>1687</v>
      </c>
      <c r="F323" t="s">
        <v>501</v>
      </c>
      <c r="G323" t="s">
        <v>502</v>
      </c>
      <c r="H323" t="s">
        <v>502</v>
      </c>
      <c r="I323" t="s">
        <v>584</v>
      </c>
      <c r="J323" t="b">
        <v>0</v>
      </c>
      <c r="K323" t="s">
        <v>154</v>
      </c>
      <c r="L323" t="s">
        <v>214</v>
      </c>
      <c r="N323" t="s">
        <v>81</v>
      </c>
      <c r="O323" t="s">
        <v>82</v>
      </c>
      <c r="P323" t="s">
        <v>83</v>
      </c>
      <c r="Q323" t="s">
        <v>549</v>
      </c>
      <c r="R323">
        <v>24</v>
      </c>
      <c r="S323" t="s">
        <v>85</v>
      </c>
      <c r="T323" t="s">
        <v>179</v>
      </c>
      <c r="U323">
        <v>1111111</v>
      </c>
      <c r="V323" t="s">
        <v>122</v>
      </c>
      <c r="W323" t="s">
        <v>571</v>
      </c>
      <c r="X323" t="s">
        <v>572</v>
      </c>
      <c r="Y323" t="s">
        <v>89</v>
      </c>
      <c r="Z323" t="s">
        <v>90</v>
      </c>
      <c r="AA323" t="s">
        <v>506</v>
      </c>
      <c r="AB323">
        <v>1</v>
      </c>
      <c r="AC323">
        <v>6</v>
      </c>
      <c r="AD323" t="b">
        <v>1</v>
      </c>
      <c r="AE323">
        <v>2024</v>
      </c>
      <c r="AF323" s="3">
        <v>367</v>
      </c>
      <c r="AG323" s="3">
        <v>45442</v>
      </c>
      <c r="AH323" s="3">
        <v>46537</v>
      </c>
      <c r="AJ323" s="4">
        <f>VLOOKUP(A323,'[1]1'!B:Q,16,0)</f>
        <v>1440</v>
      </c>
      <c r="AK323" s="7">
        <f>AJ323/250</f>
        <v>5.76</v>
      </c>
      <c r="AL323" s="3">
        <v>367</v>
      </c>
      <c r="AM323" s="3">
        <v>367</v>
      </c>
      <c r="AN323">
        <v>-8.6736363000000001</v>
      </c>
      <c r="AO323">
        <v>115.207899</v>
      </c>
      <c r="AP323" t="s">
        <v>1687</v>
      </c>
      <c r="AT323">
        <v>99.2</v>
      </c>
      <c r="AW323">
        <v>0</v>
      </c>
      <c r="AX323">
        <v>0</v>
      </c>
      <c r="BA323">
        <v>0</v>
      </c>
      <c r="BB323">
        <v>0</v>
      </c>
      <c r="BE323">
        <v>0</v>
      </c>
      <c r="BF323">
        <v>0</v>
      </c>
      <c r="BJ323">
        <v>0</v>
      </c>
      <c r="BL323">
        <v>0</v>
      </c>
      <c r="BN323">
        <v>0</v>
      </c>
      <c r="BO323" s="6">
        <v>0</v>
      </c>
      <c r="BP323">
        <v>0</v>
      </c>
      <c r="BQ323">
        <v>0</v>
      </c>
      <c r="BR323">
        <v>0</v>
      </c>
    </row>
    <row r="324" spans="1:70" ht="15" customHeight="1" x14ac:dyDescent="0.35">
      <c r="A324" s="1" t="str">
        <f t="shared" si="14"/>
        <v>Z09A</v>
      </c>
      <c r="B324" t="s">
        <v>1688</v>
      </c>
      <c r="C324" t="s">
        <v>1689</v>
      </c>
      <c r="D324" t="s">
        <v>1690</v>
      </c>
      <c r="E324" t="s">
        <v>1691</v>
      </c>
      <c r="F324" t="s">
        <v>501</v>
      </c>
      <c r="G324" t="s">
        <v>502</v>
      </c>
      <c r="H324" t="s">
        <v>502</v>
      </c>
      <c r="I324" t="s">
        <v>148</v>
      </c>
      <c r="J324" t="b">
        <v>0</v>
      </c>
      <c r="K324" t="s">
        <v>154</v>
      </c>
      <c r="L324" t="s">
        <v>214</v>
      </c>
      <c r="N324" t="s">
        <v>81</v>
      </c>
      <c r="O324" t="s">
        <v>82</v>
      </c>
      <c r="P324" t="s">
        <v>83</v>
      </c>
      <c r="Q324" t="s">
        <v>549</v>
      </c>
      <c r="R324">
        <v>24</v>
      </c>
      <c r="S324" t="s">
        <v>85</v>
      </c>
      <c r="T324" t="s">
        <v>179</v>
      </c>
      <c r="U324">
        <v>1111111</v>
      </c>
      <c r="V324" t="s">
        <v>122</v>
      </c>
      <c r="W324" t="s">
        <v>694</v>
      </c>
      <c r="X324" t="s">
        <v>695</v>
      </c>
      <c r="Y324" t="s">
        <v>89</v>
      </c>
      <c r="Z324" t="s">
        <v>90</v>
      </c>
      <c r="AA324" t="s">
        <v>506</v>
      </c>
      <c r="AB324">
        <v>1</v>
      </c>
      <c r="AC324">
        <v>6</v>
      </c>
      <c r="AD324" t="b">
        <v>1</v>
      </c>
      <c r="AE324">
        <v>2024</v>
      </c>
      <c r="AF324" s="3">
        <v>367</v>
      </c>
      <c r="AG324" s="3">
        <v>45442</v>
      </c>
      <c r="AH324" s="3">
        <v>46537</v>
      </c>
      <c r="AJ324" s="4"/>
      <c r="AK324" s="4"/>
      <c r="AL324" s="3">
        <v>367</v>
      </c>
      <c r="AM324" s="3">
        <v>367</v>
      </c>
      <c r="AN324">
        <v>-8.6756626000000008</v>
      </c>
      <c r="AO324">
        <v>115.2179455</v>
      </c>
      <c r="AP324" t="s">
        <v>1692</v>
      </c>
      <c r="AT324">
        <v>99.2</v>
      </c>
      <c r="AW324">
        <v>0</v>
      </c>
      <c r="AX324">
        <v>0</v>
      </c>
      <c r="BA324">
        <v>0</v>
      </c>
      <c r="BB324">
        <v>0</v>
      </c>
      <c r="BE324">
        <v>0</v>
      </c>
      <c r="BF324">
        <v>0</v>
      </c>
      <c r="BJ324">
        <v>0</v>
      </c>
      <c r="BL324">
        <v>0</v>
      </c>
      <c r="BN324">
        <v>0</v>
      </c>
      <c r="BO324" s="6">
        <v>0</v>
      </c>
      <c r="BP324">
        <v>0</v>
      </c>
      <c r="BQ324">
        <v>0</v>
      </c>
      <c r="BR324">
        <v>0</v>
      </c>
    </row>
    <row r="325" spans="1:70" ht="15" customHeight="1" x14ac:dyDescent="0.35">
      <c r="A325" s="1" t="str">
        <f t="shared" si="14"/>
        <v>Z08Z</v>
      </c>
      <c r="B325" t="s">
        <v>1693</v>
      </c>
      <c r="C325" t="s">
        <v>1694</v>
      </c>
      <c r="D325" t="s">
        <v>1695</v>
      </c>
      <c r="E325" t="s">
        <v>1691</v>
      </c>
      <c r="F325" t="s">
        <v>501</v>
      </c>
      <c r="G325" t="s">
        <v>502</v>
      </c>
      <c r="H325" t="s">
        <v>502</v>
      </c>
      <c r="I325" t="s">
        <v>148</v>
      </c>
      <c r="J325" t="b">
        <v>0</v>
      </c>
      <c r="K325" t="s">
        <v>154</v>
      </c>
      <c r="L325" t="s">
        <v>214</v>
      </c>
      <c r="N325" t="s">
        <v>81</v>
      </c>
      <c r="O325" t="s">
        <v>82</v>
      </c>
      <c r="P325" t="s">
        <v>83</v>
      </c>
      <c r="Q325" t="s">
        <v>549</v>
      </c>
      <c r="R325">
        <v>24</v>
      </c>
      <c r="S325" t="s">
        <v>85</v>
      </c>
      <c r="T325" t="s">
        <v>179</v>
      </c>
      <c r="U325">
        <v>1111111</v>
      </c>
      <c r="V325" t="s">
        <v>122</v>
      </c>
      <c r="W325" t="s">
        <v>694</v>
      </c>
      <c r="X325" t="s">
        <v>695</v>
      </c>
      <c r="Y325" t="s">
        <v>89</v>
      </c>
      <c r="Z325" t="s">
        <v>90</v>
      </c>
      <c r="AA325" t="s">
        <v>506</v>
      </c>
      <c r="AB325">
        <v>1</v>
      </c>
      <c r="AC325">
        <v>6</v>
      </c>
      <c r="AD325" t="b">
        <v>1</v>
      </c>
      <c r="AE325">
        <v>2024</v>
      </c>
      <c r="AF325" s="3">
        <v>367</v>
      </c>
      <c r="AG325" s="3">
        <v>45442</v>
      </c>
      <c r="AH325" s="3">
        <v>46537</v>
      </c>
      <c r="AJ325" s="4"/>
      <c r="AK325" s="4"/>
      <c r="AL325" s="3">
        <v>367</v>
      </c>
      <c r="AM325" s="3">
        <v>367</v>
      </c>
      <c r="AN325">
        <v>-8.6756782999999995</v>
      </c>
      <c r="AO325">
        <v>115.21789</v>
      </c>
      <c r="AP325" t="s">
        <v>1692</v>
      </c>
      <c r="AT325">
        <v>99.2</v>
      </c>
      <c r="AW325">
        <v>0</v>
      </c>
      <c r="AX325">
        <v>0</v>
      </c>
      <c r="BA325">
        <v>0</v>
      </c>
      <c r="BB325">
        <v>0</v>
      </c>
      <c r="BE325">
        <v>0</v>
      </c>
      <c r="BF325">
        <v>0</v>
      </c>
      <c r="BJ325">
        <v>0</v>
      </c>
      <c r="BL325">
        <v>0</v>
      </c>
      <c r="BN325">
        <v>0</v>
      </c>
      <c r="BO325" s="6">
        <v>0</v>
      </c>
      <c r="BP325">
        <v>0</v>
      </c>
      <c r="BQ325">
        <v>0</v>
      </c>
      <c r="BR325">
        <v>0</v>
      </c>
    </row>
    <row r="326" spans="1:70" ht="15" customHeight="1" x14ac:dyDescent="0.35">
      <c r="A326" s="1" t="str">
        <f t="shared" si="14"/>
        <v>Z08X</v>
      </c>
      <c r="B326" t="s">
        <v>1696</v>
      </c>
      <c r="C326" t="s">
        <v>1697</v>
      </c>
      <c r="D326" t="s">
        <v>1698</v>
      </c>
      <c r="E326" t="s">
        <v>1691</v>
      </c>
      <c r="F326" t="s">
        <v>501</v>
      </c>
      <c r="G326" t="s">
        <v>502</v>
      </c>
      <c r="H326" t="s">
        <v>502</v>
      </c>
      <c r="I326" t="s">
        <v>148</v>
      </c>
      <c r="J326" t="b">
        <v>0</v>
      </c>
      <c r="K326" t="s">
        <v>154</v>
      </c>
      <c r="L326" t="s">
        <v>214</v>
      </c>
      <c r="N326" t="s">
        <v>81</v>
      </c>
      <c r="O326" t="s">
        <v>82</v>
      </c>
      <c r="P326" t="s">
        <v>83</v>
      </c>
      <c r="Q326" t="s">
        <v>549</v>
      </c>
      <c r="R326">
        <v>24</v>
      </c>
      <c r="S326" t="s">
        <v>85</v>
      </c>
      <c r="T326" t="s">
        <v>179</v>
      </c>
      <c r="U326">
        <v>1111111</v>
      </c>
      <c r="V326" t="s">
        <v>122</v>
      </c>
      <c r="W326" t="s">
        <v>694</v>
      </c>
      <c r="X326" t="s">
        <v>695</v>
      </c>
      <c r="Y326" t="s">
        <v>89</v>
      </c>
      <c r="Z326" t="s">
        <v>90</v>
      </c>
      <c r="AA326" t="s">
        <v>506</v>
      </c>
      <c r="AB326">
        <v>1</v>
      </c>
      <c r="AC326">
        <v>6</v>
      </c>
      <c r="AD326" t="b">
        <v>1</v>
      </c>
      <c r="AE326">
        <v>2024</v>
      </c>
      <c r="AF326" s="3">
        <v>367</v>
      </c>
      <c r="AG326" s="3">
        <v>45442</v>
      </c>
      <c r="AH326" s="3">
        <v>46537</v>
      </c>
      <c r="AJ326" s="4">
        <f>VLOOKUP(A326,'[1]1'!B:Q,16,0)</f>
        <v>1440</v>
      </c>
      <c r="AK326" s="7">
        <f t="shared" ref="AK326:AK332" si="15">AJ326/250</f>
        <v>5.76</v>
      </c>
      <c r="AL326" s="3">
        <v>367</v>
      </c>
      <c r="AM326" s="3">
        <v>367</v>
      </c>
      <c r="AN326">
        <v>-8.6757051999999995</v>
      </c>
      <c r="AO326">
        <v>115.2179919</v>
      </c>
      <c r="AP326" t="s">
        <v>1699</v>
      </c>
      <c r="AT326">
        <v>99.2</v>
      </c>
      <c r="AW326">
        <v>0</v>
      </c>
      <c r="AX326">
        <v>0</v>
      </c>
      <c r="BA326">
        <v>0</v>
      </c>
      <c r="BB326">
        <v>0</v>
      </c>
      <c r="BE326">
        <v>0</v>
      </c>
      <c r="BF326">
        <v>0</v>
      </c>
      <c r="BJ326">
        <v>0</v>
      </c>
      <c r="BL326">
        <v>0</v>
      </c>
      <c r="BN326">
        <v>0</v>
      </c>
      <c r="BO326" s="6">
        <v>0</v>
      </c>
      <c r="BP326">
        <v>0</v>
      </c>
      <c r="BQ326">
        <v>0</v>
      </c>
      <c r="BR326">
        <v>0</v>
      </c>
    </row>
    <row r="327" spans="1:70" ht="15" customHeight="1" x14ac:dyDescent="0.35">
      <c r="A327" s="1" t="str">
        <f t="shared" si="14"/>
        <v>Z3BE</v>
      </c>
      <c r="B327" t="s">
        <v>1700</v>
      </c>
      <c r="C327" t="s">
        <v>1701</v>
      </c>
      <c r="D327" t="s">
        <v>1702</v>
      </c>
      <c r="E327" t="s">
        <v>1703</v>
      </c>
      <c r="F327" t="s">
        <v>516</v>
      </c>
      <c r="G327" t="s">
        <v>502</v>
      </c>
      <c r="H327" t="s">
        <v>502</v>
      </c>
      <c r="I327" t="s">
        <v>148</v>
      </c>
      <c r="J327" t="b">
        <v>0</v>
      </c>
      <c r="K327" t="s">
        <v>154</v>
      </c>
      <c r="L327" t="s">
        <v>214</v>
      </c>
      <c r="N327" t="s">
        <v>81</v>
      </c>
      <c r="O327" t="s">
        <v>82</v>
      </c>
      <c r="P327" t="s">
        <v>83</v>
      </c>
      <c r="Q327" t="s">
        <v>503</v>
      </c>
      <c r="R327">
        <v>13</v>
      </c>
      <c r="S327" t="s">
        <v>1704</v>
      </c>
      <c r="T327" t="s">
        <v>179</v>
      </c>
      <c r="U327">
        <v>1111111</v>
      </c>
      <c r="V327" t="s">
        <v>122</v>
      </c>
      <c r="W327" t="s">
        <v>523</v>
      </c>
      <c r="X327" t="s">
        <v>524</v>
      </c>
      <c r="Y327" t="s">
        <v>89</v>
      </c>
      <c r="Z327" t="s">
        <v>90</v>
      </c>
      <c r="AA327" t="s">
        <v>506</v>
      </c>
      <c r="AB327">
        <v>1</v>
      </c>
      <c r="AC327">
        <v>6</v>
      </c>
      <c r="AD327" t="b">
        <v>1</v>
      </c>
      <c r="AE327">
        <v>2024</v>
      </c>
      <c r="AF327" s="3">
        <v>367</v>
      </c>
      <c r="AG327" s="3">
        <v>45443</v>
      </c>
      <c r="AH327" s="3">
        <v>46537</v>
      </c>
      <c r="AJ327" s="4">
        <f>VLOOKUP(A327,'[1]1'!B:Q,16,0)</f>
        <v>780</v>
      </c>
      <c r="AK327" s="7">
        <f t="shared" si="15"/>
        <v>3.12</v>
      </c>
      <c r="AL327" s="3">
        <v>367</v>
      </c>
      <c r="AM327" s="3">
        <v>367</v>
      </c>
      <c r="AN327">
        <v>-8.7164818999999998</v>
      </c>
      <c r="AO327">
        <v>115.1692499</v>
      </c>
      <c r="AP327" t="s">
        <v>1703</v>
      </c>
      <c r="AT327">
        <v>99.2</v>
      </c>
      <c r="AW327">
        <v>0</v>
      </c>
      <c r="AX327">
        <v>0</v>
      </c>
      <c r="BA327">
        <v>0</v>
      </c>
      <c r="BB327">
        <v>0</v>
      </c>
      <c r="BE327">
        <v>0</v>
      </c>
      <c r="BF327">
        <v>0</v>
      </c>
      <c r="BJ327">
        <v>0</v>
      </c>
      <c r="BL327">
        <v>0</v>
      </c>
      <c r="BN327">
        <v>0</v>
      </c>
      <c r="BO327" s="6">
        <v>0</v>
      </c>
      <c r="BP327">
        <v>0</v>
      </c>
      <c r="BQ327">
        <v>0</v>
      </c>
      <c r="BR327">
        <v>0</v>
      </c>
    </row>
    <row r="328" spans="1:70" ht="15" customHeight="1" x14ac:dyDescent="0.35">
      <c r="A328" s="1" t="str">
        <f t="shared" si="14"/>
        <v>Z861</v>
      </c>
      <c r="B328" t="s">
        <v>1705</v>
      </c>
      <c r="C328" t="s">
        <v>1706</v>
      </c>
      <c r="D328" t="s">
        <v>1707</v>
      </c>
      <c r="E328" t="s">
        <v>1708</v>
      </c>
      <c r="F328" t="s">
        <v>516</v>
      </c>
      <c r="G328" t="s">
        <v>502</v>
      </c>
      <c r="H328" t="s">
        <v>502</v>
      </c>
      <c r="I328" t="s">
        <v>148</v>
      </c>
      <c r="J328" t="b">
        <v>0</v>
      </c>
      <c r="K328" t="s">
        <v>154</v>
      </c>
      <c r="L328" t="s">
        <v>214</v>
      </c>
      <c r="N328" t="s">
        <v>81</v>
      </c>
      <c r="O328" t="s">
        <v>82</v>
      </c>
      <c r="P328" t="s">
        <v>83</v>
      </c>
      <c r="Q328" t="s">
        <v>503</v>
      </c>
      <c r="R328">
        <v>24</v>
      </c>
      <c r="S328" t="s">
        <v>85</v>
      </c>
      <c r="T328" t="s">
        <v>179</v>
      </c>
      <c r="U328">
        <v>1111111</v>
      </c>
      <c r="V328" t="s">
        <v>122</v>
      </c>
      <c r="W328" t="s">
        <v>523</v>
      </c>
      <c r="X328" t="s">
        <v>524</v>
      </c>
      <c r="Y328" t="s">
        <v>89</v>
      </c>
      <c r="Z328" t="s">
        <v>90</v>
      </c>
      <c r="AA328" t="s">
        <v>506</v>
      </c>
      <c r="AB328">
        <v>1</v>
      </c>
      <c r="AC328">
        <v>6</v>
      </c>
      <c r="AD328" t="b">
        <v>1</v>
      </c>
      <c r="AE328">
        <v>2024</v>
      </c>
      <c r="AF328" s="3">
        <v>367</v>
      </c>
      <c r="AG328" s="3">
        <v>45443</v>
      </c>
      <c r="AH328" s="3">
        <v>46537</v>
      </c>
      <c r="AJ328" s="4">
        <f>VLOOKUP(A328,'[1]1'!B:Q,16,0)</f>
        <v>1440</v>
      </c>
      <c r="AK328" s="7">
        <f t="shared" si="15"/>
        <v>5.76</v>
      </c>
      <c r="AL328" s="3">
        <v>367</v>
      </c>
      <c r="AM328" s="3">
        <v>367</v>
      </c>
      <c r="AN328">
        <v>-8.7167808000000004</v>
      </c>
      <c r="AO328">
        <v>115.1855948</v>
      </c>
      <c r="AP328" t="s">
        <v>1709</v>
      </c>
      <c r="AT328">
        <v>99.2</v>
      </c>
      <c r="AW328">
        <v>0</v>
      </c>
      <c r="AX328">
        <v>0</v>
      </c>
      <c r="BA328">
        <v>0</v>
      </c>
      <c r="BB328">
        <v>0</v>
      </c>
      <c r="BE328">
        <v>0</v>
      </c>
      <c r="BF328">
        <v>0</v>
      </c>
      <c r="BJ328">
        <v>0</v>
      </c>
      <c r="BL328">
        <v>0</v>
      </c>
      <c r="BN328">
        <v>0</v>
      </c>
      <c r="BO328" s="6">
        <v>0</v>
      </c>
      <c r="BP328">
        <v>0</v>
      </c>
      <c r="BQ328">
        <v>0</v>
      </c>
      <c r="BR328">
        <v>0</v>
      </c>
    </row>
    <row r="329" spans="1:70" ht="15" customHeight="1" x14ac:dyDescent="0.35">
      <c r="A329" s="1" t="str">
        <f t="shared" si="14"/>
        <v>Z3NR</v>
      </c>
      <c r="B329" t="s">
        <v>1710</v>
      </c>
      <c r="C329" t="s">
        <v>1711</v>
      </c>
      <c r="D329" t="s">
        <v>1712</v>
      </c>
      <c r="E329" t="s">
        <v>1713</v>
      </c>
      <c r="F329" t="s">
        <v>516</v>
      </c>
      <c r="G329" t="s">
        <v>502</v>
      </c>
      <c r="H329" t="s">
        <v>502</v>
      </c>
      <c r="I329" t="s">
        <v>584</v>
      </c>
      <c r="J329" t="b">
        <v>0</v>
      </c>
      <c r="K329" t="s">
        <v>154</v>
      </c>
      <c r="L329" t="s">
        <v>214</v>
      </c>
      <c r="N329" t="s">
        <v>81</v>
      </c>
      <c r="O329" t="s">
        <v>82</v>
      </c>
      <c r="P329" t="s">
        <v>83</v>
      </c>
      <c r="Q329" t="s">
        <v>503</v>
      </c>
      <c r="R329">
        <v>24</v>
      </c>
      <c r="S329" t="s">
        <v>85</v>
      </c>
      <c r="T329" t="s">
        <v>179</v>
      </c>
      <c r="U329">
        <v>1111111</v>
      </c>
      <c r="V329" t="s">
        <v>122</v>
      </c>
      <c r="W329" t="s">
        <v>523</v>
      </c>
      <c r="X329" t="s">
        <v>524</v>
      </c>
      <c r="Y329" t="s">
        <v>89</v>
      </c>
      <c r="Z329" t="s">
        <v>90</v>
      </c>
      <c r="AA329" t="s">
        <v>506</v>
      </c>
      <c r="AB329">
        <v>1</v>
      </c>
      <c r="AC329">
        <v>6</v>
      </c>
      <c r="AD329" t="b">
        <v>1</v>
      </c>
      <c r="AE329">
        <v>2024</v>
      </c>
      <c r="AF329" s="3">
        <v>367</v>
      </c>
      <c r="AG329" s="3">
        <v>45443</v>
      </c>
      <c r="AH329" s="3">
        <v>46537</v>
      </c>
      <c r="AJ329" s="4">
        <f>VLOOKUP(A329,'[1]1'!B:Q,16,0)</f>
        <v>1440</v>
      </c>
      <c r="AK329" s="7">
        <f t="shared" si="15"/>
        <v>5.76</v>
      </c>
      <c r="AL329" s="3">
        <v>367</v>
      </c>
      <c r="AM329" s="3">
        <v>367</v>
      </c>
      <c r="AN329">
        <v>-8.7225295999999997</v>
      </c>
      <c r="AO329">
        <v>115.17734849999999</v>
      </c>
      <c r="AP329" t="s">
        <v>1713</v>
      </c>
      <c r="AT329">
        <v>99.2</v>
      </c>
      <c r="AW329">
        <v>0</v>
      </c>
      <c r="AX329">
        <v>0</v>
      </c>
      <c r="BA329">
        <v>0</v>
      </c>
      <c r="BB329">
        <v>0</v>
      </c>
      <c r="BE329">
        <v>0</v>
      </c>
      <c r="BF329">
        <v>0</v>
      </c>
      <c r="BJ329">
        <v>0</v>
      </c>
      <c r="BL329">
        <v>0</v>
      </c>
      <c r="BN329">
        <v>0</v>
      </c>
      <c r="BO329" s="6">
        <v>0</v>
      </c>
      <c r="BP329">
        <v>0</v>
      </c>
      <c r="BQ329">
        <v>0</v>
      </c>
      <c r="BR329">
        <v>0</v>
      </c>
    </row>
    <row r="330" spans="1:70" ht="15" customHeight="1" x14ac:dyDescent="0.35">
      <c r="A330" s="1" t="str">
        <f t="shared" si="14"/>
        <v>Z4UL</v>
      </c>
      <c r="B330" t="s">
        <v>1714</v>
      </c>
      <c r="C330" t="s">
        <v>1715</v>
      </c>
      <c r="D330" t="s">
        <v>1716</v>
      </c>
      <c r="E330" t="s">
        <v>1717</v>
      </c>
      <c r="F330" t="s">
        <v>516</v>
      </c>
      <c r="G330" t="s">
        <v>502</v>
      </c>
      <c r="H330" t="s">
        <v>502</v>
      </c>
      <c r="I330" t="s">
        <v>563</v>
      </c>
      <c r="J330" t="b">
        <v>0</v>
      </c>
      <c r="K330" t="s">
        <v>154</v>
      </c>
      <c r="L330" t="s">
        <v>214</v>
      </c>
      <c r="N330" t="s">
        <v>81</v>
      </c>
      <c r="O330" t="s">
        <v>82</v>
      </c>
      <c r="P330" t="s">
        <v>83</v>
      </c>
      <c r="Q330" t="s">
        <v>503</v>
      </c>
      <c r="R330">
        <v>13</v>
      </c>
      <c r="S330" t="s">
        <v>1704</v>
      </c>
      <c r="T330" t="s">
        <v>179</v>
      </c>
      <c r="U330">
        <v>1111111</v>
      </c>
      <c r="V330" t="s">
        <v>122</v>
      </c>
      <c r="W330" t="s">
        <v>523</v>
      </c>
      <c r="X330" t="s">
        <v>524</v>
      </c>
      <c r="Y330" t="s">
        <v>89</v>
      </c>
      <c r="Z330" t="s">
        <v>90</v>
      </c>
      <c r="AA330" t="s">
        <v>506</v>
      </c>
      <c r="AB330">
        <v>1</v>
      </c>
      <c r="AC330">
        <v>6</v>
      </c>
      <c r="AD330" t="b">
        <v>1</v>
      </c>
      <c r="AE330">
        <v>2024</v>
      </c>
      <c r="AF330" s="3">
        <v>367</v>
      </c>
      <c r="AG330" s="3">
        <v>45444</v>
      </c>
      <c r="AH330" s="3">
        <v>46568</v>
      </c>
      <c r="AJ330" s="4">
        <f>VLOOKUP(A330,'[1]1'!B:Q,16,0)</f>
        <v>720</v>
      </c>
      <c r="AK330" s="7">
        <f t="shared" si="15"/>
        <v>2.88</v>
      </c>
      <c r="AL330" s="3">
        <v>367</v>
      </c>
      <c r="AM330" s="3">
        <v>367</v>
      </c>
      <c r="AN330">
        <v>-8.7235192999999995</v>
      </c>
      <c r="AO330">
        <v>115.1835997</v>
      </c>
      <c r="AP330" t="s">
        <v>1718</v>
      </c>
      <c r="AT330">
        <v>99.2</v>
      </c>
      <c r="AW330">
        <v>0</v>
      </c>
      <c r="AX330">
        <v>0</v>
      </c>
      <c r="BA330">
        <v>0</v>
      </c>
      <c r="BB330">
        <v>0</v>
      </c>
      <c r="BE330">
        <v>0</v>
      </c>
      <c r="BF330">
        <v>0</v>
      </c>
      <c r="BJ330">
        <v>0</v>
      </c>
      <c r="BL330">
        <v>0</v>
      </c>
      <c r="BN330">
        <v>0</v>
      </c>
      <c r="BO330" s="6">
        <v>0</v>
      </c>
      <c r="BP330">
        <v>0</v>
      </c>
      <c r="BQ330">
        <v>0</v>
      </c>
      <c r="BR330">
        <v>0</v>
      </c>
    </row>
    <row r="331" spans="1:70" ht="15" customHeight="1" x14ac:dyDescent="0.35">
      <c r="A331" s="1" t="str">
        <f t="shared" si="14"/>
        <v>Z09E</v>
      </c>
      <c r="B331" t="s">
        <v>1719</v>
      </c>
      <c r="C331" t="s">
        <v>1720</v>
      </c>
      <c r="D331" t="s">
        <v>1721</v>
      </c>
      <c r="E331" t="s">
        <v>1722</v>
      </c>
      <c r="F331" t="s">
        <v>501</v>
      </c>
      <c r="G331" t="s">
        <v>502</v>
      </c>
      <c r="H331" t="s">
        <v>502</v>
      </c>
      <c r="I331" t="s">
        <v>148</v>
      </c>
      <c r="J331" t="b">
        <v>0</v>
      </c>
      <c r="K331" t="s">
        <v>154</v>
      </c>
      <c r="L331" t="s">
        <v>214</v>
      </c>
      <c r="N331" t="s">
        <v>81</v>
      </c>
      <c r="O331" t="s">
        <v>82</v>
      </c>
      <c r="P331" t="s">
        <v>83</v>
      </c>
      <c r="Q331" t="s">
        <v>503</v>
      </c>
      <c r="R331">
        <v>24</v>
      </c>
      <c r="S331" t="s">
        <v>85</v>
      </c>
      <c r="T331" t="s">
        <v>179</v>
      </c>
      <c r="U331">
        <v>1111111</v>
      </c>
      <c r="V331" t="s">
        <v>122</v>
      </c>
      <c r="W331" t="s">
        <v>529</v>
      </c>
      <c r="X331" t="s">
        <v>530</v>
      </c>
      <c r="Y331" t="s">
        <v>89</v>
      </c>
      <c r="Z331" t="s">
        <v>90</v>
      </c>
      <c r="AA331" t="s">
        <v>506</v>
      </c>
      <c r="AB331">
        <v>1</v>
      </c>
      <c r="AC331">
        <v>6</v>
      </c>
      <c r="AD331" t="b">
        <v>1</v>
      </c>
      <c r="AE331">
        <v>2024</v>
      </c>
      <c r="AF331" s="3">
        <v>367</v>
      </c>
      <c r="AG331" s="3">
        <v>45444</v>
      </c>
      <c r="AH331" s="3">
        <v>46568</v>
      </c>
      <c r="AJ331" s="4">
        <f>VLOOKUP(A331,'[1]1'!B:Q,16,0)</f>
        <v>1440</v>
      </c>
      <c r="AK331" s="7">
        <f t="shared" si="15"/>
        <v>5.76</v>
      </c>
      <c r="AL331" s="3">
        <v>367</v>
      </c>
      <c r="AM331" s="3">
        <v>367</v>
      </c>
      <c r="AN331">
        <v>-8.6837368000000001</v>
      </c>
      <c r="AO331">
        <v>115.2156397</v>
      </c>
      <c r="AP331" t="s">
        <v>1722</v>
      </c>
      <c r="AT331">
        <v>99.2</v>
      </c>
      <c r="AW331">
        <v>0</v>
      </c>
      <c r="AX331">
        <v>0</v>
      </c>
      <c r="BA331">
        <v>0</v>
      </c>
      <c r="BB331">
        <v>0</v>
      </c>
      <c r="BE331">
        <v>0</v>
      </c>
      <c r="BF331">
        <v>0</v>
      </c>
      <c r="BJ331">
        <v>0</v>
      </c>
      <c r="BL331">
        <v>0</v>
      </c>
      <c r="BN331">
        <v>0</v>
      </c>
      <c r="BO331" s="6">
        <v>0</v>
      </c>
      <c r="BP331">
        <v>0</v>
      </c>
      <c r="BQ331">
        <v>0</v>
      </c>
      <c r="BR331">
        <v>0</v>
      </c>
    </row>
    <row r="332" spans="1:70" ht="15" customHeight="1" x14ac:dyDescent="0.35">
      <c r="A332" s="1" t="str">
        <f t="shared" si="14"/>
        <v>Z09D</v>
      </c>
      <c r="B332" t="s">
        <v>1723</v>
      </c>
      <c r="C332" t="s">
        <v>1724</v>
      </c>
      <c r="D332" t="s">
        <v>1725</v>
      </c>
      <c r="E332" t="s">
        <v>1726</v>
      </c>
      <c r="F332" t="s">
        <v>501</v>
      </c>
      <c r="G332" t="s">
        <v>502</v>
      </c>
      <c r="H332" t="s">
        <v>502</v>
      </c>
      <c r="I332" t="s">
        <v>148</v>
      </c>
      <c r="J332" t="b">
        <v>0</v>
      </c>
      <c r="K332" t="s">
        <v>154</v>
      </c>
      <c r="L332" t="s">
        <v>214</v>
      </c>
      <c r="N332" t="s">
        <v>81</v>
      </c>
      <c r="O332" t="s">
        <v>82</v>
      </c>
      <c r="P332" t="s">
        <v>83</v>
      </c>
      <c r="Q332" t="s">
        <v>503</v>
      </c>
      <c r="R332">
        <v>24</v>
      </c>
      <c r="S332" t="s">
        <v>85</v>
      </c>
      <c r="T332" t="s">
        <v>179</v>
      </c>
      <c r="U332">
        <v>1111111</v>
      </c>
      <c r="V332" t="s">
        <v>122</v>
      </c>
      <c r="W332" t="s">
        <v>529</v>
      </c>
      <c r="X332" t="s">
        <v>530</v>
      </c>
      <c r="Y332" t="s">
        <v>89</v>
      </c>
      <c r="Z332" t="s">
        <v>90</v>
      </c>
      <c r="AA332" t="s">
        <v>506</v>
      </c>
      <c r="AB332">
        <v>1</v>
      </c>
      <c r="AC332">
        <v>6</v>
      </c>
      <c r="AD332" t="b">
        <v>1</v>
      </c>
      <c r="AE332">
        <v>2024</v>
      </c>
      <c r="AF332" s="3">
        <v>367</v>
      </c>
      <c r="AG332" s="3">
        <v>45444</v>
      </c>
      <c r="AH332" s="3">
        <v>46568</v>
      </c>
      <c r="AJ332" s="4">
        <f>VLOOKUP(A332,'[1]1'!B:Q,16,0)</f>
        <v>1440</v>
      </c>
      <c r="AK332" s="7">
        <f t="shared" si="15"/>
        <v>5.76</v>
      </c>
      <c r="AL332" s="3">
        <v>367</v>
      </c>
      <c r="AM332" s="3">
        <v>367</v>
      </c>
      <c r="AN332">
        <v>-8.6837356999999997</v>
      </c>
      <c r="AO332">
        <v>115.21601080000001</v>
      </c>
      <c r="AP332" t="s">
        <v>1726</v>
      </c>
      <c r="AT332">
        <v>99.2</v>
      </c>
      <c r="AW332">
        <v>0</v>
      </c>
      <c r="AX332">
        <v>0</v>
      </c>
      <c r="BA332">
        <v>0</v>
      </c>
      <c r="BB332">
        <v>0</v>
      </c>
      <c r="BE332">
        <v>0</v>
      </c>
      <c r="BF332">
        <v>0</v>
      </c>
      <c r="BJ332">
        <v>0</v>
      </c>
      <c r="BL332">
        <v>0</v>
      </c>
      <c r="BN332">
        <v>0</v>
      </c>
      <c r="BO332" s="6">
        <v>0</v>
      </c>
      <c r="BP332">
        <v>0</v>
      </c>
      <c r="BQ332">
        <v>0</v>
      </c>
      <c r="BR332">
        <v>0</v>
      </c>
    </row>
    <row r="333" spans="1:70" ht="15" customHeight="1" x14ac:dyDescent="0.35">
      <c r="A333" s="1" t="str">
        <f t="shared" si="14"/>
        <v>Z4VY</v>
      </c>
      <c r="B333" t="s">
        <v>1727</v>
      </c>
      <c r="C333" t="s">
        <v>1728</v>
      </c>
      <c r="D333" t="s">
        <v>1729</v>
      </c>
      <c r="E333" t="s">
        <v>1730</v>
      </c>
      <c r="F333" t="s">
        <v>516</v>
      </c>
      <c r="G333" t="s">
        <v>502</v>
      </c>
      <c r="H333" t="s">
        <v>502</v>
      </c>
      <c r="I333" t="s">
        <v>148</v>
      </c>
      <c r="J333" t="b">
        <v>0</v>
      </c>
      <c r="K333" t="s">
        <v>154</v>
      </c>
      <c r="L333" t="s">
        <v>214</v>
      </c>
      <c r="N333" t="s">
        <v>81</v>
      </c>
      <c r="O333" t="s">
        <v>82</v>
      </c>
      <c r="P333" t="s">
        <v>83</v>
      </c>
      <c r="Q333" t="s">
        <v>503</v>
      </c>
      <c r="R333">
        <v>24</v>
      </c>
      <c r="S333" t="s">
        <v>85</v>
      </c>
      <c r="T333" t="s">
        <v>179</v>
      </c>
      <c r="U333">
        <v>1111111</v>
      </c>
      <c r="V333" t="s">
        <v>122</v>
      </c>
      <c r="W333" t="s">
        <v>517</v>
      </c>
      <c r="X333" t="s">
        <v>518</v>
      </c>
      <c r="Y333" t="s">
        <v>89</v>
      </c>
      <c r="Z333" t="s">
        <v>90</v>
      </c>
      <c r="AA333" t="s">
        <v>506</v>
      </c>
      <c r="AB333">
        <v>1</v>
      </c>
      <c r="AC333">
        <v>6</v>
      </c>
      <c r="AD333" t="b">
        <v>1</v>
      </c>
      <c r="AE333">
        <v>2024</v>
      </c>
      <c r="AF333" s="3">
        <v>367</v>
      </c>
      <c r="AG333" s="3">
        <v>45444</v>
      </c>
      <c r="AH333" s="3">
        <v>46568</v>
      </c>
      <c r="AJ333" s="4"/>
      <c r="AK333" s="4"/>
      <c r="AL333" s="3">
        <v>367</v>
      </c>
      <c r="AM333" s="3">
        <v>367</v>
      </c>
      <c r="AN333">
        <v>-8.6496145000000002</v>
      </c>
      <c r="AO333">
        <v>115.14955980000001</v>
      </c>
      <c r="AP333" t="s">
        <v>1730</v>
      </c>
      <c r="AT333">
        <v>99.2</v>
      </c>
      <c r="AW333">
        <v>0</v>
      </c>
      <c r="AX333">
        <v>0</v>
      </c>
      <c r="BA333">
        <v>0</v>
      </c>
      <c r="BB333">
        <v>0</v>
      </c>
      <c r="BE333">
        <v>0</v>
      </c>
      <c r="BF333">
        <v>0</v>
      </c>
      <c r="BJ333">
        <v>0</v>
      </c>
      <c r="BL333">
        <v>0</v>
      </c>
      <c r="BN333">
        <v>0</v>
      </c>
      <c r="BO333" s="6">
        <v>0</v>
      </c>
      <c r="BP333">
        <v>0</v>
      </c>
      <c r="BQ333">
        <v>0</v>
      </c>
      <c r="BR333">
        <v>0</v>
      </c>
    </row>
    <row r="334" spans="1:70" ht="15" customHeight="1" x14ac:dyDescent="0.35">
      <c r="A334" s="1" t="str">
        <f t="shared" si="14"/>
        <v>Z1N0</v>
      </c>
      <c r="B334" t="s">
        <v>1731</v>
      </c>
      <c r="C334" t="s">
        <v>1732</v>
      </c>
      <c r="D334" t="s">
        <v>1733</v>
      </c>
      <c r="E334" t="s">
        <v>1734</v>
      </c>
      <c r="F334" t="s">
        <v>501</v>
      </c>
      <c r="G334" t="s">
        <v>502</v>
      </c>
      <c r="H334" t="s">
        <v>502</v>
      </c>
      <c r="I334" t="s">
        <v>137</v>
      </c>
      <c r="J334" t="b">
        <v>0</v>
      </c>
      <c r="K334" t="s">
        <v>154</v>
      </c>
      <c r="L334" t="s">
        <v>214</v>
      </c>
      <c r="N334" t="s">
        <v>81</v>
      </c>
      <c r="O334" t="s">
        <v>82</v>
      </c>
      <c r="P334" t="s">
        <v>83</v>
      </c>
      <c r="Q334" t="s">
        <v>503</v>
      </c>
      <c r="R334">
        <v>24</v>
      </c>
      <c r="S334" t="s">
        <v>121</v>
      </c>
      <c r="T334" t="s">
        <v>179</v>
      </c>
      <c r="U334">
        <v>1111111</v>
      </c>
      <c r="V334" t="s">
        <v>122</v>
      </c>
      <c r="W334" t="s">
        <v>523</v>
      </c>
      <c r="X334" t="s">
        <v>524</v>
      </c>
      <c r="Y334" t="s">
        <v>89</v>
      </c>
      <c r="Z334" t="s">
        <v>90</v>
      </c>
      <c r="AA334" t="s">
        <v>506</v>
      </c>
      <c r="AB334">
        <v>1</v>
      </c>
      <c r="AC334">
        <v>6</v>
      </c>
      <c r="AD334" t="b">
        <v>1</v>
      </c>
      <c r="AE334">
        <v>2024</v>
      </c>
      <c r="AF334" s="3">
        <v>367</v>
      </c>
      <c r="AG334" s="3">
        <v>45449</v>
      </c>
      <c r="AH334" s="3">
        <v>46568</v>
      </c>
      <c r="AJ334" s="4"/>
      <c r="AK334" s="4"/>
      <c r="AL334" s="3">
        <v>367</v>
      </c>
      <c r="AM334" s="3">
        <v>367</v>
      </c>
      <c r="AN334">
        <v>-8.7097166000000001</v>
      </c>
      <c r="AO334">
        <v>115.20122910000001</v>
      </c>
      <c r="AP334" t="s">
        <v>1735</v>
      </c>
      <c r="AT334">
        <v>99.2</v>
      </c>
      <c r="AW334">
        <v>0</v>
      </c>
      <c r="AX334">
        <v>0</v>
      </c>
      <c r="BA334">
        <v>0</v>
      </c>
      <c r="BB334">
        <v>0</v>
      </c>
      <c r="BE334">
        <v>0</v>
      </c>
      <c r="BF334">
        <v>0</v>
      </c>
      <c r="BJ334">
        <v>0</v>
      </c>
      <c r="BL334">
        <v>0</v>
      </c>
      <c r="BN334">
        <v>0</v>
      </c>
      <c r="BO334" s="6">
        <v>0</v>
      </c>
      <c r="BP334">
        <v>0</v>
      </c>
      <c r="BQ334">
        <v>0</v>
      </c>
      <c r="BR334">
        <v>0</v>
      </c>
    </row>
    <row r="335" spans="1:70" ht="15" customHeight="1" x14ac:dyDescent="0.35">
      <c r="A335" s="1" t="str">
        <f t="shared" si="14"/>
        <v>00CH</v>
      </c>
      <c r="B335" t="s">
        <v>1736</v>
      </c>
      <c r="C335" t="s">
        <v>1737</v>
      </c>
      <c r="D335" t="s">
        <v>1738</v>
      </c>
      <c r="E335" t="s">
        <v>1739</v>
      </c>
      <c r="F335" t="s">
        <v>516</v>
      </c>
      <c r="G335" t="s">
        <v>502</v>
      </c>
      <c r="H335" t="s">
        <v>502</v>
      </c>
      <c r="I335" t="s">
        <v>148</v>
      </c>
      <c r="J335" t="b">
        <v>0</v>
      </c>
      <c r="K335" t="s">
        <v>78</v>
      </c>
      <c r="L335" t="s">
        <v>79</v>
      </c>
      <c r="N335" t="s">
        <v>81</v>
      </c>
      <c r="O335" t="s">
        <v>82</v>
      </c>
      <c r="P335" t="s">
        <v>83</v>
      </c>
      <c r="Q335" t="s">
        <v>503</v>
      </c>
      <c r="R335">
        <v>24</v>
      </c>
      <c r="S335" t="s">
        <v>85</v>
      </c>
      <c r="T335" t="s">
        <v>179</v>
      </c>
      <c r="U335">
        <v>1111111</v>
      </c>
      <c r="V335" t="s">
        <v>122</v>
      </c>
      <c r="W335" t="s">
        <v>517</v>
      </c>
      <c r="X335" t="s">
        <v>518</v>
      </c>
      <c r="Y335" t="s">
        <v>89</v>
      </c>
      <c r="Z335" t="s">
        <v>90</v>
      </c>
      <c r="AA335" t="s">
        <v>506</v>
      </c>
      <c r="AB335">
        <v>1</v>
      </c>
      <c r="AC335">
        <v>6</v>
      </c>
      <c r="AD335" t="b">
        <v>1</v>
      </c>
      <c r="AE335">
        <v>2023</v>
      </c>
      <c r="AF335" s="3">
        <v>367</v>
      </c>
      <c r="AG335" s="3">
        <v>45467</v>
      </c>
      <c r="AH335" s="3">
        <v>46568</v>
      </c>
      <c r="AJ335" s="4"/>
      <c r="AK335" s="4"/>
      <c r="AL335" s="3">
        <v>367</v>
      </c>
      <c r="AM335" s="3">
        <v>367</v>
      </c>
      <c r="AN335">
        <v>-8.6202208999999996</v>
      </c>
      <c r="AO335">
        <v>115.1175143</v>
      </c>
      <c r="AP335" t="s">
        <v>1740</v>
      </c>
      <c r="AT335">
        <v>99.75</v>
      </c>
      <c r="AW335">
        <v>0</v>
      </c>
      <c r="AX335">
        <v>0</v>
      </c>
      <c r="BA335">
        <v>0</v>
      </c>
      <c r="BB335">
        <v>0</v>
      </c>
      <c r="BE335">
        <v>0</v>
      </c>
      <c r="BF335">
        <v>0</v>
      </c>
      <c r="BJ335">
        <v>0</v>
      </c>
      <c r="BL335">
        <v>0</v>
      </c>
      <c r="BN335">
        <v>0</v>
      </c>
      <c r="BO335" s="6">
        <v>0</v>
      </c>
      <c r="BP335">
        <v>0</v>
      </c>
      <c r="BQ335">
        <v>0</v>
      </c>
      <c r="BR335">
        <v>0</v>
      </c>
    </row>
    <row r="336" spans="1:70" ht="15" customHeight="1" x14ac:dyDescent="0.35">
      <c r="A336" s="1" t="str">
        <f t="shared" si="14"/>
        <v>Z24C</v>
      </c>
      <c r="B336" t="s">
        <v>1741</v>
      </c>
      <c r="C336" t="s">
        <v>1742</v>
      </c>
      <c r="D336" t="s">
        <v>1743</v>
      </c>
      <c r="E336" t="s">
        <v>1744</v>
      </c>
      <c r="F336" t="s">
        <v>501</v>
      </c>
      <c r="G336" t="s">
        <v>502</v>
      </c>
      <c r="H336" t="s">
        <v>502</v>
      </c>
      <c r="I336" t="s">
        <v>137</v>
      </c>
      <c r="J336" t="b">
        <v>0</v>
      </c>
      <c r="K336" t="s">
        <v>154</v>
      </c>
      <c r="L336" t="s">
        <v>214</v>
      </c>
      <c r="N336" t="s">
        <v>81</v>
      </c>
      <c r="O336" t="s">
        <v>82</v>
      </c>
      <c r="P336" t="s">
        <v>83</v>
      </c>
      <c r="Q336" t="s">
        <v>503</v>
      </c>
      <c r="R336">
        <v>24</v>
      </c>
      <c r="S336" t="s">
        <v>85</v>
      </c>
      <c r="T336" t="s">
        <v>179</v>
      </c>
      <c r="U336">
        <v>1111111</v>
      </c>
      <c r="V336" t="s">
        <v>122</v>
      </c>
      <c r="W336" t="s">
        <v>571</v>
      </c>
      <c r="X336" t="s">
        <v>572</v>
      </c>
      <c r="Y336" t="s">
        <v>89</v>
      </c>
      <c r="Z336" t="s">
        <v>90</v>
      </c>
      <c r="AA336" t="s">
        <v>506</v>
      </c>
      <c r="AB336">
        <v>1</v>
      </c>
      <c r="AC336">
        <v>6</v>
      </c>
      <c r="AD336" t="b">
        <v>1</v>
      </c>
      <c r="AE336">
        <v>2024</v>
      </c>
      <c r="AF336" s="3">
        <v>367</v>
      </c>
      <c r="AG336" s="3">
        <v>45474</v>
      </c>
      <c r="AH336" s="3">
        <v>46598</v>
      </c>
      <c r="AJ336" s="4"/>
      <c r="AK336" s="4"/>
      <c r="AL336" s="3">
        <v>367</v>
      </c>
      <c r="AM336" s="3">
        <v>367</v>
      </c>
      <c r="AN336">
        <v>-8.6356429000000006</v>
      </c>
      <c r="AO336">
        <v>115.19721920000001</v>
      </c>
      <c r="AP336" t="s">
        <v>1744</v>
      </c>
      <c r="AT336">
        <v>99.2</v>
      </c>
      <c r="AW336">
        <v>0</v>
      </c>
      <c r="AX336">
        <v>0</v>
      </c>
      <c r="BA336">
        <v>0</v>
      </c>
      <c r="BB336">
        <v>0</v>
      </c>
      <c r="BE336">
        <v>0</v>
      </c>
      <c r="BF336">
        <v>0</v>
      </c>
      <c r="BJ336">
        <v>0</v>
      </c>
      <c r="BL336">
        <v>0</v>
      </c>
      <c r="BN336">
        <v>0</v>
      </c>
      <c r="BO336" s="6">
        <v>0</v>
      </c>
      <c r="BP336">
        <v>0</v>
      </c>
      <c r="BQ336">
        <v>0</v>
      </c>
      <c r="BR336">
        <v>0</v>
      </c>
    </row>
    <row r="337" spans="1:70" ht="15" customHeight="1" x14ac:dyDescent="0.35">
      <c r="A337" s="1" t="str">
        <f t="shared" si="14"/>
        <v>Z1Q7</v>
      </c>
      <c r="B337" t="s">
        <v>1745</v>
      </c>
      <c r="C337" t="s">
        <v>1746</v>
      </c>
      <c r="D337" t="s">
        <v>1747</v>
      </c>
      <c r="E337" t="s">
        <v>1748</v>
      </c>
      <c r="F337" t="s">
        <v>501</v>
      </c>
      <c r="G337" t="s">
        <v>502</v>
      </c>
      <c r="H337" t="s">
        <v>502</v>
      </c>
      <c r="I337" t="s">
        <v>137</v>
      </c>
      <c r="J337" t="b">
        <v>0</v>
      </c>
      <c r="K337" t="s">
        <v>154</v>
      </c>
      <c r="L337" t="s">
        <v>214</v>
      </c>
      <c r="N337" t="s">
        <v>81</v>
      </c>
      <c r="O337" t="s">
        <v>82</v>
      </c>
      <c r="P337" t="s">
        <v>83</v>
      </c>
      <c r="Q337" t="s">
        <v>549</v>
      </c>
      <c r="R337">
        <v>24</v>
      </c>
      <c r="S337" t="s">
        <v>162</v>
      </c>
      <c r="T337" t="s">
        <v>179</v>
      </c>
      <c r="U337">
        <v>1111111</v>
      </c>
      <c r="V337" t="s">
        <v>122</v>
      </c>
      <c r="W337" t="s">
        <v>571</v>
      </c>
      <c r="X337" t="s">
        <v>572</v>
      </c>
      <c r="Y337" t="s">
        <v>89</v>
      </c>
      <c r="Z337" t="s">
        <v>90</v>
      </c>
      <c r="AA337" t="s">
        <v>506</v>
      </c>
      <c r="AB337">
        <v>1</v>
      </c>
      <c r="AC337">
        <v>6</v>
      </c>
      <c r="AD337" t="b">
        <v>1</v>
      </c>
      <c r="AE337">
        <v>2024</v>
      </c>
      <c r="AF337" s="3">
        <v>367</v>
      </c>
      <c r="AG337" s="3">
        <v>45481</v>
      </c>
      <c r="AH337" s="3">
        <v>46598</v>
      </c>
      <c r="AJ337" s="4"/>
      <c r="AK337" s="4"/>
      <c r="AL337" s="3">
        <v>367</v>
      </c>
      <c r="AM337" s="3">
        <v>367</v>
      </c>
      <c r="AN337">
        <v>-8.6838525999999998</v>
      </c>
      <c r="AO337">
        <v>115.25077880000001</v>
      </c>
      <c r="AP337" t="s">
        <v>1749</v>
      </c>
      <c r="AT337">
        <v>99.2</v>
      </c>
      <c r="AW337">
        <v>0</v>
      </c>
      <c r="AX337">
        <v>0</v>
      </c>
      <c r="BA337">
        <v>0</v>
      </c>
      <c r="BB337">
        <v>0</v>
      </c>
      <c r="BE337">
        <v>0</v>
      </c>
      <c r="BF337">
        <v>0</v>
      </c>
      <c r="BJ337">
        <v>0</v>
      </c>
      <c r="BL337">
        <v>0</v>
      </c>
      <c r="BN337">
        <v>0</v>
      </c>
      <c r="BO337" s="6">
        <v>0</v>
      </c>
      <c r="BP337">
        <v>0</v>
      </c>
      <c r="BQ337">
        <v>0</v>
      </c>
      <c r="BR337">
        <v>0</v>
      </c>
    </row>
    <row r="338" spans="1:70" ht="15" customHeight="1" x14ac:dyDescent="0.35">
      <c r="A338" s="1" t="str">
        <f t="shared" si="14"/>
        <v>00DM</v>
      </c>
      <c r="B338" t="s">
        <v>1750</v>
      </c>
      <c r="C338" t="s">
        <v>1751</v>
      </c>
      <c r="D338" t="s">
        <v>1752</v>
      </c>
      <c r="E338" t="s">
        <v>1753</v>
      </c>
      <c r="F338" t="s">
        <v>501</v>
      </c>
      <c r="G338" t="s">
        <v>502</v>
      </c>
      <c r="H338" t="s">
        <v>502</v>
      </c>
      <c r="I338" t="s">
        <v>137</v>
      </c>
      <c r="J338" t="b">
        <v>0</v>
      </c>
      <c r="K338" t="s">
        <v>78</v>
      </c>
      <c r="L338" t="s">
        <v>79</v>
      </c>
      <c r="N338" t="s">
        <v>81</v>
      </c>
      <c r="O338" t="s">
        <v>82</v>
      </c>
      <c r="P338" t="s">
        <v>83</v>
      </c>
      <c r="Q338" t="s">
        <v>503</v>
      </c>
      <c r="R338">
        <v>24</v>
      </c>
      <c r="S338" t="s">
        <v>85</v>
      </c>
      <c r="T338" t="s">
        <v>179</v>
      </c>
      <c r="U338">
        <v>1111111</v>
      </c>
      <c r="V338" t="s">
        <v>122</v>
      </c>
      <c r="W338" t="s">
        <v>529</v>
      </c>
      <c r="X338" t="s">
        <v>530</v>
      </c>
      <c r="Y338" t="s">
        <v>89</v>
      </c>
      <c r="Z338" t="s">
        <v>90</v>
      </c>
      <c r="AA338" t="s">
        <v>506</v>
      </c>
      <c r="AB338">
        <v>1</v>
      </c>
      <c r="AC338">
        <v>6</v>
      </c>
      <c r="AD338" t="b">
        <v>1</v>
      </c>
      <c r="AE338">
        <v>2023</v>
      </c>
      <c r="AF338" s="3">
        <v>367</v>
      </c>
      <c r="AG338" s="3">
        <v>45484</v>
      </c>
      <c r="AH338" s="3">
        <v>46598</v>
      </c>
      <c r="AJ338" s="4"/>
      <c r="AK338" s="4"/>
      <c r="AL338" s="3">
        <v>367</v>
      </c>
      <c r="AM338" s="3">
        <v>367</v>
      </c>
      <c r="AN338">
        <v>0</v>
      </c>
      <c r="AO338">
        <v>0</v>
      </c>
      <c r="AP338" t="s">
        <v>1754</v>
      </c>
      <c r="AT338">
        <v>99.75</v>
      </c>
      <c r="AW338">
        <v>0</v>
      </c>
      <c r="AX338">
        <v>0</v>
      </c>
      <c r="BA338">
        <v>0</v>
      </c>
      <c r="BB338">
        <v>0</v>
      </c>
      <c r="BE338">
        <v>0</v>
      </c>
      <c r="BF338">
        <v>0</v>
      </c>
      <c r="BJ338">
        <v>0</v>
      </c>
      <c r="BL338">
        <v>0</v>
      </c>
      <c r="BN338">
        <v>0</v>
      </c>
      <c r="BO338" s="6">
        <v>0</v>
      </c>
      <c r="BP338">
        <v>0</v>
      </c>
      <c r="BQ338">
        <v>0</v>
      </c>
      <c r="BR338">
        <v>0</v>
      </c>
    </row>
    <row r="339" spans="1:70" ht="15" customHeight="1" x14ac:dyDescent="0.35">
      <c r="A339" s="1" t="str">
        <f t="shared" si="14"/>
        <v>00JK</v>
      </c>
      <c r="B339" t="s">
        <v>1755</v>
      </c>
      <c r="C339" t="s">
        <v>1756</v>
      </c>
      <c r="D339" t="s">
        <v>1757</v>
      </c>
      <c r="E339" t="s">
        <v>1758</v>
      </c>
      <c r="F339" t="s">
        <v>516</v>
      </c>
      <c r="G339" t="s">
        <v>502</v>
      </c>
      <c r="H339" t="s">
        <v>502</v>
      </c>
      <c r="I339" t="s">
        <v>1276</v>
      </c>
      <c r="J339" t="b">
        <v>0</v>
      </c>
      <c r="K339" t="s">
        <v>78</v>
      </c>
      <c r="L339" t="s">
        <v>79</v>
      </c>
      <c r="N339" t="s">
        <v>81</v>
      </c>
      <c r="O339" t="s">
        <v>82</v>
      </c>
      <c r="P339" t="s">
        <v>83</v>
      </c>
      <c r="Q339" t="s">
        <v>503</v>
      </c>
      <c r="R339">
        <v>24</v>
      </c>
      <c r="S339" t="s">
        <v>1704</v>
      </c>
      <c r="T339" t="s">
        <v>179</v>
      </c>
      <c r="U339">
        <v>1111111</v>
      </c>
      <c r="V339" t="s">
        <v>122</v>
      </c>
      <c r="W339" t="s">
        <v>523</v>
      </c>
      <c r="X339" t="s">
        <v>524</v>
      </c>
      <c r="Y339" t="s">
        <v>89</v>
      </c>
      <c r="Z339" t="s">
        <v>90</v>
      </c>
      <c r="AA339" t="s">
        <v>506</v>
      </c>
      <c r="AB339">
        <v>1</v>
      </c>
      <c r="AC339">
        <v>6</v>
      </c>
      <c r="AD339" t="b">
        <v>1</v>
      </c>
      <c r="AE339">
        <v>2024</v>
      </c>
      <c r="AF339" s="3">
        <v>367</v>
      </c>
      <c r="AG339" s="3">
        <v>45511</v>
      </c>
      <c r="AH339" s="3">
        <v>46566</v>
      </c>
      <c r="AJ339" s="4"/>
      <c r="AK339" s="4"/>
      <c r="AL339" s="3">
        <v>367</v>
      </c>
      <c r="AM339" s="3">
        <v>367</v>
      </c>
      <c r="AN339">
        <v>-8.7166330999999992</v>
      </c>
      <c r="AO339">
        <v>115.1691505</v>
      </c>
      <c r="AP339" t="s">
        <v>1759</v>
      </c>
      <c r="AT339">
        <v>99.75</v>
      </c>
      <c r="AW339">
        <v>0</v>
      </c>
      <c r="AX339">
        <v>0</v>
      </c>
      <c r="BA339">
        <v>0</v>
      </c>
      <c r="BB339">
        <v>0</v>
      </c>
      <c r="BE339">
        <v>0</v>
      </c>
      <c r="BF339">
        <v>0</v>
      </c>
      <c r="BJ339">
        <v>0</v>
      </c>
      <c r="BL339">
        <v>0</v>
      </c>
      <c r="BN339">
        <v>0</v>
      </c>
      <c r="BO339" s="6">
        <v>0</v>
      </c>
      <c r="BP339">
        <v>0</v>
      </c>
      <c r="BQ339">
        <v>0</v>
      </c>
      <c r="BR339">
        <v>0</v>
      </c>
    </row>
    <row r="340" spans="1:70" ht="15" customHeight="1" x14ac:dyDescent="0.35">
      <c r="A340" s="1" t="str">
        <f t="shared" si="14"/>
        <v>00JN</v>
      </c>
      <c r="B340" t="s">
        <v>1760</v>
      </c>
      <c r="C340" t="s">
        <v>1761</v>
      </c>
      <c r="D340" t="s">
        <v>1762</v>
      </c>
      <c r="E340" t="s">
        <v>1763</v>
      </c>
      <c r="F340" t="s">
        <v>501</v>
      </c>
      <c r="G340" t="s">
        <v>502</v>
      </c>
      <c r="H340" t="s">
        <v>502</v>
      </c>
      <c r="I340" t="s">
        <v>148</v>
      </c>
      <c r="J340" t="b">
        <v>0</v>
      </c>
      <c r="K340" t="s">
        <v>78</v>
      </c>
      <c r="L340" t="s">
        <v>79</v>
      </c>
      <c r="N340" t="s">
        <v>81</v>
      </c>
      <c r="O340" t="s">
        <v>82</v>
      </c>
      <c r="P340" t="s">
        <v>83</v>
      </c>
      <c r="Q340" t="s">
        <v>549</v>
      </c>
      <c r="R340">
        <v>24</v>
      </c>
      <c r="S340" t="s">
        <v>85</v>
      </c>
      <c r="T340" t="s">
        <v>179</v>
      </c>
      <c r="U340">
        <v>1111111</v>
      </c>
      <c r="V340" t="s">
        <v>122</v>
      </c>
      <c r="W340" t="s">
        <v>550</v>
      </c>
      <c r="X340" t="s">
        <v>551</v>
      </c>
      <c r="Y340" t="s">
        <v>89</v>
      </c>
      <c r="Z340" t="s">
        <v>90</v>
      </c>
      <c r="AA340" t="s">
        <v>506</v>
      </c>
      <c r="AB340">
        <v>1</v>
      </c>
      <c r="AC340">
        <v>6</v>
      </c>
      <c r="AD340" t="b">
        <v>1</v>
      </c>
      <c r="AE340">
        <v>2023</v>
      </c>
      <c r="AF340" s="3">
        <v>367</v>
      </c>
      <c r="AG340" s="3">
        <v>45518</v>
      </c>
      <c r="AH340" s="3">
        <v>46629</v>
      </c>
      <c r="AJ340" s="4">
        <f>VLOOKUP(A340,'[1]1'!B:Q,16,0)</f>
        <v>1440</v>
      </c>
      <c r="AK340" s="7">
        <f t="shared" ref="AK340:AK341" si="16">AJ340/250</f>
        <v>5.76</v>
      </c>
      <c r="AL340" s="3">
        <v>367</v>
      </c>
      <c r="AM340" s="3">
        <v>367</v>
      </c>
      <c r="AN340">
        <v>-8.6642126000000008</v>
      </c>
      <c r="AO340">
        <v>115.2502099</v>
      </c>
      <c r="AP340" t="s">
        <v>1763</v>
      </c>
      <c r="AT340">
        <v>99.75</v>
      </c>
      <c r="AW340">
        <v>0</v>
      </c>
      <c r="AX340">
        <v>0</v>
      </c>
      <c r="BA340">
        <v>0</v>
      </c>
      <c r="BB340">
        <v>0</v>
      </c>
      <c r="BE340">
        <v>0</v>
      </c>
      <c r="BF340">
        <v>0</v>
      </c>
      <c r="BJ340">
        <v>0</v>
      </c>
      <c r="BL340">
        <v>0</v>
      </c>
      <c r="BN340">
        <v>0</v>
      </c>
      <c r="BO340" s="6">
        <v>0</v>
      </c>
      <c r="BP340">
        <v>0</v>
      </c>
      <c r="BQ340">
        <v>0</v>
      </c>
      <c r="BR340">
        <v>0</v>
      </c>
    </row>
    <row r="341" spans="1:70" ht="15" customHeight="1" x14ac:dyDescent="0.35">
      <c r="A341" s="1" t="str">
        <f t="shared" si="14"/>
        <v>Z1T7</v>
      </c>
      <c r="B341" t="s">
        <v>1764</v>
      </c>
      <c r="C341" t="s">
        <v>1765</v>
      </c>
      <c r="D341" t="s">
        <v>1766</v>
      </c>
      <c r="E341" t="s">
        <v>1767</v>
      </c>
      <c r="F341" t="s">
        <v>501</v>
      </c>
      <c r="G341" t="s">
        <v>502</v>
      </c>
      <c r="H341" t="s">
        <v>502</v>
      </c>
      <c r="I341" t="s">
        <v>137</v>
      </c>
      <c r="J341" t="b">
        <v>0</v>
      </c>
      <c r="K341" t="s">
        <v>154</v>
      </c>
      <c r="L341" t="s">
        <v>214</v>
      </c>
      <c r="N341" t="s">
        <v>81</v>
      </c>
      <c r="O341" t="s">
        <v>82</v>
      </c>
      <c r="P341" t="s">
        <v>83</v>
      </c>
      <c r="Q341" t="s">
        <v>503</v>
      </c>
      <c r="R341">
        <v>24</v>
      </c>
      <c r="S341" t="s">
        <v>121</v>
      </c>
      <c r="T341" t="s">
        <v>179</v>
      </c>
      <c r="U341">
        <v>1111111</v>
      </c>
      <c r="V341" t="s">
        <v>122</v>
      </c>
      <c r="W341" t="s">
        <v>571</v>
      </c>
      <c r="X341" t="s">
        <v>572</v>
      </c>
      <c r="Y341" t="s">
        <v>89</v>
      </c>
      <c r="Z341" t="s">
        <v>90</v>
      </c>
      <c r="AA341" t="s">
        <v>506</v>
      </c>
      <c r="AB341">
        <v>1</v>
      </c>
      <c r="AC341">
        <v>6</v>
      </c>
      <c r="AD341" t="b">
        <v>1</v>
      </c>
      <c r="AE341">
        <v>2023</v>
      </c>
      <c r="AF341" s="3">
        <v>367</v>
      </c>
      <c r="AG341" s="3">
        <v>45526</v>
      </c>
      <c r="AH341" s="3">
        <v>46630</v>
      </c>
      <c r="AJ341" s="4">
        <f>VLOOKUP(A341,'[1]1'!B:Q,16,0)</f>
        <v>900</v>
      </c>
      <c r="AK341" s="7">
        <f t="shared" si="16"/>
        <v>3.6</v>
      </c>
      <c r="AL341" s="3">
        <v>367</v>
      </c>
      <c r="AM341" s="3">
        <v>367</v>
      </c>
      <c r="AN341">
        <v>-8.6106996000000002</v>
      </c>
      <c r="AO341">
        <v>115.1993552</v>
      </c>
      <c r="AP341" t="s">
        <v>1768</v>
      </c>
      <c r="AT341">
        <v>99.2</v>
      </c>
      <c r="AW341">
        <v>0</v>
      </c>
      <c r="AX341">
        <v>0</v>
      </c>
      <c r="BA341">
        <v>0</v>
      </c>
      <c r="BB341">
        <v>0</v>
      </c>
      <c r="BE341">
        <v>0</v>
      </c>
      <c r="BF341">
        <v>0</v>
      </c>
      <c r="BJ341">
        <v>0</v>
      </c>
      <c r="BL341">
        <v>0</v>
      </c>
      <c r="BN341">
        <v>0</v>
      </c>
      <c r="BO341" s="6">
        <v>0</v>
      </c>
      <c r="BP341">
        <v>0</v>
      </c>
      <c r="BQ341">
        <v>0</v>
      </c>
      <c r="BR341">
        <v>0</v>
      </c>
    </row>
    <row r="342" spans="1:70" ht="15" customHeight="1" x14ac:dyDescent="0.35">
      <c r="A342" s="1" t="str">
        <f t="shared" si="14"/>
        <v>Z263</v>
      </c>
      <c r="B342" t="s">
        <v>1769</v>
      </c>
      <c r="C342" t="s">
        <v>1770</v>
      </c>
      <c r="D342" t="s">
        <v>1771</v>
      </c>
      <c r="E342" t="s">
        <v>1772</v>
      </c>
      <c r="F342" t="s">
        <v>501</v>
      </c>
      <c r="G342" t="s">
        <v>502</v>
      </c>
      <c r="H342" t="s">
        <v>502</v>
      </c>
      <c r="I342" t="s">
        <v>584</v>
      </c>
      <c r="J342" t="b">
        <v>0</v>
      </c>
      <c r="K342" t="s">
        <v>154</v>
      </c>
      <c r="L342" t="s">
        <v>214</v>
      </c>
      <c r="N342" t="s">
        <v>81</v>
      </c>
      <c r="O342" t="s">
        <v>82</v>
      </c>
      <c r="P342" t="s">
        <v>83</v>
      </c>
      <c r="Q342" t="s">
        <v>549</v>
      </c>
      <c r="R342">
        <v>24</v>
      </c>
      <c r="S342" t="s">
        <v>121</v>
      </c>
      <c r="T342" t="s">
        <v>179</v>
      </c>
      <c r="U342">
        <v>1111111</v>
      </c>
      <c r="V342" t="s">
        <v>122</v>
      </c>
      <c r="W342" t="s">
        <v>529</v>
      </c>
      <c r="X342" t="s">
        <v>530</v>
      </c>
      <c r="Y342" t="s">
        <v>89</v>
      </c>
      <c r="Z342" t="s">
        <v>90</v>
      </c>
      <c r="AA342" t="s">
        <v>506</v>
      </c>
      <c r="AB342">
        <v>1</v>
      </c>
      <c r="AC342">
        <v>6</v>
      </c>
      <c r="AD342" t="b">
        <v>1</v>
      </c>
      <c r="AE342">
        <v>2023</v>
      </c>
      <c r="AF342" s="3">
        <v>367</v>
      </c>
      <c r="AG342" s="3">
        <v>45527</v>
      </c>
      <c r="AH342" s="3">
        <v>46630</v>
      </c>
      <c r="AJ342" s="4"/>
      <c r="AK342" s="4"/>
      <c r="AL342" s="3">
        <v>367</v>
      </c>
      <c r="AM342" s="3">
        <v>367</v>
      </c>
      <c r="AN342">
        <v>-8.6696641999999997</v>
      </c>
      <c r="AO342">
        <v>115.2150434</v>
      </c>
      <c r="AP342" t="s">
        <v>1772</v>
      </c>
      <c r="AT342">
        <v>99.2</v>
      </c>
      <c r="AW342">
        <v>0</v>
      </c>
      <c r="AX342">
        <v>0</v>
      </c>
      <c r="BA342">
        <v>0</v>
      </c>
      <c r="BB342">
        <v>0</v>
      </c>
      <c r="BE342">
        <v>0</v>
      </c>
      <c r="BF342">
        <v>0</v>
      </c>
      <c r="BJ342">
        <v>0</v>
      </c>
      <c r="BL342">
        <v>0</v>
      </c>
      <c r="BN342">
        <v>0</v>
      </c>
      <c r="BO342" s="6">
        <v>0</v>
      </c>
      <c r="BP342">
        <v>0</v>
      </c>
      <c r="BQ342">
        <v>0</v>
      </c>
      <c r="BR342">
        <v>0</v>
      </c>
    </row>
    <row r="343" spans="1:70" ht="15" customHeight="1" x14ac:dyDescent="0.35">
      <c r="A343" s="1" t="str">
        <f t="shared" si="14"/>
        <v>00JP</v>
      </c>
      <c r="B343" t="s">
        <v>1773</v>
      </c>
      <c r="C343" t="s">
        <v>1774</v>
      </c>
      <c r="D343" t="s">
        <v>1775</v>
      </c>
      <c r="E343" t="s">
        <v>1776</v>
      </c>
      <c r="F343" t="s">
        <v>1354</v>
      </c>
      <c r="G343" t="s">
        <v>502</v>
      </c>
      <c r="H343" t="s">
        <v>502</v>
      </c>
      <c r="I343" t="s">
        <v>137</v>
      </c>
      <c r="J343" t="b">
        <v>0</v>
      </c>
      <c r="K343" t="s">
        <v>78</v>
      </c>
      <c r="L343" t="s">
        <v>79</v>
      </c>
      <c r="N343" t="s">
        <v>81</v>
      </c>
      <c r="O343" t="s">
        <v>82</v>
      </c>
      <c r="P343" t="s">
        <v>83</v>
      </c>
      <c r="Q343" t="s">
        <v>503</v>
      </c>
      <c r="R343">
        <v>24</v>
      </c>
      <c r="S343" t="s">
        <v>85</v>
      </c>
      <c r="T343" t="s">
        <v>179</v>
      </c>
      <c r="U343">
        <v>1111111</v>
      </c>
      <c r="V343" t="s">
        <v>122</v>
      </c>
      <c r="W343" t="s">
        <v>550</v>
      </c>
      <c r="X343" t="s">
        <v>551</v>
      </c>
      <c r="Y343" t="s">
        <v>89</v>
      </c>
      <c r="Z343" t="s">
        <v>90</v>
      </c>
      <c r="AA343" t="s">
        <v>506</v>
      </c>
      <c r="AB343">
        <v>2</v>
      </c>
      <c r="AC343">
        <v>6</v>
      </c>
      <c r="AD343" t="b">
        <v>1</v>
      </c>
      <c r="AE343">
        <v>2023</v>
      </c>
      <c r="AF343" s="3">
        <v>367</v>
      </c>
      <c r="AG343" s="3">
        <v>45526</v>
      </c>
      <c r="AH343" s="3">
        <v>46629</v>
      </c>
      <c r="AJ343" s="4"/>
      <c r="AK343" s="4"/>
      <c r="AL343" s="3">
        <v>367</v>
      </c>
      <c r="AM343" s="3">
        <v>367</v>
      </c>
      <c r="AN343">
        <v>-8.5541988</v>
      </c>
      <c r="AO343">
        <v>115.4070001</v>
      </c>
      <c r="AP343" t="s">
        <v>1777</v>
      </c>
      <c r="AT343">
        <v>99.75</v>
      </c>
      <c r="AW343">
        <v>0</v>
      </c>
      <c r="AX343">
        <v>0</v>
      </c>
      <c r="BA343">
        <v>0</v>
      </c>
      <c r="BB343">
        <v>0</v>
      </c>
      <c r="BE343">
        <v>0</v>
      </c>
      <c r="BF343">
        <v>0</v>
      </c>
      <c r="BJ343">
        <v>0</v>
      </c>
      <c r="BL343">
        <v>0</v>
      </c>
      <c r="BN343">
        <v>0</v>
      </c>
      <c r="BO343" s="6">
        <v>0</v>
      </c>
      <c r="BP343">
        <v>0</v>
      </c>
      <c r="BQ343">
        <v>0</v>
      </c>
      <c r="BR343">
        <v>0</v>
      </c>
    </row>
    <row r="344" spans="1:70" ht="15" customHeight="1" x14ac:dyDescent="0.35">
      <c r="A344" s="1" t="str">
        <f t="shared" si="14"/>
        <v>00D9</v>
      </c>
      <c r="B344" t="s">
        <v>1778</v>
      </c>
      <c r="C344" t="s">
        <v>1779</v>
      </c>
      <c r="D344" t="s">
        <v>1780</v>
      </c>
      <c r="E344" t="s">
        <v>1781</v>
      </c>
      <c r="F344" t="s">
        <v>537</v>
      </c>
      <c r="G344" t="s">
        <v>502</v>
      </c>
      <c r="H344" t="s">
        <v>502</v>
      </c>
      <c r="I344" t="s">
        <v>137</v>
      </c>
      <c r="J344" t="b">
        <v>0</v>
      </c>
      <c r="K344" t="s">
        <v>78</v>
      </c>
      <c r="L344" t="s">
        <v>79</v>
      </c>
      <c r="N344" t="s">
        <v>81</v>
      </c>
      <c r="O344" t="s">
        <v>82</v>
      </c>
      <c r="P344" t="s">
        <v>83</v>
      </c>
      <c r="Q344" t="s">
        <v>503</v>
      </c>
      <c r="R344">
        <v>24</v>
      </c>
      <c r="S344" t="s">
        <v>85</v>
      </c>
      <c r="T344" t="s">
        <v>179</v>
      </c>
      <c r="U344">
        <v>1111111</v>
      </c>
      <c r="V344" t="s">
        <v>122</v>
      </c>
      <c r="W344" t="s">
        <v>529</v>
      </c>
      <c r="X344" t="s">
        <v>530</v>
      </c>
      <c r="Y344" t="s">
        <v>89</v>
      </c>
      <c r="Z344" t="s">
        <v>90</v>
      </c>
      <c r="AA344" t="s">
        <v>506</v>
      </c>
      <c r="AB344">
        <v>2</v>
      </c>
      <c r="AC344">
        <v>6</v>
      </c>
      <c r="AD344" t="b">
        <v>1</v>
      </c>
      <c r="AE344">
        <v>2024</v>
      </c>
      <c r="AF344" s="3">
        <v>367</v>
      </c>
      <c r="AG344" s="3">
        <v>45593</v>
      </c>
      <c r="AH344" s="3">
        <v>46690</v>
      </c>
      <c r="AJ344" s="4">
        <f>VLOOKUP(A344,'[1]1'!B:Q,16,0)</f>
        <v>900</v>
      </c>
      <c r="AK344" s="7">
        <f t="shared" ref="AK344:AK345" si="17">AJ344/250</f>
        <v>3.6</v>
      </c>
      <c r="AL344" s="3">
        <v>367</v>
      </c>
      <c r="AM344" s="3">
        <v>367</v>
      </c>
      <c r="AN344">
        <v>-8.3939435000000007</v>
      </c>
      <c r="AO344">
        <v>115.2928763</v>
      </c>
      <c r="AP344" t="s">
        <v>1782</v>
      </c>
      <c r="AT344">
        <v>99.75</v>
      </c>
      <c r="AW344">
        <v>0</v>
      </c>
      <c r="AX344">
        <v>0</v>
      </c>
      <c r="BA344">
        <v>0</v>
      </c>
      <c r="BB344">
        <v>0</v>
      </c>
      <c r="BE344">
        <v>0</v>
      </c>
      <c r="BF344">
        <v>0</v>
      </c>
      <c r="BJ344">
        <v>0</v>
      </c>
      <c r="BL344">
        <v>0</v>
      </c>
      <c r="BN344">
        <v>0</v>
      </c>
      <c r="BO344" s="6">
        <v>0</v>
      </c>
      <c r="BP344">
        <v>0</v>
      </c>
      <c r="BQ344">
        <v>0</v>
      </c>
      <c r="BR344">
        <v>0</v>
      </c>
    </row>
    <row r="345" spans="1:70" ht="15" customHeight="1" x14ac:dyDescent="0.35">
      <c r="A345" s="1" t="str">
        <f t="shared" si="14"/>
        <v>00RF</v>
      </c>
      <c r="B345" t="s">
        <v>1783</v>
      </c>
      <c r="C345" t="s">
        <v>1784</v>
      </c>
      <c r="D345" t="s">
        <v>1785</v>
      </c>
      <c r="E345" t="s">
        <v>1786</v>
      </c>
      <c r="F345" t="s">
        <v>516</v>
      </c>
      <c r="G345" t="s">
        <v>502</v>
      </c>
      <c r="H345" t="s">
        <v>502</v>
      </c>
      <c r="I345" t="s">
        <v>132</v>
      </c>
      <c r="J345" t="b">
        <v>1</v>
      </c>
      <c r="K345" t="s">
        <v>78</v>
      </c>
      <c r="L345" t="s">
        <v>79</v>
      </c>
      <c r="N345" t="s">
        <v>81</v>
      </c>
      <c r="O345" t="s">
        <v>82</v>
      </c>
      <c r="P345" t="s">
        <v>83</v>
      </c>
      <c r="Q345" t="s">
        <v>503</v>
      </c>
      <c r="R345">
        <v>24</v>
      </c>
      <c r="S345" t="s">
        <v>85</v>
      </c>
      <c r="T345" t="s">
        <v>179</v>
      </c>
      <c r="U345">
        <v>1111111</v>
      </c>
      <c r="V345" t="s">
        <v>122</v>
      </c>
      <c r="W345" t="s">
        <v>637</v>
      </c>
      <c r="X345" t="s">
        <v>638</v>
      </c>
      <c r="Y345" t="s">
        <v>89</v>
      </c>
      <c r="Z345" t="s">
        <v>90</v>
      </c>
      <c r="AA345" t="s">
        <v>506</v>
      </c>
      <c r="AB345">
        <v>1</v>
      </c>
      <c r="AC345">
        <v>6</v>
      </c>
      <c r="AD345" t="b">
        <v>1</v>
      </c>
      <c r="AE345">
        <v>2024</v>
      </c>
      <c r="AF345" s="3">
        <v>367</v>
      </c>
      <c r="AG345" s="3">
        <v>45302</v>
      </c>
      <c r="AH345" s="3">
        <v>46721</v>
      </c>
      <c r="AJ345" s="4">
        <f>VLOOKUP(A345,'[1]1'!B:Q,16,0)</f>
        <v>1440</v>
      </c>
      <c r="AK345" s="7">
        <f t="shared" si="17"/>
        <v>5.76</v>
      </c>
      <c r="AL345" s="3">
        <v>367</v>
      </c>
      <c r="AM345" s="3">
        <v>367</v>
      </c>
      <c r="AN345">
        <v>-8.7442905</v>
      </c>
      <c r="AO345">
        <v>115.1621373</v>
      </c>
      <c r="AP345" t="s">
        <v>1787</v>
      </c>
      <c r="AT345">
        <v>99.75</v>
      </c>
      <c r="AW345">
        <v>0</v>
      </c>
      <c r="AX345">
        <v>0</v>
      </c>
      <c r="BA345">
        <v>0</v>
      </c>
      <c r="BB345">
        <v>0</v>
      </c>
      <c r="BE345">
        <v>0</v>
      </c>
      <c r="BF345">
        <v>0</v>
      </c>
      <c r="BJ345">
        <v>0</v>
      </c>
      <c r="BL345">
        <v>0</v>
      </c>
      <c r="BN345">
        <v>0</v>
      </c>
      <c r="BO345" s="6">
        <v>0</v>
      </c>
      <c r="BP345">
        <v>0</v>
      </c>
      <c r="BQ345">
        <v>0</v>
      </c>
      <c r="BR345">
        <v>0</v>
      </c>
    </row>
    <row r="346" spans="1:70" ht="15" customHeight="1" x14ac:dyDescent="0.35">
      <c r="A346" s="1" t="str">
        <f t="shared" si="14"/>
        <v>00RR</v>
      </c>
      <c r="B346" t="s">
        <v>1788</v>
      </c>
      <c r="C346" t="s">
        <v>1789</v>
      </c>
      <c r="D346" t="s">
        <v>1790</v>
      </c>
      <c r="E346" t="s">
        <v>1791</v>
      </c>
      <c r="F346" t="s">
        <v>516</v>
      </c>
      <c r="G346" t="s">
        <v>502</v>
      </c>
      <c r="H346" t="s">
        <v>502</v>
      </c>
      <c r="I346" t="s">
        <v>563</v>
      </c>
      <c r="J346" t="b">
        <v>0</v>
      </c>
      <c r="K346" t="s">
        <v>78</v>
      </c>
      <c r="L346" t="s">
        <v>79</v>
      </c>
      <c r="N346" t="s">
        <v>81</v>
      </c>
      <c r="O346" t="s">
        <v>82</v>
      </c>
      <c r="P346" t="s">
        <v>83</v>
      </c>
      <c r="Q346" t="s">
        <v>503</v>
      </c>
      <c r="R346">
        <v>24</v>
      </c>
      <c r="S346" t="s">
        <v>85</v>
      </c>
      <c r="T346" t="s">
        <v>179</v>
      </c>
      <c r="U346">
        <v>1111111</v>
      </c>
      <c r="V346" t="s">
        <v>122</v>
      </c>
      <c r="W346" t="s">
        <v>637</v>
      </c>
      <c r="X346" t="s">
        <v>638</v>
      </c>
      <c r="Y346" t="s">
        <v>89</v>
      </c>
      <c r="Z346" t="s">
        <v>90</v>
      </c>
      <c r="AA346" t="s">
        <v>506</v>
      </c>
      <c r="AB346">
        <v>1</v>
      </c>
      <c r="AC346">
        <v>6</v>
      </c>
      <c r="AD346" t="b">
        <v>1</v>
      </c>
      <c r="AE346">
        <v>2024</v>
      </c>
      <c r="AF346" s="3">
        <v>367</v>
      </c>
      <c r="AG346" s="3">
        <v>45625</v>
      </c>
      <c r="AH346" s="3">
        <v>46721</v>
      </c>
      <c r="AJ346" s="4"/>
      <c r="AK346" s="4"/>
      <c r="AL346" s="3">
        <v>367</v>
      </c>
      <c r="AM346" s="3">
        <v>367</v>
      </c>
      <c r="AN346">
        <v>-8.7373542999999998</v>
      </c>
      <c r="AO346">
        <v>115.1755663</v>
      </c>
      <c r="AP346" t="s">
        <v>1792</v>
      </c>
      <c r="AT346">
        <v>99.75</v>
      </c>
      <c r="AW346">
        <v>0</v>
      </c>
      <c r="AX346">
        <v>0</v>
      </c>
      <c r="BA346">
        <v>0</v>
      </c>
      <c r="BB346">
        <v>0</v>
      </c>
      <c r="BE346">
        <v>0</v>
      </c>
      <c r="BF346">
        <v>0</v>
      </c>
      <c r="BJ346">
        <v>0</v>
      </c>
      <c r="BL346">
        <v>0</v>
      </c>
      <c r="BN346">
        <v>0</v>
      </c>
      <c r="BO346" s="6">
        <v>0</v>
      </c>
      <c r="BP346">
        <v>0</v>
      </c>
      <c r="BQ346">
        <v>0</v>
      </c>
      <c r="BR346">
        <v>0</v>
      </c>
    </row>
    <row r="347" spans="1:70" ht="15" customHeight="1" x14ac:dyDescent="0.35">
      <c r="A347" s="1" t="str">
        <f t="shared" si="14"/>
        <v>00ZB</v>
      </c>
      <c r="B347" t="s">
        <v>1793</v>
      </c>
      <c r="C347" t="s">
        <v>1794</v>
      </c>
      <c r="D347" t="s">
        <v>1795</v>
      </c>
      <c r="E347" t="s">
        <v>1796</v>
      </c>
      <c r="F347" t="s">
        <v>724</v>
      </c>
      <c r="G347" t="s">
        <v>502</v>
      </c>
      <c r="H347" t="s">
        <v>502</v>
      </c>
      <c r="I347" t="s">
        <v>178</v>
      </c>
      <c r="J347" t="b">
        <v>0</v>
      </c>
      <c r="K347" t="s">
        <v>78</v>
      </c>
      <c r="L347" t="s">
        <v>79</v>
      </c>
      <c r="N347" t="s">
        <v>81</v>
      </c>
      <c r="O347" t="s">
        <v>82</v>
      </c>
      <c r="P347" t="s">
        <v>83</v>
      </c>
      <c r="Q347" t="s">
        <v>503</v>
      </c>
      <c r="R347">
        <v>24</v>
      </c>
      <c r="S347" t="s">
        <v>85</v>
      </c>
      <c r="T347" t="s">
        <v>179</v>
      </c>
      <c r="U347">
        <v>1111111</v>
      </c>
      <c r="V347" t="s">
        <v>122</v>
      </c>
      <c r="W347" t="s">
        <v>517</v>
      </c>
      <c r="X347" t="s">
        <v>518</v>
      </c>
      <c r="Y347" t="s">
        <v>89</v>
      </c>
      <c r="Z347" t="s">
        <v>90</v>
      </c>
      <c r="AA347" t="s">
        <v>506</v>
      </c>
      <c r="AB347">
        <v>1</v>
      </c>
      <c r="AC347">
        <v>6</v>
      </c>
      <c r="AD347" t="b">
        <v>1</v>
      </c>
      <c r="AE347">
        <v>2024</v>
      </c>
      <c r="AF347" s="3">
        <v>367</v>
      </c>
      <c r="AG347" s="3">
        <v>45625</v>
      </c>
      <c r="AH347" s="3">
        <v>46721</v>
      </c>
      <c r="AJ347" s="4">
        <f>VLOOKUP(A347,'[1]1'!B:Q,16,0)</f>
        <v>900</v>
      </c>
      <c r="AK347" s="7">
        <f t="shared" ref="AK347:AK349" si="18">AJ347/250</f>
        <v>3.6</v>
      </c>
      <c r="AL347" s="3">
        <v>367</v>
      </c>
      <c r="AM347" s="3">
        <v>367</v>
      </c>
      <c r="AN347">
        <v>-8.5433398</v>
      </c>
      <c r="AO347">
        <v>115.1160702</v>
      </c>
      <c r="AP347" t="s">
        <v>1797</v>
      </c>
      <c r="AT347">
        <v>99.75</v>
      </c>
      <c r="AW347">
        <v>0</v>
      </c>
      <c r="AX347">
        <v>0</v>
      </c>
      <c r="BA347">
        <v>0</v>
      </c>
      <c r="BB347">
        <v>0</v>
      </c>
      <c r="BE347">
        <v>0</v>
      </c>
      <c r="BF347">
        <v>0</v>
      </c>
      <c r="BJ347">
        <v>0</v>
      </c>
      <c r="BL347">
        <v>0</v>
      </c>
      <c r="BN347">
        <v>0</v>
      </c>
      <c r="BO347" s="6">
        <v>0</v>
      </c>
      <c r="BP347">
        <v>0</v>
      </c>
      <c r="BQ347">
        <v>0</v>
      </c>
      <c r="BR347">
        <v>0</v>
      </c>
    </row>
    <row r="348" spans="1:70" ht="15" customHeight="1" x14ac:dyDescent="0.35">
      <c r="A348" s="1" t="str">
        <f t="shared" si="14"/>
        <v>681Z</v>
      </c>
      <c r="B348" t="s">
        <v>1798</v>
      </c>
      <c r="C348" t="s">
        <v>1799</v>
      </c>
      <c r="D348" t="s">
        <v>1800</v>
      </c>
      <c r="E348" t="s">
        <v>1801</v>
      </c>
      <c r="F348" t="s">
        <v>516</v>
      </c>
      <c r="G348" t="s">
        <v>502</v>
      </c>
      <c r="H348" t="s">
        <v>502</v>
      </c>
      <c r="I348" t="s">
        <v>113</v>
      </c>
      <c r="J348" t="b">
        <v>1</v>
      </c>
      <c r="K348" t="s">
        <v>78</v>
      </c>
      <c r="L348" t="s">
        <v>79</v>
      </c>
      <c r="N348" t="s">
        <v>81</v>
      </c>
      <c r="O348" t="s">
        <v>82</v>
      </c>
      <c r="P348" t="s">
        <v>83</v>
      </c>
      <c r="Q348" t="s">
        <v>503</v>
      </c>
      <c r="R348">
        <v>24</v>
      </c>
      <c r="S348" t="s">
        <v>85</v>
      </c>
      <c r="T348" t="s">
        <v>85</v>
      </c>
      <c r="U348">
        <v>1111111</v>
      </c>
      <c r="V348" t="s">
        <v>122</v>
      </c>
      <c r="W348" t="s">
        <v>504</v>
      </c>
      <c r="X348" t="s">
        <v>505</v>
      </c>
      <c r="Y348" t="s">
        <v>89</v>
      </c>
      <c r="Z348" t="s">
        <v>90</v>
      </c>
      <c r="AA348" t="s">
        <v>506</v>
      </c>
      <c r="AB348">
        <v>1</v>
      </c>
      <c r="AC348">
        <v>6</v>
      </c>
      <c r="AD348" t="b">
        <v>1</v>
      </c>
      <c r="AE348">
        <v>2025</v>
      </c>
      <c r="AF348" s="3">
        <v>367</v>
      </c>
      <c r="AG348" s="3">
        <v>45698</v>
      </c>
      <c r="AH348" s="3">
        <v>46793</v>
      </c>
      <c r="AJ348" s="4">
        <f>VLOOKUP(A348,'[1]1'!B:Q,16,0)</f>
        <v>1440</v>
      </c>
      <c r="AK348" s="7">
        <f t="shared" si="18"/>
        <v>5.76</v>
      </c>
      <c r="AL348" s="3">
        <v>367</v>
      </c>
      <c r="AM348" s="3">
        <v>367</v>
      </c>
      <c r="AN348">
        <v>-8.8296414999999993</v>
      </c>
      <c r="AO348">
        <v>115.2135964</v>
      </c>
      <c r="AP348" t="s">
        <v>1802</v>
      </c>
      <c r="AT348">
        <v>99.75</v>
      </c>
      <c r="AW348">
        <v>0</v>
      </c>
      <c r="AX348">
        <v>0</v>
      </c>
      <c r="BA348">
        <v>0</v>
      </c>
      <c r="BB348">
        <v>0</v>
      </c>
      <c r="BE348">
        <v>0</v>
      </c>
      <c r="BF348">
        <v>0</v>
      </c>
      <c r="BJ348">
        <v>0</v>
      </c>
      <c r="BL348">
        <v>0</v>
      </c>
      <c r="BN348">
        <v>0</v>
      </c>
      <c r="BO348" s="6">
        <v>0</v>
      </c>
      <c r="BP348">
        <v>0</v>
      </c>
      <c r="BQ348">
        <v>0</v>
      </c>
      <c r="BR348">
        <v>0</v>
      </c>
    </row>
    <row r="349" spans="1:70" ht="15" customHeight="1" x14ac:dyDescent="0.35">
      <c r="A349" s="1" t="str">
        <f t="shared" si="14"/>
        <v>00H1</v>
      </c>
      <c r="B349" t="s">
        <v>1803</v>
      </c>
      <c r="C349" t="s">
        <v>1804</v>
      </c>
      <c r="D349" t="s">
        <v>1805</v>
      </c>
      <c r="E349" t="s">
        <v>1806</v>
      </c>
      <c r="F349" t="s">
        <v>516</v>
      </c>
      <c r="G349" t="s">
        <v>502</v>
      </c>
      <c r="H349" t="s">
        <v>502</v>
      </c>
      <c r="I349" t="s">
        <v>148</v>
      </c>
      <c r="J349" t="b">
        <v>0</v>
      </c>
      <c r="K349" t="s">
        <v>78</v>
      </c>
      <c r="L349" t="s">
        <v>79</v>
      </c>
      <c r="N349" t="s">
        <v>81</v>
      </c>
      <c r="O349" t="s">
        <v>82</v>
      </c>
      <c r="P349" t="s">
        <v>83</v>
      </c>
      <c r="Q349" t="s">
        <v>503</v>
      </c>
      <c r="R349">
        <v>24</v>
      </c>
      <c r="S349" t="s">
        <v>85</v>
      </c>
      <c r="T349" t="s">
        <v>85</v>
      </c>
      <c r="U349">
        <v>1111111</v>
      </c>
      <c r="V349" t="s">
        <v>122</v>
      </c>
      <c r="W349" t="s">
        <v>504</v>
      </c>
      <c r="X349" t="s">
        <v>505</v>
      </c>
      <c r="Y349" t="s">
        <v>89</v>
      </c>
      <c r="Z349" t="s">
        <v>90</v>
      </c>
      <c r="AA349" t="s">
        <v>506</v>
      </c>
      <c r="AB349">
        <v>1</v>
      </c>
      <c r="AC349">
        <v>6</v>
      </c>
      <c r="AD349" t="b">
        <v>1</v>
      </c>
      <c r="AE349">
        <v>2025</v>
      </c>
      <c r="AF349" s="3">
        <v>367</v>
      </c>
      <c r="AG349" s="3">
        <v>45698</v>
      </c>
      <c r="AH349" s="3">
        <v>46793</v>
      </c>
      <c r="AJ349" s="4">
        <f>VLOOKUP(A349,'[1]1'!B:Q,16,0)</f>
        <v>1440</v>
      </c>
      <c r="AK349" s="7">
        <f t="shared" si="18"/>
        <v>5.76</v>
      </c>
      <c r="AL349" s="3">
        <v>367</v>
      </c>
      <c r="AM349" s="3">
        <v>367</v>
      </c>
      <c r="AN349">
        <v>-8.8286076999999992</v>
      </c>
      <c r="AO349">
        <v>115.2141903</v>
      </c>
      <c r="AP349" t="s">
        <v>1807</v>
      </c>
      <c r="AT349">
        <v>99.75</v>
      </c>
      <c r="AW349">
        <v>0</v>
      </c>
      <c r="AX349">
        <v>0</v>
      </c>
      <c r="BA349">
        <v>0</v>
      </c>
      <c r="BB349">
        <v>0</v>
      </c>
      <c r="BE349">
        <v>0</v>
      </c>
      <c r="BF349">
        <v>0</v>
      </c>
      <c r="BJ349">
        <v>0</v>
      </c>
      <c r="BL349">
        <v>0</v>
      </c>
      <c r="BN349">
        <v>0</v>
      </c>
      <c r="BO349" s="6">
        <v>0</v>
      </c>
      <c r="BP349">
        <v>0</v>
      </c>
      <c r="BQ349">
        <v>0</v>
      </c>
      <c r="BR349">
        <v>0</v>
      </c>
    </row>
    <row r="350" spans="1:70" ht="15" customHeight="1" x14ac:dyDescent="0.35">
      <c r="A350" s="1" t="str">
        <f t="shared" si="14"/>
        <v>00E5</v>
      </c>
      <c r="B350" t="s">
        <v>1808</v>
      </c>
      <c r="C350" t="s">
        <v>1809</v>
      </c>
      <c r="D350" t="s">
        <v>1810</v>
      </c>
      <c r="E350" t="s">
        <v>1811</v>
      </c>
      <c r="F350" t="s">
        <v>516</v>
      </c>
      <c r="G350" t="s">
        <v>502</v>
      </c>
      <c r="H350" t="s">
        <v>502</v>
      </c>
      <c r="I350" t="s">
        <v>148</v>
      </c>
      <c r="J350" t="b">
        <v>0</v>
      </c>
      <c r="K350" t="s">
        <v>78</v>
      </c>
      <c r="L350" t="s">
        <v>79</v>
      </c>
      <c r="N350" t="s">
        <v>81</v>
      </c>
      <c r="O350" t="s">
        <v>82</v>
      </c>
      <c r="P350" t="s">
        <v>83</v>
      </c>
      <c r="Q350" t="s">
        <v>503</v>
      </c>
      <c r="R350">
        <v>24</v>
      </c>
      <c r="S350" t="s">
        <v>85</v>
      </c>
      <c r="T350" t="s">
        <v>85</v>
      </c>
      <c r="U350">
        <v>1111111</v>
      </c>
      <c r="V350" t="s">
        <v>122</v>
      </c>
      <c r="W350" t="s">
        <v>504</v>
      </c>
      <c r="X350" t="s">
        <v>505</v>
      </c>
      <c r="Y350" t="s">
        <v>89</v>
      </c>
      <c r="Z350" t="s">
        <v>90</v>
      </c>
      <c r="AA350" t="s">
        <v>506</v>
      </c>
      <c r="AB350">
        <v>1</v>
      </c>
      <c r="AC350">
        <v>6</v>
      </c>
      <c r="AD350" t="b">
        <v>1</v>
      </c>
      <c r="AE350">
        <v>2025</v>
      </c>
      <c r="AF350" s="3">
        <v>367</v>
      </c>
      <c r="AG350" s="3">
        <v>45698</v>
      </c>
      <c r="AH350" s="3">
        <v>46793</v>
      </c>
      <c r="AJ350" s="4"/>
      <c r="AK350" s="4"/>
      <c r="AL350" s="3">
        <v>367</v>
      </c>
      <c r="AM350" s="3">
        <v>367</v>
      </c>
      <c r="AN350">
        <v>-8.8291799999999991</v>
      </c>
      <c r="AO350">
        <v>115.08640370000001</v>
      </c>
      <c r="AP350" t="s">
        <v>1812</v>
      </c>
      <c r="AT350">
        <v>99.75</v>
      </c>
      <c r="AW350">
        <v>0</v>
      </c>
      <c r="AX350">
        <v>0</v>
      </c>
      <c r="BA350">
        <v>0</v>
      </c>
      <c r="BB350">
        <v>0</v>
      </c>
      <c r="BE350">
        <v>0</v>
      </c>
      <c r="BF350">
        <v>0</v>
      </c>
      <c r="BJ350">
        <v>0</v>
      </c>
      <c r="BL350">
        <v>0</v>
      </c>
      <c r="BN350">
        <v>0</v>
      </c>
      <c r="BO350" s="6">
        <v>0</v>
      </c>
      <c r="BP350">
        <v>0</v>
      </c>
      <c r="BQ350">
        <v>0</v>
      </c>
      <c r="BR350">
        <v>0</v>
      </c>
    </row>
    <row r="351" spans="1:70" ht="15" customHeight="1" x14ac:dyDescent="0.35">
      <c r="A351" s="1" t="str">
        <f t="shared" si="14"/>
        <v>470E</v>
      </c>
      <c r="B351" t="s">
        <v>1813</v>
      </c>
      <c r="C351" t="s">
        <v>1814</v>
      </c>
      <c r="D351" t="s">
        <v>1815</v>
      </c>
      <c r="E351" t="s">
        <v>1816</v>
      </c>
      <c r="F351" t="s">
        <v>516</v>
      </c>
      <c r="G351" t="s">
        <v>502</v>
      </c>
      <c r="H351" t="s">
        <v>502</v>
      </c>
      <c r="I351" t="s">
        <v>137</v>
      </c>
      <c r="J351" t="b">
        <v>0</v>
      </c>
      <c r="K351" t="s">
        <v>78</v>
      </c>
      <c r="L351" t="s">
        <v>79</v>
      </c>
      <c r="N351" t="s">
        <v>81</v>
      </c>
      <c r="O351" t="s">
        <v>82</v>
      </c>
      <c r="P351" t="s">
        <v>83</v>
      </c>
      <c r="Q351" t="s">
        <v>503</v>
      </c>
      <c r="R351">
        <v>24</v>
      </c>
      <c r="S351" t="s">
        <v>85</v>
      </c>
      <c r="T351" t="s">
        <v>179</v>
      </c>
      <c r="U351">
        <v>1111111</v>
      </c>
      <c r="V351" t="s">
        <v>122</v>
      </c>
      <c r="W351" t="s">
        <v>504</v>
      </c>
      <c r="X351" t="s">
        <v>505</v>
      </c>
      <c r="Y351" t="s">
        <v>89</v>
      </c>
      <c r="Z351" t="s">
        <v>90</v>
      </c>
      <c r="AA351" t="s">
        <v>506</v>
      </c>
      <c r="AB351">
        <v>1</v>
      </c>
      <c r="AC351">
        <v>6</v>
      </c>
      <c r="AD351" t="b">
        <v>1</v>
      </c>
      <c r="AE351">
        <v>2024</v>
      </c>
      <c r="AF351" s="3">
        <v>367</v>
      </c>
      <c r="AG351" s="3">
        <v>45699</v>
      </c>
      <c r="AH351" s="3">
        <v>46811</v>
      </c>
      <c r="AJ351" s="4"/>
      <c r="AK351" s="4"/>
      <c r="AL351" s="3">
        <v>367</v>
      </c>
      <c r="AM351" s="3">
        <v>367</v>
      </c>
      <c r="AN351">
        <v>-8.8010175999999998</v>
      </c>
      <c r="AO351">
        <v>115.2138818</v>
      </c>
      <c r="AP351" t="s">
        <v>1817</v>
      </c>
      <c r="AT351">
        <v>99.75</v>
      </c>
      <c r="AW351">
        <v>0</v>
      </c>
      <c r="AX351">
        <v>0</v>
      </c>
      <c r="BA351">
        <v>0</v>
      </c>
      <c r="BB351">
        <v>0</v>
      </c>
      <c r="BE351">
        <v>0</v>
      </c>
      <c r="BF351">
        <v>0</v>
      </c>
      <c r="BJ351">
        <v>0</v>
      </c>
      <c r="BL351">
        <v>0</v>
      </c>
      <c r="BN351">
        <v>0</v>
      </c>
      <c r="BO351" s="6">
        <v>0</v>
      </c>
      <c r="BP351">
        <v>0</v>
      </c>
      <c r="BQ351">
        <v>0</v>
      </c>
      <c r="BR351">
        <v>0</v>
      </c>
    </row>
    <row r="352" spans="1:70" ht="15" customHeight="1" x14ac:dyDescent="0.35">
      <c r="A352" s="1" t="str">
        <f t="shared" si="14"/>
        <v>00UD</v>
      </c>
      <c r="B352" t="s">
        <v>1818</v>
      </c>
      <c r="C352" t="s">
        <v>1819</v>
      </c>
      <c r="D352" t="s">
        <v>1820</v>
      </c>
      <c r="E352" t="s">
        <v>1821</v>
      </c>
      <c r="F352" t="s">
        <v>516</v>
      </c>
      <c r="G352" t="s">
        <v>502</v>
      </c>
      <c r="H352" t="s">
        <v>502</v>
      </c>
      <c r="I352" t="s">
        <v>148</v>
      </c>
      <c r="J352" t="b">
        <v>0</v>
      </c>
      <c r="K352" t="s">
        <v>78</v>
      </c>
      <c r="L352" t="s">
        <v>79</v>
      </c>
      <c r="N352" t="s">
        <v>81</v>
      </c>
      <c r="O352" t="s">
        <v>82</v>
      </c>
      <c r="P352" t="s">
        <v>83</v>
      </c>
      <c r="Q352" t="s">
        <v>503</v>
      </c>
      <c r="R352">
        <v>24</v>
      </c>
      <c r="S352" t="s">
        <v>85</v>
      </c>
      <c r="T352" t="s">
        <v>179</v>
      </c>
      <c r="U352">
        <v>1111111</v>
      </c>
      <c r="V352" t="s">
        <v>122</v>
      </c>
      <c r="W352" t="s">
        <v>504</v>
      </c>
      <c r="X352" t="s">
        <v>505</v>
      </c>
      <c r="Y352" t="s">
        <v>89</v>
      </c>
      <c r="Z352" t="s">
        <v>90</v>
      </c>
      <c r="AA352" t="s">
        <v>506</v>
      </c>
      <c r="AB352">
        <v>1</v>
      </c>
      <c r="AC352">
        <v>6</v>
      </c>
      <c r="AD352" t="b">
        <v>1</v>
      </c>
      <c r="AE352">
        <v>2024</v>
      </c>
      <c r="AF352" s="3">
        <v>367</v>
      </c>
      <c r="AG352" s="3">
        <v>45699</v>
      </c>
      <c r="AH352" s="3">
        <v>46811</v>
      </c>
      <c r="AJ352" s="4">
        <f>VLOOKUP(A352,'[1]1'!B:Q,16,0)</f>
        <v>1440</v>
      </c>
      <c r="AK352" s="7">
        <f>AJ352/250</f>
        <v>5.76</v>
      </c>
      <c r="AL352" s="3">
        <v>367</v>
      </c>
      <c r="AM352" s="3">
        <v>367</v>
      </c>
      <c r="AN352">
        <v>-8.8006662000000002</v>
      </c>
      <c r="AO352">
        <v>115.21458699999999</v>
      </c>
      <c r="AP352" t="s">
        <v>1822</v>
      </c>
      <c r="AT352">
        <v>99.75</v>
      </c>
      <c r="AW352">
        <v>0</v>
      </c>
      <c r="AX352">
        <v>0</v>
      </c>
      <c r="BA352">
        <v>0</v>
      </c>
      <c r="BB352">
        <v>0</v>
      </c>
      <c r="BE352">
        <v>0</v>
      </c>
      <c r="BF352">
        <v>0</v>
      </c>
      <c r="BJ352">
        <v>0</v>
      </c>
      <c r="BL352">
        <v>0</v>
      </c>
      <c r="BN352">
        <v>0</v>
      </c>
      <c r="BO352" s="6">
        <v>0</v>
      </c>
      <c r="BP352">
        <v>0</v>
      </c>
      <c r="BQ352">
        <v>0</v>
      </c>
      <c r="BR352">
        <v>0</v>
      </c>
    </row>
    <row r="353" spans="1:70" ht="15" customHeight="1" x14ac:dyDescent="0.35">
      <c r="A353" s="1" t="str">
        <f t="shared" si="14"/>
        <v>4102</v>
      </c>
      <c r="B353" t="s">
        <v>1823</v>
      </c>
      <c r="C353" t="s">
        <v>1824</v>
      </c>
      <c r="D353" t="s">
        <v>1825</v>
      </c>
      <c r="E353" t="s">
        <v>1826</v>
      </c>
      <c r="F353" t="s">
        <v>516</v>
      </c>
      <c r="G353" t="s">
        <v>502</v>
      </c>
      <c r="H353" t="s">
        <v>502</v>
      </c>
      <c r="I353" t="s">
        <v>178</v>
      </c>
      <c r="J353" t="b">
        <v>0</v>
      </c>
      <c r="K353" t="s">
        <v>78</v>
      </c>
      <c r="L353" t="s">
        <v>79</v>
      </c>
      <c r="N353" t="s">
        <v>81</v>
      </c>
      <c r="O353" t="s">
        <v>82</v>
      </c>
      <c r="P353" t="s">
        <v>83</v>
      </c>
      <c r="Q353" t="s">
        <v>503</v>
      </c>
      <c r="R353">
        <v>24</v>
      </c>
      <c r="S353" t="s">
        <v>85</v>
      </c>
      <c r="T353" t="s">
        <v>179</v>
      </c>
      <c r="U353">
        <v>1111111</v>
      </c>
      <c r="V353" t="s">
        <v>122</v>
      </c>
      <c r="W353" t="s">
        <v>504</v>
      </c>
      <c r="X353" t="s">
        <v>505</v>
      </c>
      <c r="Y353" t="s">
        <v>89</v>
      </c>
      <c r="Z353" t="s">
        <v>90</v>
      </c>
      <c r="AA353" t="s">
        <v>506</v>
      </c>
      <c r="AB353">
        <v>1</v>
      </c>
      <c r="AC353">
        <v>6</v>
      </c>
      <c r="AD353" t="b">
        <v>1</v>
      </c>
      <c r="AE353">
        <v>2024</v>
      </c>
      <c r="AF353" s="3">
        <v>367</v>
      </c>
      <c r="AG353" s="3">
        <v>45699</v>
      </c>
      <c r="AH353" s="3">
        <v>46811</v>
      </c>
      <c r="AJ353" s="4"/>
      <c r="AK353" s="4"/>
      <c r="AL353" s="3">
        <v>367</v>
      </c>
      <c r="AM353" s="3">
        <v>367</v>
      </c>
      <c r="AN353">
        <v>-8.7983053000000009</v>
      </c>
      <c r="AO353">
        <v>115.2230691</v>
      </c>
      <c r="AP353" t="s">
        <v>1827</v>
      </c>
      <c r="AT353">
        <v>99.75</v>
      </c>
      <c r="AW353">
        <v>0</v>
      </c>
      <c r="AX353">
        <v>0</v>
      </c>
      <c r="BA353">
        <v>0</v>
      </c>
      <c r="BB353">
        <v>0</v>
      </c>
      <c r="BE353">
        <v>0</v>
      </c>
      <c r="BF353">
        <v>0</v>
      </c>
      <c r="BJ353">
        <v>0</v>
      </c>
      <c r="BL353">
        <v>0</v>
      </c>
      <c r="BN353">
        <v>0</v>
      </c>
      <c r="BO353" s="6">
        <v>0</v>
      </c>
      <c r="BP353">
        <v>0</v>
      </c>
      <c r="BQ353">
        <v>0</v>
      </c>
      <c r="BR353">
        <v>0</v>
      </c>
    </row>
    <row r="354" spans="1:70" ht="15" customHeight="1" x14ac:dyDescent="0.35">
      <c r="A354" s="1" t="str">
        <f t="shared" si="14"/>
        <v>066L</v>
      </c>
      <c r="B354" t="s">
        <v>1828</v>
      </c>
      <c r="C354" t="s">
        <v>1829</v>
      </c>
      <c r="D354" t="s">
        <v>1830</v>
      </c>
      <c r="E354" t="s">
        <v>1831</v>
      </c>
      <c r="F354" t="s">
        <v>516</v>
      </c>
      <c r="G354" t="s">
        <v>502</v>
      </c>
      <c r="H354" t="s">
        <v>502</v>
      </c>
      <c r="I354" t="s">
        <v>148</v>
      </c>
      <c r="J354" t="b">
        <v>0</v>
      </c>
      <c r="K354" t="s">
        <v>78</v>
      </c>
      <c r="L354" t="s">
        <v>79</v>
      </c>
      <c r="N354" t="s">
        <v>81</v>
      </c>
      <c r="O354" t="s">
        <v>82</v>
      </c>
      <c r="P354" t="s">
        <v>83</v>
      </c>
      <c r="Q354" t="s">
        <v>503</v>
      </c>
      <c r="R354">
        <v>24</v>
      </c>
      <c r="S354" t="s">
        <v>85</v>
      </c>
      <c r="T354" t="s">
        <v>179</v>
      </c>
      <c r="U354">
        <v>1111111</v>
      </c>
      <c r="V354" t="s">
        <v>122</v>
      </c>
      <c r="W354" t="s">
        <v>637</v>
      </c>
      <c r="X354" t="s">
        <v>638</v>
      </c>
      <c r="Y354" t="s">
        <v>89</v>
      </c>
      <c r="Z354" t="s">
        <v>90</v>
      </c>
      <c r="AA354" t="s">
        <v>506</v>
      </c>
      <c r="AB354">
        <v>1</v>
      </c>
      <c r="AC354">
        <v>6</v>
      </c>
      <c r="AD354" t="b">
        <v>1</v>
      </c>
      <c r="AE354">
        <v>2024</v>
      </c>
      <c r="AF354" s="3">
        <v>367</v>
      </c>
      <c r="AG354" s="3">
        <v>45700</v>
      </c>
      <c r="AH354" s="3">
        <v>46811</v>
      </c>
      <c r="AJ354" s="4">
        <f>VLOOKUP(A354,'[1]1'!B:Q,16,0)</f>
        <v>1440</v>
      </c>
      <c r="AK354" s="7">
        <f t="shared" ref="AK354:AK359" si="19">AJ354/250</f>
        <v>5.76</v>
      </c>
      <c r="AL354" s="3">
        <v>367</v>
      </c>
      <c r="AM354" s="3">
        <v>367</v>
      </c>
      <c r="AN354">
        <v>-8.7609250999999997</v>
      </c>
      <c r="AO354">
        <v>115.1766897</v>
      </c>
      <c r="AP354" t="s">
        <v>1832</v>
      </c>
      <c r="AT354">
        <v>99.75</v>
      </c>
      <c r="AW354">
        <v>0</v>
      </c>
      <c r="AX354">
        <v>0</v>
      </c>
      <c r="BA354">
        <v>0</v>
      </c>
      <c r="BB354">
        <v>0</v>
      </c>
      <c r="BE354">
        <v>0</v>
      </c>
      <c r="BF354">
        <v>0</v>
      </c>
      <c r="BJ354">
        <v>0</v>
      </c>
      <c r="BL354">
        <v>0</v>
      </c>
      <c r="BN354">
        <v>0</v>
      </c>
      <c r="BO354" s="6">
        <v>0</v>
      </c>
      <c r="BP354">
        <v>0</v>
      </c>
      <c r="BQ354">
        <v>0</v>
      </c>
      <c r="BR354">
        <v>0</v>
      </c>
    </row>
    <row r="355" spans="1:70" ht="15" customHeight="1" x14ac:dyDescent="0.35">
      <c r="A355" s="1" t="str">
        <f t="shared" si="14"/>
        <v>2045</v>
      </c>
      <c r="B355" t="s">
        <v>1833</v>
      </c>
      <c r="C355" t="s">
        <v>1834</v>
      </c>
      <c r="D355" t="s">
        <v>1835</v>
      </c>
      <c r="E355" t="s">
        <v>1836</v>
      </c>
      <c r="F355" t="s">
        <v>516</v>
      </c>
      <c r="G355" t="s">
        <v>502</v>
      </c>
      <c r="H355" t="s">
        <v>502</v>
      </c>
      <c r="I355" t="s">
        <v>1837</v>
      </c>
      <c r="J355" t="b">
        <v>0</v>
      </c>
      <c r="K355" t="s">
        <v>78</v>
      </c>
      <c r="L355" t="s">
        <v>79</v>
      </c>
      <c r="N355" t="s">
        <v>81</v>
      </c>
      <c r="O355" t="s">
        <v>82</v>
      </c>
      <c r="P355" t="s">
        <v>83</v>
      </c>
      <c r="Q355" t="s">
        <v>503</v>
      </c>
      <c r="R355">
        <v>24</v>
      </c>
      <c r="S355" t="s">
        <v>85</v>
      </c>
      <c r="T355" t="s">
        <v>179</v>
      </c>
      <c r="U355">
        <v>1111111</v>
      </c>
      <c r="V355" t="s">
        <v>122</v>
      </c>
      <c r="W355" t="s">
        <v>637</v>
      </c>
      <c r="X355" t="s">
        <v>638</v>
      </c>
      <c r="Y355" t="s">
        <v>89</v>
      </c>
      <c r="Z355" t="s">
        <v>90</v>
      </c>
      <c r="AA355" t="s">
        <v>506</v>
      </c>
      <c r="AB355">
        <v>1</v>
      </c>
      <c r="AC355">
        <v>6</v>
      </c>
      <c r="AD355" t="b">
        <v>1</v>
      </c>
      <c r="AE355">
        <v>2024</v>
      </c>
      <c r="AF355" s="3">
        <v>367</v>
      </c>
      <c r="AG355" s="3">
        <v>45700</v>
      </c>
      <c r="AH355" s="3">
        <v>46811</v>
      </c>
      <c r="AJ355" s="4">
        <f>VLOOKUP(A355,'[1]1'!B:Q,16,0)</f>
        <v>1440</v>
      </c>
      <c r="AK355" s="7">
        <f t="shared" si="19"/>
        <v>5.76</v>
      </c>
      <c r="AL355" s="3">
        <v>367</v>
      </c>
      <c r="AM355" s="3">
        <v>367</v>
      </c>
      <c r="AN355">
        <v>-8.7411437999999997</v>
      </c>
      <c r="AO355">
        <v>115.178665</v>
      </c>
      <c r="AP355" t="s">
        <v>1838</v>
      </c>
      <c r="AT355">
        <v>99.75</v>
      </c>
      <c r="AW355">
        <v>0</v>
      </c>
      <c r="AX355">
        <v>0</v>
      </c>
      <c r="BA355">
        <v>0</v>
      </c>
      <c r="BB355">
        <v>0</v>
      </c>
      <c r="BE355">
        <v>0</v>
      </c>
      <c r="BF355">
        <v>0</v>
      </c>
      <c r="BJ355">
        <v>0</v>
      </c>
      <c r="BL355">
        <v>0</v>
      </c>
      <c r="BN355">
        <v>0</v>
      </c>
      <c r="BO355" s="6">
        <v>0</v>
      </c>
      <c r="BP355">
        <v>0</v>
      </c>
      <c r="BQ355">
        <v>0</v>
      </c>
      <c r="BR355">
        <v>0</v>
      </c>
    </row>
    <row r="356" spans="1:70" ht="15" customHeight="1" x14ac:dyDescent="0.35">
      <c r="A356" s="1" t="str">
        <f t="shared" si="14"/>
        <v>3353</v>
      </c>
      <c r="B356" t="s">
        <v>1839</v>
      </c>
      <c r="C356" t="s">
        <v>1840</v>
      </c>
      <c r="D356" t="s">
        <v>1841</v>
      </c>
      <c r="E356" t="s">
        <v>1842</v>
      </c>
      <c r="F356" t="s">
        <v>516</v>
      </c>
      <c r="G356" t="s">
        <v>502</v>
      </c>
      <c r="H356" t="s">
        <v>502</v>
      </c>
      <c r="I356" t="s">
        <v>137</v>
      </c>
      <c r="J356" t="b">
        <v>0</v>
      </c>
      <c r="K356" t="s">
        <v>78</v>
      </c>
      <c r="L356" t="s">
        <v>79</v>
      </c>
      <c r="N356" t="s">
        <v>81</v>
      </c>
      <c r="O356" t="s">
        <v>82</v>
      </c>
      <c r="P356" t="s">
        <v>83</v>
      </c>
      <c r="Q356" t="s">
        <v>503</v>
      </c>
      <c r="R356">
        <v>24</v>
      </c>
      <c r="S356" t="s">
        <v>85</v>
      </c>
      <c r="T356" t="s">
        <v>179</v>
      </c>
      <c r="U356">
        <v>1111111</v>
      </c>
      <c r="V356" t="s">
        <v>122</v>
      </c>
      <c r="W356" t="s">
        <v>637</v>
      </c>
      <c r="X356" t="s">
        <v>638</v>
      </c>
      <c r="Y356" t="s">
        <v>89</v>
      </c>
      <c r="Z356" t="s">
        <v>90</v>
      </c>
      <c r="AA356" t="s">
        <v>506</v>
      </c>
      <c r="AB356">
        <v>1</v>
      </c>
      <c r="AC356">
        <v>6</v>
      </c>
      <c r="AD356" t="b">
        <v>1</v>
      </c>
      <c r="AE356">
        <v>2024</v>
      </c>
      <c r="AF356" s="3">
        <v>367</v>
      </c>
      <c r="AG356" s="3">
        <v>45700</v>
      </c>
      <c r="AH356" s="3">
        <v>46811</v>
      </c>
      <c r="AJ356" s="4">
        <f>VLOOKUP(A356,'[1]1'!B:Q,16,0)</f>
        <v>1440</v>
      </c>
      <c r="AK356" s="7">
        <f t="shared" si="19"/>
        <v>5.76</v>
      </c>
      <c r="AL356" s="3">
        <v>367</v>
      </c>
      <c r="AM356" s="3">
        <v>367</v>
      </c>
      <c r="AN356">
        <v>-8.7387046999999995</v>
      </c>
      <c r="AO356">
        <v>115.1727542</v>
      </c>
      <c r="AP356" t="s">
        <v>1843</v>
      </c>
      <c r="AT356">
        <v>99.75</v>
      </c>
      <c r="AW356">
        <v>0</v>
      </c>
      <c r="AX356">
        <v>0</v>
      </c>
      <c r="BA356">
        <v>0</v>
      </c>
      <c r="BB356">
        <v>0</v>
      </c>
      <c r="BE356">
        <v>0</v>
      </c>
      <c r="BF356">
        <v>0</v>
      </c>
      <c r="BJ356">
        <v>0</v>
      </c>
      <c r="BL356">
        <v>0</v>
      </c>
      <c r="BN356">
        <v>0</v>
      </c>
      <c r="BO356" s="6">
        <v>0</v>
      </c>
      <c r="BP356">
        <v>0</v>
      </c>
      <c r="BQ356">
        <v>0</v>
      </c>
      <c r="BR356">
        <v>0</v>
      </c>
    </row>
    <row r="357" spans="1:70" ht="15" customHeight="1" x14ac:dyDescent="0.35">
      <c r="A357" s="1" t="str">
        <f t="shared" si="14"/>
        <v>066J</v>
      </c>
      <c r="B357" t="s">
        <v>1844</v>
      </c>
      <c r="C357" t="s">
        <v>1845</v>
      </c>
      <c r="D357" t="s">
        <v>1846</v>
      </c>
      <c r="E357" t="s">
        <v>1847</v>
      </c>
      <c r="F357" t="s">
        <v>516</v>
      </c>
      <c r="G357" t="s">
        <v>502</v>
      </c>
      <c r="H357" t="s">
        <v>502</v>
      </c>
      <c r="I357" t="s">
        <v>148</v>
      </c>
      <c r="J357" t="b">
        <v>0</v>
      </c>
      <c r="K357" t="s">
        <v>78</v>
      </c>
      <c r="L357" t="s">
        <v>79</v>
      </c>
      <c r="N357" t="s">
        <v>81</v>
      </c>
      <c r="O357" t="s">
        <v>82</v>
      </c>
      <c r="P357" t="s">
        <v>83</v>
      </c>
      <c r="Q357" t="s">
        <v>503</v>
      </c>
      <c r="R357">
        <v>24</v>
      </c>
      <c r="S357" t="s">
        <v>85</v>
      </c>
      <c r="T357" t="s">
        <v>85</v>
      </c>
      <c r="U357">
        <v>1111111</v>
      </c>
      <c r="V357" t="s">
        <v>122</v>
      </c>
      <c r="W357" t="s">
        <v>637</v>
      </c>
      <c r="X357" t="s">
        <v>638</v>
      </c>
      <c r="Y357" t="s">
        <v>89</v>
      </c>
      <c r="Z357" t="s">
        <v>90</v>
      </c>
      <c r="AA357" t="s">
        <v>506</v>
      </c>
      <c r="AB357">
        <v>1</v>
      </c>
      <c r="AC357">
        <v>6</v>
      </c>
      <c r="AD357" t="b">
        <v>1</v>
      </c>
      <c r="AE357">
        <v>2025</v>
      </c>
      <c r="AF357" s="3">
        <v>367</v>
      </c>
      <c r="AG357" s="3">
        <v>45701</v>
      </c>
      <c r="AH357" s="3">
        <v>46796</v>
      </c>
      <c r="AJ357" s="4">
        <f>VLOOKUP(A357,'[1]1'!B:Q,16,0)</f>
        <v>1440</v>
      </c>
      <c r="AK357" s="7">
        <f t="shared" si="19"/>
        <v>5.76</v>
      </c>
      <c r="AL357" s="3">
        <v>367</v>
      </c>
      <c r="AM357" s="3">
        <v>367</v>
      </c>
      <c r="AN357">
        <v>0</v>
      </c>
      <c r="AO357">
        <v>0</v>
      </c>
      <c r="AP357" t="s">
        <v>1848</v>
      </c>
      <c r="AT357">
        <v>99.75</v>
      </c>
      <c r="AW357">
        <v>0</v>
      </c>
      <c r="AX357">
        <v>0</v>
      </c>
      <c r="BA357">
        <v>0</v>
      </c>
      <c r="BB357">
        <v>0</v>
      </c>
      <c r="BE357">
        <v>0</v>
      </c>
      <c r="BF357">
        <v>0</v>
      </c>
      <c r="BJ357">
        <v>0</v>
      </c>
      <c r="BL357">
        <v>0</v>
      </c>
      <c r="BN357">
        <v>0</v>
      </c>
      <c r="BO357" s="6">
        <v>0</v>
      </c>
      <c r="BP357">
        <v>0</v>
      </c>
      <c r="BQ357">
        <v>0</v>
      </c>
      <c r="BR357">
        <v>0</v>
      </c>
    </row>
    <row r="358" spans="1:70" ht="15" customHeight="1" x14ac:dyDescent="0.35">
      <c r="A358" s="1" t="str">
        <f t="shared" si="14"/>
        <v>01JT</v>
      </c>
      <c r="B358" t="s">
        <v>1849</v>
      </c>
      <c r="C358" t="s">
        <v>1850</v>
      </c>
      <c r="D358" t="s">
        <v>1851</v>
      </c>
      <c r="E358" t="s">
        <v>1852</v>
      </c>
      <c r="F358" t="s">
        <v>501</v>
      </c>
      <c r="G358" t="s">
        <v>502</v>
      </c>
      <c r="H358" t="s">
        <v>502</v>
      </c>
      <c r="I358" t="s">
        <v>148</v>
      </c>
      <c r="J358" t="b">
        <v>0</v>
      </c>
      <c r="K358" t="s">
        <v>78</v>
      </c>
      <c r="L358" t="s">
        <v>79</v>
      </c>
      <c r="N358" t="s">
        <v>81</v>
      </c>
      <c r="O358" t="s">
        <v>82</v>
      </c>
      <c r="P358" t="s">
        <v>83</v>
      </c>
      <c r="Q358" t="s">
        <v>503</v>
      </c>
      <c r="R358">
        <v>24</v>
      </c>
      <c r="S358" t="s">
        <v>85</v>
      </c>
      <c r="T358" t="s">
        <v>85</v>
      </c>
      <c r="U358">
        <v>1111111</v>
      </c>
      <c r="V358" t="s">
        <v>122</v>
      </c>
      <c r="W358" t="s">
        <v>694</v>
      </c>
      <c r="X358" t="s">
        <v>695</v>
      </c>
      <c r="Y358" t="s">
        <v>89</v>
      </c>
      <c r="Z358" t="s">
        <v>90</v>
      </c>
      <c r="AA358" t="s">
        <v>506</v>
      </c>
      <c r="AB358">
        <v>1</v>
      </c>
      <c r="AC358">
        <v>6</v>
      </c>
      <c r="AD358" t="b">
        <v>1</v>
      </c>
      <c r="AE358">
        <v>2025</v>
      </c>
      <c r="AF358" s="3">
        <v>367</v>
      </c>
      <c r="AG358" s="3">
        <v>45701</v>
      </c>
      <c r="AH358" s="3">
        <v>46796</v>
      </c>
      <c r="AJ358" s="4">
        <f>VLOOKUP(A358,'[1]1'!B:Q,16,0)</f>
        <v>1440</v>
      </c>
      <c r="AK358" s="7">
        <f t="shared" si="19"/>
        <v>5.76</v>
      </c>
      <c r="AL358" s="3">
        <v>367</v>
      </c>
      <c r="AM358" s="3">
        <v>367</v>
      </c>
      <c r="AN358">
        <v>-8.6792593999999994</v>
      </c>
      <c r="AO358">
        <v>115.26009449999999</v>
      </c>
      <c r="AP358" t="s">
        <v>1853</v>
      </c>
      <c r="AT358">
        <v>99.75</v>
      </c>
      <c r="AW358">
        <v>0</v>
      </c>
      <c r="AX358">
        <v>0</v>
      </c>
      <c r="BA358">
        <v>0</v>
      </c>
      <c r="BB358">
        <v>0</v>
      </c>
      <c r="BE358">
        <v>0</v>
      </c>
      <c r="BF358">
        <v>0</v>
      </c>
      <c r="BJ358">
        <v>0</v>
      </c>
      <c r="BL358">
        <v>0</v>
      </c>
      <c r="BN358">
        <v>0</v>
      </c>
      <c r="BO358" s="6">
        <v>0</v>
      </c>
      <c r="BP358">
        <v>0</v>
      </c>
      <c r="BQ358">
        <v>0</v>
      </c>
      <c r="BR358">
        <v>0</v>
      </c>
    </row>
    <row r="359" spans="1:70" ht="15" customHeight="1" x14ac:dyDescent="0.35">
      <c r="A359" s="1" t="str">
        <f t="shared" si="14"/>
        <v>5015</v>
      </c>
      <c r="B359" t="s">
        <v>1854</v>
      </c>
      <c r="C359" t="s">
        <v>1855</v>
      </c>
      <c r="D359" t="s">
        <v>1856</v>
      </c>
      <c r="E359" t="s">
        <v>1857</v>
      </c>
      <c r="F359" t="s">
        <v>501</v>
      </c>
      <c r="G359" t="s">
        <v>502</v>
      </c>
      <c r="H359" t="s">
        <v>502</v>
      </c>
      <c r="I359" t="s">
        <v>148</v>
      </c>
      <c r="J359" t="b">
        <v>0</v>
      </c>
      <c r="K359" t="s">
        <v>78</v>
      </c>
      <c r="L359" t="s">
        <v>79</v>
      </c>
      <c r="N359" t="s">
        <v>81</v>
      </c>
      <c r="O359" t="s">
        <v>82</v>
      </c>
      <c r="P359" t="s">
        <v>83</v>
      </c>
      <c r="Q359" t="s">
        <v>503</v>
      </c>
      <c r="R359">
        <v>24</v>
      </c>
      <c r="S359" t="s">
        <v>85</v>
      </c>
      <c r="T359" t="s">
        <v>85</v>
      </c>
      <c r="U359">
        <v>1111111</v>
      </c>
      <c r="V359" t="s">
        <v>122</v>
      </c>
      <c r="W359" t="s">
        <v>523</v>
      </c>
      <c r="X359" t="s">
        <v>524</v>
      </c>
      <c r="Y359" t="s">
        <v>89</v>
      </c>
      <c r="Z359" t="s">
        <v>90</v>
      </c>
      <c r="AA359" t="s">
        <v>506</v>
      </c>
      <c r="AB359">
        <v>1</v>
      </c>
      <c r="AC359">
        <v>6</v>
      </c>
      <c r="AD359" t="b">
        <v>1</v>
      </c>
      <c r="AE359">
        <v>2025</v>
      </c>
      <c r="AF359" s="3">
        <v>367</v>
      </c>
      <c r="AG359" s="3">
        <v>45701</v>
      </c>
      <c r="AH359" s="3">
        <v>46796</v>
      </c>
      <c r="AJ359" s="4">
        <f>VLOOKUP(A359,'[1]1'!B:Q,16,0)</f>
        <v>1440</v>
      </c>
      <c r="AK359" s="7">
        <f t="shared" si="19"/>
        <v>5.76</v>
      </c>
      <c r="AL359" s="3">
        <v>367</v>
      </c>
      <c r="AM359" s="3">
        <v>367</v>
      </c>
      <c r="AN359">
        <v>-8.7205124999999999</v>
      </c>
      <c r="AO359">
        <v>115.1957707</v>
      </c>
      <c r="AP359" t="s">
        <v>1857</v>
      </c>
      <c r="AT359">
        <v>99.75</v>
      </c>
      <c r="AW359">
        <v>0</v>
      </c>
      <c r="AX359">
        <v>0</v>
      </c>
      <c r="BA359">
        <v>0</v>
      </c>
      <c r="BB359">
        <v>0</v>
      </c>
      <c r="BE359">
        <v>0</v>
      </c>
      <c r="BF359">
        <v>0</v>
      </c>
      <c r="BJ359">
        <v>0</v>
      </c>
      <c r="BL359">
        <v>0</v>
      </c>
      <c r="BN359">
        <v>0</v>
      </c>
      <c r="BO359" s="6">
        <v>0</v>
      </c>
      <c r="BP359">
        <v>0</v>
      </c>
      <c r="BQ359">
        <v>0</v>
      </c>
      <c r="BR359">
        <v>0</v>
      </c>
    </row>
    <row r="360" spans="1:70" ht="15" customHeight="1" x14ac:dyDescent="0.35">
      <c r="A360" s="1" t="str">
        <f t="shared" si="14"/>
        <v>074Z</v>
      </c>
      <c r="B360" t="s">
        <v>1858</v>
      </c>
      <c r="C360" t="s">
        <v>1859</v>
      </c>
      <c r="D360" t="s">
        <v>1860</v>
      </c>
      <c r="E360" t="s">
        <v>1861</v>
      </c>
      <c r="F360" t="s">
        <v>516</v>
      </c>
      <c r="G360" t="s">
        <v>502</v>
      </c>
      <c r="H360" t="s">
        <v>502</v>
      </c>
      <c r="I360" t="s">
        <v>1276</v>
      </c>
      <c r="J360" t="b">
        <v>0</v>
      </c>
      <c r="K360" t="s">
        <v>78</v>
      </c>
      <c r="L360" t="s">
        <v>79</v>
      </c>
      <c r="N360" t="s">
        <v>81</v>
      </c>
      <c r="O360" t="s">
        <v>82</v>
      </c>
      <c r="P360" t="s">
        <v>83</v>
      </c>
      <c r="Q360" t="s">
        <v>503</v>
      </c>
      <c r="R360">
        <v>24</v>
      </c>
      <c r="S360" t="s">
        <v>85</v>
      </c>
      <c r="T360" t="s">
        <v>85</v>
      </c>
      <c r="U360">
        <v>1111111</v>
      </c>
      <c r="V360" t="s">
        <v>122</v>
      </c>
      <c r="W360" t="s">
        <v>517</v>
      </c>
      <c r="X360" t="s">
        <v>518</v>
      </c>
      <c r="Y360" t="s">
        <v>89</v>
      </c>
      <c r="Z360" t="s">
        <v>90</v>
      </c>
      <c r="AA360" t="s">
        <v>506</v>
      </c>
      <c r="AB360">
        <v>1</v>
      </c>
      <c r="AC360">
        <v>6</v>
      </c>
      <c r="AD360" t="b">
        <v>1</v>
      </c>
      <c r="AE360">
        <v>2024</v>
      </c>
      <c r="AF360" s="3">
        <v>367</v>
      </c>
      <c r="AG360" s="3">
        <v>45702</v>
      </c>
      <c r="AH360" s="3">
        <v>46598</v>
      </c>
      <c r="AJ360" s="4"/>
      <c r="AK360" s="4"/>
      <c r="AL360" s="3">
        <v>367</v>
      </c>
      <c r="AM360" s="3">
        <v>367</v>
      </c>
      <c r="AN360">
        <v>-8.6647614999999991</v>
      </c>
      <c r="AO360">
        <v>115.147228</v>
      </c>
      <c r="AP360" t="s">
        <v>1862</v>
      </c>
      <c r="AT360">
        <v>99.75</v>
      </c>
      <c r="AW360">
        <v>0</v>
      </c>
      <c r="AX360">
        <v>0</v>
      </c>
      <c r="BA360">
        <v>0</v>
      </c>
      <c r="BB360">
        <v>0</v>
      </c>
      <c r="BE360">
        <v>0</v>
      </c>
      <c r="BF360">
        <v>0</v>
      </c>
      <c r="BJ360">
        <v>0</v>
      </c>
      <c r="BL360">
        <v>0</v>
      </c>
      <c r="BN360">
        <v>0</v>
      </c>
      <c r="BO360" s="6">
        <v>0</v>
      </c>
      <c r="BP360">
        <v>0</v>
      </c>
      <c r="BQ360">
        <v>0</v>
      </c>
      <c r="BR360">
        <v>0</v>
      </c>
    </row>
    <row r="361" spans="1:70" ht="15" customHeight="1" x14ac:dyDescent="0.35">
      <c r="A361" s="1" t="str">
        <f t="shared" si="14"/>
        <v>472Y</v>
      </c>
      <c r="B361" t="s">
        <v>1863</v>
      </c>
      <c r="C361" t="s">
        <v>1864</v>
      </c>
      <c r="D361" t="s">
        <v>1865</v>
      </c>
      <c r="E361" t="s">
        <v>1866</v>
      </c>
      <c r="F361" t="s">
        <v>516</v>
      </c>
      <c r="G361" t="s">
        <v>502</v>
      </c>
      <c r="H361" t="s">
        <v>502</v>
      </c>
      <c r="I361" t="s">
        <v>148</v>
      </c>
      <c r="J361" t="b">
        <v>0</v>
      </c>
      <c r="K361" t="s">
        <v>78</v>
      </c>
      <c r="L361" t="s">
        <v>79</v>
      </c>
      <c r="N361" t="s">
        <v>81</v>
      </c>
      <c r="O361" t="s">
        <v>82</v>
      </c>
      <c r="P361" t="s">
        <v>83</v>
      </c>
      <c r="Q361" t="s">
        <v>503</v>
      </c>
      <c r="R361">
        <v>24</v>
      </c>
      <c r="S361" t="s">
        <v>85</v>
      </c>
      <c r="T361" t="s">
        <v>85</v>
      </c>
      <c r="U361">
        <v>1111111</v>
      </c>
      <c r="V361" t="s">
        <v>122</v>
      </c>
      <c r="W361" t="s">
        <v>694</v>
      </c>
      <c r="X361" t="s">
        <v>695</v>
      </c>
      <c r="Y361" t="s">
        <v>89</v>
      </c>
      <c r="Z361" t="s">
        <v>90</v>
      </c>
      <c r="AA361" t="s">
        <v>506</v>
      </c>
      <c r="AB361">
        <v>1</v>
      </c>
      <c r="AC361">
        <v>6</v>
      </c>
      <c r="AD361" t="b">
        <v>1</v>
      </c>
      <c r="AE361">
        <v>2024</v>
      </c>
      <c r="AF361" s="3">
        <v>367</v>
      </c>
      <c r="AG361" s="3">
        <v>45702</v>
      </c>
      <c r="AH361" s="3">
        <v>46598</v>
      </c>
      <c r="AJ361" s="4"/>
      <c r="AK361" s="4"/>
      <c r="AL361" s="3">
        <v>367</v>
      </c>
      <c r="AM361" s="3">
        <v>367</v>
      </c>
      <c r="AN361">
        <v>-8.6814333999999995</v>
      </c>
      <c r="AO361">
        <v>115.16075600000001</v>
      </c>
      <c r="AP361" t="s">
        <v>1867</v>
      </c>
      <c r="AT361">
        <v>99.75</v>
      </c>
      <c r="AW361">
        <v>0</v>
      </c>
      <c r="AX361">
        <v>0</v>
      </c>
      <c r="BA361">
        <v>0</v>
      </c>
      <c r="BB361">
        <v>0</v>
      </c>
      <c r="BE361">
        <v>0</v>
      </c>
      <c r="BF361">
        <v>0</v>
      </c>
      <c r="BJ361">
        <v>0</v>
      </c>
      <c r="BL361">
        <v>0</v>
      </c>
      <c r="BN361">
        <v>0</v>
      </c>
      <c r="BO361" s="6">
        <v>0</v>
      </c>
      <c r="BP361">
        <v>0</v>
      </c>
      <c r="BQ361">
        <v>0</v>
      </c>
      <c r="BR361">
        <v>0</v>
      </c>
    </row>
    <row r="362" spans="1:70" ht="15" customHeight="1" x14ac:dyDescent="0.35">
      <c r="A362" s="1" t="str">
        <f t="shared" si="14"/>
        <v>695L</v>
      </c>
      <c r="B362" t="s">
        <v>1868</v>
      </c>
      <c r="C362" t="s">
        <v>1869</v>
      </c>
      <c r="D362" t="s">
        <v>1870</v>
      </c>
      <c r="E362" t="s">
        <v>1871</v>
      </c>
      <c r="F362" t="s">
        <v>516</v>
      </c>
      <c r="G362" t="s">
        <v>502</v>
      </c>
      <c r="H362" t="s">
        <v>502</v>
      </c>
      <c r="I362" t="s">
        <v>137</v>
      </c>
      <c r="J362" t="b">
        <v>0</v>
      </c>
      <c r="K362" t="s">
        <v>78</v>
      </c>
      <c r="L362" t="s">
        <v>79</v>
      </c>
      <c r="N362" t="s">
        <v>81</v>
      </c>
      <c r="O362" t="s">
        <v>82</v>
      </c>
      <c r="P362" t="s">
        <v>83</v>
      </c>
      <c r="Q362" t="s">
        <v>503</v>
      </c>
      <c r="R362">
        <v>24</v>
      </c>
      <c r="S362" t="s">
        <v>85</v>
      </c>
      <c r="T362" t="s">
        <v>85</v>
      </c>
      <c r="U362">
        <v>1111111</v>
      </c>
      <c r="V362" t="s">
        <v>122</v>
      </c>
      <c r="W362" t="s">
        <v>529</v>
      </c>
      <c r="X362" t="s">
        <v>530</v>
      </c>
      <c r="Y362" t="s">
        <v>89</v>
      </c>
      <c r="Z362" t="s">
        <v>90</v>
      </c>
      <c r="AA362" t="s">
        <v>506</v>
      </c>
      <c r="AB362">
        <v>1</v>
      </c>
      <c r="AC362">
        <v>6</v>
      </c>
      <c r="AD362" t="b">
        <v>1</v>
      </c>
      <c r="AE362">
        <v>2024</v>
      </c>
      <c r="AF362" s="3">
        <v>367</v>
      </c>
      <c r="AG362" s="3">
        <v>45702</v>
      </c>
      <c r="AH362" s="3">
        <v>46598</v>
      </c>
      <c r="AJ362" s="4"/>
      <c r="AK362" s="4"/>
      <c r="AL362" s="3">
        <v>367</v>
      </c>
      <c r="AM362" s="3">
        <v>367</v>
      </c>
      <c r="AN362">
        <v>-8.6735533</v>
      </c>
      <c r="AO362">
        <v>115.1768084</v>
      </c>
      <c r="AP362" t="s">
        <v>1872</v>
      </c>
      <c r="AT362">
        <v>99.75</v>
      </c>
      <c r="AW362">
        <v>0</v>
      </c>
      <c r="AX362">
        <v>0</v>
      </c>
      <c r="BA362">
        <v>0</v>
      </c>
      <c r="BB362">
        <v>0</v>
      </c>
      <c r="BE362">
        <v>0</v>
      </c>
      <c r="BF362">
        <v>0</v>
      </c>
      <c r="BJ362">
        <v>0</v>
      </c>
      <c r="BL362">
        <v>0</v>
      </c>
      <c r="BN362">
        <v>0</v>
      </c>
      <c r="BO362" s="6">
        <v>0</v>
      </c>
      <c r="BP362">
        <v>0</v>
      </c>
      <c r="BQ362">
        <v>0</v>
      </c>
      <c r="BR362">
        <v>0</v>
      </c>
    </row>
    <row r="363" spans="1:70" ht="15" customHeight="1" x14ac:dyDescent="0.35">
      <c r="A363" s="1" t="str">
        <f t="shared" si="14"/>
        <v>068W</v>
      </c>
      <c r="B363" t="s">
        <v>1873</v>
      </c>
      <c r="C363" t="s">
        <v>1874</v>
      </c>
      <c r="D363" t="s">
        <v>1875</v>
      </c>
      <c r="E363" t="s">
        <v>1876</v>
      </c>
      <c r="F363" t="s">
        <v>724</v>
      </c>
      <c r="G363" t="s">
        <v>502</v>
      </c>
      <c r="H363" t="s">
        <v>502</v>
      </c>
      <c r="I363" t="s">
        <v>137</v>
      </c>
      <c r="J363" t="b">
        <v>0</v>
      </c>
      <c r="K363" t="s">
        <v>78</v>
      </c>
      <c r="L363" t="s">
        <v>79</v>
      </c>
      <c r="N363" t="s">
        <v>81</v>
      </c>
      <c r="O363" t="s">
        <v>82</v>
      </c>
      <c r="P363" t="s">
        <v>83</v>
      </c>
      <c r="Q363" t="s">
        <v>503</v>
      </c>
      <c r="R363">
        <v>24</v>
      </c>
      <c r="S363" t="s">
        <v>85</v>
      </c>
      <c r="T363" t="s">
        <v>85</v>
      </c>
      <c r="U363">
        <v>1111111</v>
      </c>
      <c r="V363" t="s">
        <v>122</v>
      </c>
      <c r="W363" t="s">
        <v>517</v>
      </c>
      <c r="X363" t="s">
        <v>518</v>
      </c>
      <c r="Y363" t="s">
        <v>89</v>
      </c>
      <c r="Z363" t="s">
        <v>90</v>
      </c>
      <c r="AA363" t="s">
        <v>506</v>
      </c>
      <c r="AB363">
        <v>1</v>
      </c>
      <c r="AC363">
        <v>6</v>
      </c>
      <c r="AD363" t="b">
        <v>1</v>
      </c>
      <c r="AE363">
        <v>2024</v>
      </c>
      <c r="AF363" s="3">
        <v>367</v>
      </c>
      <c r="AG363" s="3">
        <v>45702</v>
      </c>
      <c r="AH363" s="3">
        <v>46598</v>
      </c>
      <c r="AJ363" s="4"/>
      <c r="AK363" s="4"/>
      <c r="AL363" s="3">
        <v>367</v>
      </c>
      <c r="AM363" s="3">
        <v>367</v>
      </c>
      <c r="AN363">
        <v>-8.6486213999999997</v>
      </c>
      <c r="AO363">
        <v>115.16141519999999</v>
      </c>
      <c r="AP363" t="s">
        <v>1877</v>
      </c>
      <c r="AT363">
        <v>99.75</v>
      </c>
      <c r="AW363">
        <v>0</v>
      </c>
      <c r="AX363">
        <v>0</v>
      </c>
      <c r="BA363">
        <v>0</v>
      </c>
      <c r="BB363">
        <v>0</v>
      </c>
      <c r="BE363">
        <v>0</v>
      </c>
      <c r="BF363">
        <v>0</v>
      </c>
      <c r="BJ363">
        <v>0</v>
      </c>
      <c r="BL363">
        <v>0</v>
      </c>
      <c r="BN363">
        <v>0</v>
      </c>
      <c r="BO363" s="6">
        <v>0</v>
      </c>
      <c r="BP363">
        <v>0</v>
      </c>
      <c r="BQ363">
        <v>0</v>
      </c>
      <c r="BR363">
        <v>0</v>
      </c>
    </row>
    <row r="364" spans="1:70" ht="15" customHeight="1" x14ac:dyDescent="0.35">
      <c r="A364" s="1" t="str">
        <f t="shared" si="14"/>
        <v>622H</v>
      </c>
      <c r="B364" t="s">
        <v>1878</v>
      </c>
      <c r="C364" t="s">
        <v>1879</v>
      </c>
      <c r="D364" t="s">
        <v>1880</v>
      </c>
      <c r="E364" t="s">
        <v>1881</v>
      </c>
      <c r="F364" t="s">
        <v>501</v>
      </c>
      <c r="G364" t="s">
        <v>502</v>
      </c>
      <c r="H364" t="s">
        <v>502</v>
      </c>
      <c r="I364" t="s">
        <v>137</v>
      </c>
      <c r="J364" t="b">
        <v>0</v>
      </c>
      <c r="K364" t="s">
        <v>78</v>
      </c>
      <c r="L364" t="s">
        <v>79</v>
      </c>
      <c r="N364" t="s">
        <v>81</v>
      </c>
      <c r="O364" t="s">
        <v>82</v>
      </c>
      <c r="P364" t="s">
        <v>83</v>
      </c>
      <c r="Q364" t="s">
        <v>503</v>
      </c>
      <c r="R364">
        <v>15</v>
      </c>
      <c r="S364" t="s">
        <v>121</v>
      </c>
      <c r="T364" t="s">
        <v>121</v>
      </c>
      <c r="U364">
        <v>1111111</v>
      </c>
      <c r="V364" t="s">
        <v>122</v>
      </c>
      <c r="W364" t="s">
        <v>529</v>
      </c>
      <c r="X364" t="s">
        <v>530</v>
      </c>
      <c r="Y364" t="s">
        <v>89</v>
      </c>
      <c r="Z364" t="s">
        <v>90</v>
      </c>
      <c r="AA364" t="s">
        <v>506</v>
      </c>
      <c r="AB364">
        <v>1</v>
      </c>
      <c r="AC364">
        <v>6</v>
      </c>
      <c r="AD364" t="b">
        <v>1</v>
      </c>
      <c r="AE364">
        <v>2025</v>
      </c>
      <c r="AF364" s="3">
        <v>367</v>
      </c>
      <c r="AG364" s="3">
        <v>45337</v>
      </c>
      <c r="AH364" s="3">
        <v>46798</v>
      </c>
      <c r="AJ364" s="4"/>
      <c r="AK364" s="4"/>
      <c r="AL364" s="3">
        <v>367</v>
      </c>
      <c r="AM364" s="3">
        <v>367</v>
      </c>
      <c r="AN364">
        <v>-8.6846118000000008</v>
      </c>
      <c r="AO364">
        <v>115.2140004</v>
      </c>
      <c r="AP364" t="s">
        <v>1882</v>
      </c>
      <c r="AT364">
        <v>99.75</v>
      </c>
      <c r="AW364">
        <v>0</v>
      </c>
      <c r="AX364">
        <v>0</v>
      </c>
      <c r="BA364">
        <v>0</v>
      </c>
      <c r="BB364">
        <v>0</v>
      </c>
      <c r="BE364">
        <v>0</v>
      </c>
      <c r="BF364">
        <v>0</v>
      </c>
      <c r="BJ364">
        <v>0</v>
      </c>
      <c r="BL364">
        <v>0</v>
      </c>
      <c r="BN364">
        <v>0</v>
      </c>
      <c r="BO364" s="6">
        <v>0</v>
      </c>
      <c r="BP364">
        <v>0</v>
      </c>
      <c r="BQ364">
        <v>0</v>
      </c>
      <c r="BR364">
        <v>0</v>
      </c>
    </row>
    <row r="365" spans="1:70" ht="15" customHeight="1" x14ac:dyDescent="0.35">
      <c r="A365" s="1" t="str">
        <f t="shared" si="14"/>
        <v>2574</v>
      </c>
      <c r="B365" t="s">
        <v>1883</v>
      </c>
      <c r="C365" t="s">
        <v>1884</v>
      </c>
      <c r="D365" t="s">
        <v>1885</v>
      </c>
      <c r="E365" t="s">
        <v>1886</v>
      </c>
      <c r="F365" t="s">
        <v>501</v>
      </c>
      <c r="G365" t="s">
        <v>502</v>
      </c>
      <c r="H365" t="s">
        <v>502</v>
      </c>
      <c r="I365" t="s">
        <v>148</v>
      </c>
      <c r="J365" t="b">
        <v>0</v>
      </c>
      <c r="K365" t="s">
        <v>78</v>
      </c>
      <c r="L365" t="s">
        <v>79</v>
      </c>
      <c r="N365" t="s">
        <v>81</v>
      </c>
      <c r="O365" t="s">
        <v>82</v>
      </c>
      <c r="P365" t="s">
        <v>83</v>
      </c>
      <c r="Q365" t="s">
        <v>503</v>
      </c>
      <c r="R365">
        <v>24</v>
      </c>
      <c r="S365" t="s">
        <v>85</v>
      </c>
      <c r="T365" t="s">
        <v>85</v>
      </c>
      <c r="U365">
        <v>1111111</v>
      </c>
      <c r="V365" t="s">
        <v>122</v>
      </c>
      <c r="W365" t="s">
        <v>523</v>
      </c>
      <c r="X365" t="s">
        <v>524</v>
      </c>
      <c r="Y365" t="s">
        <v>89</v>
      </c>
      <c r="Z365" t="s">
        <v>90</v>
      </c>
      <c r="AA365" t="s">
        <v>506</v>
      </c>
      <c r="AB365">
        <v>1</v>
      </c>
      <c r="AC365">
        <v>6</v>
      </c>
      <c r="AD365" t="b">
        <v>1</v>
      </c>
      <c r="AE365">
        <v>2025</v>
      </c>
      <c r="AF365" s="3">
        <v>367</v>
      </c>
      <c r="AG365" s="3">
        <v>45337</v>
      </c>
      <c r="AH365" s="3">
        <v>46798</v>
      </c>
      <c r="AJ365" s="4"/>
      <c r="AK365" s="4"/>
      <c r="AL365" s="3">
        <v>367</v>
      </c>
      <c r="AM365" s="3">
        <v>367</v>
      </c>
      <c r="AN365">
        <v>-8.6902159000000001</v>
      </c>
      <c r="AO365">
        <v>115.2006068</v>
      </c>
      <c r="AP365" t="s">
        <v>1887</v>
      </c>
      <c r="AT365">
        <v>99.75</v>
      </c>
      <c r="AW365">
        <v>0</v>
      </c>
      <c r="AX365">
        <v>0</v>
      </c>
      <c r="BA365">
        <v>0</v>
      </c>
      <c r="BB365">
        <v>0</v>
      </c>
      <c r="BE365">
        <v>0</v>
      </c>
      <c r="BF365">
        <v>0</v>
      </c>
      <c r="BJ365">
        <v>0</v>
      </c>
      <c r="BL365">
        <v>0</v>
      </c>
      <c r="BN365">
        <v>0</v>
      </c>
      <c r="BO365" s="6">
        <v>0</v>
      </c>
      <c r="BP365">
        <v>0</v>
      </c>
      <c r="BQ365">
        <v>0</v>
      </c>
      <c r="BR365">
        <v>0</v>
      </c>
    </row>
    <row r="366" spans="1:70" ht="15" customHeight="1" x14ac:dyDescent="0.35">
      <c r="A366" s="1" t="str">
        <f t="shared" si="14"/>
        <v>686R</v>
      </c>
      <c r="B366" t="s">
        <v>1888</v>
      </c>
      <c r="C366" t="s">
        <v>1889</v>
      </c>
      <c r="D366" t="s">
        <v>1890</v>
      </c>
      <c r="E366" t="s">
        <v>1891</v>
      </c>
      <c r="F366" t="s">
        <v>501</v>
      </c>
      <c r="G366" t="s">
        <v>502</v>
      </c>
      <c r="H366" t="s">
        <v>502</v>
      </c>
      <c r="I366" t="s">
        <v>137</v>
      </c>
      <c r="J366" t="b">
        <v>0</v>
      </c>
      <c r="K366" t="s">
        <v>78</v>
      </c>
      <c r="L366" t="s">
        <v>79</v>
      </c>
      <c r="N366" t="s">
        <v>81</v>
      </c>
      <c r="O366" t="s">
        <v>82</v>
      </c>
      <c r="P366" t="s">
        <v>83</v>
      </c>
      <c r="Q366" t="s">
        <v>503</v>
      </c>
      <c r="R366">
        <v>15</v>
      </c>
      <c r="S366" t="s">
        <v>121</v>
      </c>
      <c r="T366" t="s">
        <v>121</v>
      </c>
      <c r="U366">
        <v>1111111</v>
      </c>
      <c r="V366" t="s">
        <v>122</v>
      </c>
      <c r="W366" t="s">
        <v>529</v>
      </c>
      <c r="X366" t="s">
        <v>530</v>
      </c>
      <c r="Y366" t="s">
        <v>89</v>
      </c>
      <c r="Z366" t="s">
        <v>90</v>
      </c>
      <c r="AA366" t="s">
        <v>506</v>
      </c>
      <c r="AB366">
        <v>1</v>
      </c>
      <c r="AC366">
        <v>6</v>
      </c>
      <c r="AD366" t="b">
        <v>1</v>
      </c>
      <c r="AE366">
        <v>2025</v>
      </c>
      <c r="AF366" s="3">
        <v>367</v>
      </c>
      <c r="AG366" s="3">
        <v>45337</v>
      </c>
      <c r="AH366" s="3">
        <v>46798</v>
      </c>
      <c r="AJ366" s="4">
        <f>VLOOKUP(A366,'[1]1'!B:Q,16,0)</f>
        <v>900</v>
      </c>
      <c r="AK366" s="7">
        <f t="shared" ref="AK366:AK369" si="20">AJ366/250</f>
        <v>3.6</v>
      </c>
      <c r="AL366" s="3">
        <v>367</v>
      </c>
      <c r="AM366" s="3">
        <v>367</v>
      </c>
      <c r="AN366">
        <v>-8.6917048000000001</v>
      </c>
      <c r="AO366">
        <v>115.2073383</v>
      </c>
      <c r="AP366" t="s">
        <v>1891</v>
      </c>
      <c r="AT366">
        <v>99.75</v>
      </c>
      <c r="AW366">
        <v>0</v>
      </c>
      <c r="AX366">
        <v>0</v>
      </c>
      <c r="BA366">
        <v>0</v>
      </c>
      <c r="BB366">
        <v>0</v>
      </c>
      <c r="BE366">
        <v>0</v>
      </c>
      <c r="BF366">
        <v>0</v>
      </c>
      <c r="BJ366">
        <v>0</v>
      </c>
      <c r="BL366">
        <v>0</v>
      </c>
      <c r="BN366">
        <v>0</v>
      </c>
      <c r="BO366" s="6">
        <v>0</v>
      </c>
      <c r="BP366">
        <v>0</v>
      </c>
      <c r="BQ366">
        <v>0</v>
      </c>
      <c r="BR366">
        <v>0</v>
      </c>
    </row>
    <row r="367" spans="1:70" ht="15" customHeight="1" x14ac:dyDescent="0.35">
      <c r="A367" s="1" t="str">
        <f t="shared" si="14"/>
        <v>00FR</v>
      </c>
      <c r="B367" t="s">
        <v>1892</v>
      </c>
      <c r="C367" t="s">
        <v>1893</v>
      </c>
      <c r="D367" t="s">
        <v>1894</v>
      </c>
      <c r="E367" t="s">
        <v>1895</v>
      </c>
      <c r="F367" t="s">
        <v>501</v>
      </c>
      <c r="G367" t="s">
        <v>502</v>
      </c>
      <c r="H367" t="s">
        <v>502</v>
      </c>
      <c r="I367" t="s">
        <v>137</v>
      </c>
      <c r="J367" t="b">
        <v>0</v>
      </c>
      <c r="K367" t="s">
        <v>78</v>
      </c>
      <c r="L367" t="s">
        <v>79</v>
      </c>
      <c r="N367" t="s">
        <v>81</v>
      </c>
      <c r="O367" t="s">
        <v>82</v>
      </c>
      <c r="P367" t="s">
        <v>83</v>
      </c>
      <c r="Q367" t="s">
        <v>503</v>
      </c>
      <c r="R367">
        <v>24</v>
      </c>
      <c r="S367" t="s">
        <v>85</v>
      </c>
      <c r="T367" t="s">
        <v>85</v>
      </c>
      <c r="U367">
        <v>1111111</v>
      </c>
      <c r="V367" t="s">
        <v>122</v>
      </c>
      <c r="W367" t="s">
        <v>550</v>
      </c>
      <c r="X367" t="s">
        <v>551</v>
      </c>
      <c r="Y367" t="s">
        <v>89</v>
      </c>
      <c r="Z367" t="s">
        <v>90</v>
      </c>
      <c r="AA367" t="s">
        <v>506</v>
      </c>
      <c r="AB367">
        <v>1</v>
      </c>
      <c r="AC367">
        <v>6</v>
      </c>
      <c r="AD367" t="b">
        <v>1</v>
      </c>
      <c r="AE367">
        <v>2024</v>
      </c>
      <c r="AF367" s="3">
        <v>367</v>
      </c>
      <c r="AG367" s="3">
        <v>45704</v>
      </c>
      <c r="AH367" s="3">
        <v>46799</v>
      </c>
      <c r="AJ367" s="4">
        <f>VLOOKUP(A367,'[1]1'!B:Q,16,0)</f>
        <v>900</v>
      </c>
      <c r="AK367" s="7">
        <f t="shared" si="20"/>
        <v>3.6</v>
      </c>
      <c r="AL367" s="3">
        <v>367</v>
      </c>
      <c r="AM367" s="3">
        <v>367</v>
      </c>
      <c r="AN367">
        <v>-8.6213362</v>
      </c>
      <c r="AO367">
        <v>115.2492294</v>
      </c>
      <c r="AP367" t="s">
        <v>1895</v>
      </c>
      <c r="AT367">
        <v>99.75</v>
      </c>
      <c r="AW367">
        <v>0</v>
      </c>
      <c r="AX367">
        <v>0</v>
      </c>
      <c r="BA367">
        <v>0</v>
      </c>
      <c r="BB367">
        <v>0</v>
      </c>
      <c r="BE367">
        <v>0</v>
      </c>
      <c r="BF367">
        <v>0</v>
      </c>
      <c r="BJ367">
        <v>0</v>
      </c>
      <c r="BL367">
        <v>0</v>
      </c>
      <c r="BN367">
        <v>0</v>
      </c>
      <c r="BO367" s="6">
        <v>0</v>
      </c>
      <c r="BP367">
        <v>0</v>
      </c>
      <c r="BQ367">
        <v>0</v>
      </c>
      <c r="BR367">
        <v>0</v>
      </c>
    </row>
    <row r="368" spans="1:70" ht="15" customHeight="1" x14ac:dyDescent="0.35">
      <c r="A368" s="1" t="str">
        <f t="shared" si="14"/>
        <v>068Y</v>
      </c>
      <c r="B368" t="s">
        <v>1896</v>
      </c>
      <c r="C368" t="s">
        <v>1897</v>
      </c>
      <c r="D368" t="s">
        <v>1898</v>
      </c>
      <c r="E368" t="s">
        <v>1899</v>
      </c>
      <c r="F368" t="s">
        <v>501</v>
      </c>
      <c r="G368" t="s">
        <v>502</v>
      </c>
      <c r="H368" t="s">
        <v>502</v>
      </c>
      <c r="I368" t="s">
        <v>137</v>
      </c>
      <c r="J368" t="b">
        <v>0</v>
      </c>
      <c r="K368" t="s">
        <v>78</v>
      </c>
      <c r="L368" t="s">
        <v>79</v>
      </c>
      <c r="N368" t="s">
        <v>81</v>
      </c>
      <c r="O368" t="s">
        <v>82</v>
      </c>
      <c r="P368" t="s">
        <v>83</v>
      </c>
      <c r="Q368" t="s">
        <v>503</v>
      </c>
      <c r="R368">
        <v>24</v>
      </c>
      <c r="S368" t="s">
        <v>85</v>
      </c>
      <c r="T368" t="s">
        <v>85</v>
      </c>
      <c r="U368">
        <v>1111111</v>
      </c>
      <c r="V368" t="s">
        <v>122</v>
      </c>
      <c r="W368" t="s">
        <v>550</v>
      </c>
      <c r="X368" t="s">
        <v>551</v>
      </c>
      <c r="Y368" t="s">
        <v>89</v>
      </c>
      <c r="Z368" t="s">
        <v>90</v>
      </c>
      <c r="AA368" t="s">
        <v>506</v>
      </c>
      <c r="AB368">
        <v>1</v>
      </c>
      <c r="AC368">
        <v>6</v>
      </c>
      <c r="AD368" t="b">
        <v>1</v>
      </c>
      <c r="AE368">
        <v>2024</v>
      </c>
      <c r="AF368" s="3">
        <v>367</v>
      </c>
      <c r="AG368" s="3">
        <v>45704</v>
      </c>
      <c r="AH368" s="3">
        <v>46799</v>
      </c>
      <c r="AJ368" s="4">
        <f>VLOOKUP(A368,'[1]1'!B:Q,16,0)</f>
        <v>1440</v>
      </c>
      <c r="AK368" s="7">
        <f t="shared" si="20"/>
        <v>5.76</v>
      </c>
      <c r="AL368" s="3">
        <v>367</v>
      </c>
      <c r="AM368" s="3">
        <v>367</v>
      </c>
      <c r="AN368">
        <v>-8.6338255000000004</v>
      </c>
      <c r="AO368">
        <v>115.2565408</v>
      </c>
      <c r="AP368" t="s">
        <v>1900</v>
      </c>
      <c r="AT368">
        <v>99.75</v>
      </c>
      <c r="AW368">
        <v>0</v>
      </c>
      <c r="AX368">
        <v>0</v>
      </c>
      <c r="BA368">
        <v>0</v>
      </c>
      <c r="BB368">
        <v>0</v>
      </c>
      <c r="BE368">
        <v>0</v>
      </c>
      <c r="BF368">
        <v>0</v>
      </c>
      <c r="BJ368">
        <v>0</v>
      </c>
      <c r="BL368">
        <v>0</v>
      </c>
      <c r="BN368">
        <v>0</v>
      </c>
      <c r="BO368" s="6">
        <v>0</v>
      </c>
      <c r="BP368">
        <v>0</v>
      </c>
      <c r="BQ368">
        <v>0</v>
      </c>
      <c r="BR368">
        <v>0</v>
      </c>
    </row>
    <row r="369" spans="1:70" ht="15" customHeight="1" x14ac:dyDescent="0.35">
      <c r="A369" s="1" t="str">
        <f t="shared" si="14"/>
        <v>066P</v>
      </c>
      <c r="B369" t="s">
        <v>1901</v>
      </c>
      <c r="C369" t="s">
        <v>1902</v>
      </c>
      <c r="D369" t="s">
        <v>1903</v>
      </c>
      <c r="E369" t="s">
        <v>1904</v>
      </c>
      <c r="F369" t="s">
        <v>537</v>
      </c>
      <c r="G369" t="s">
        <v>502</v>
      </c>
      <c r="H369" t="s">
        <v>502</v>
      </c>
      <c r="I369" t="s">
        <v>148</v>
      </c>
      <c r="J369" t="b">
        <v>0</v>
      </c>
      <c r="K369" t="s">
        <v>78</v>
      </c>
      <c r="L369" t="s">
        <v>79</v>
      </c>
      <c r="N369" t="s">
        <v>81</v>
      </c>
      <c r="O369" t="s">
        <v>82</v>
      </c>
      <c r="P369" t="s">
        <v>83</v>
      </c>
      <c r="Q369" t="s">
        <v>503</v>
      </c>
      <c r="R369">
        <v>24</v>
      </c>
      <c r="S369" t="s">
        <v>85</v>
      </c>
      <c r="T369" t="s">
        <v>85</v>
      </c>
      <c r="U369">
        <v>1111111</v>
      </c>
      <c r="V369" t="s">
        <v>122</v>
      </c>
      <c r="W369" t="s">
        <v>550</v>
      </c>
      <c r="X369" t="s">
        <v>551</v>
      </c>
      <c r="Y369" t="s">
        <v>89</v>
      </c>
      <c r="Z369" t="s">
        <v>90</v>
      </c>
      <c r="AA369" t="s">
        <v>506</v>
      </c>
      <c r="AB369">
        <v>1</v>
      </c>
      <c r="AC369">
        <v>6</v>
      </c>
      <c r="AD369" t="b">
        <v>1</v>
      </c>
      <c r="AE369">
        <v>2024</v>
      </c>
      <c r="AF369" s="3">
        <v>367</v>
      </c>
      <c r="AG369" s="3">
        <v>45704</v>
      </c>
      <c r="AH369" s="3">
        <v>46799</v>
      </c>
      <c r="AJ369" s="4">
        <f>VLOOKUP(A369,'[1]1'!B:Q,16,0)</f>
        <v>1440</v>
      </c>
      <c r="AK369" s="7">
        <f t="shared" si="20"/>
        <v>5.76</v>
      </c>
      <c r="AL369" s="3">
        <v>367</v>
      </c>
      <c r="AM369" s="3">
        <v>367</v>
      </c>
      <c r="AN369">
        <v>-8.6471395999999991</v>
      </c>
      <c r="AO369">
        <v>115.2741896</v>
      </c>
      <c r="AP369" t="s">
        <v>1905</v>
      </c>
      <c r="AT369">
        <v>99.75</v>
      </c>
      <c r="AW369">
        <v>0</v>
      </c>
      <c r="AX369">
        <v>0</v>
      </c>
      <c r="BA369">
        <v>0</v>
      </c>
      <c r="BB369">
        <v>0</v>
      </c>
      <c r="BE369">
        <v>0</v>
      </c>
      <c r="BF369">
        <v>0</v>
      </c>
      <c r="BJ369">
        <v>0</v>
      </c>
      <c r="BL369">
        <v>0</v>
      </c>
      <c r="BN369">
        <v>0</v>
      </c>
      <c r="BO369" s="6">
        <v>0</v>
      </c>
      <c r="BP369">
        <v>0</v>
      </c>
      <c r="BQ369">
        <v>0</v>
      </c>
      <c r="BR369">
        <v>0</v>
      </c>
    </row>
    <row r="370" spans="1:70" ht="15" customHeight="1" x14ac:dyDescent="0.35">
      <c r="A370" s="1" t="str">
        <f t="shared" si="14"/>
        <v>016Y</v>
      </c>
      <c r="B370" t="s">
        <v>1906</v>
      </c>
      <c r="C370" t="s">
        <v>1907</v>
      </c>
      <c r="D370" t="s">
        <v>1908</v>
      </c>
      <c r="E370" t="s">
        <v>1909</v>
      </c>
      <c r="F370" t="s">
        <v>537</v>
      </c>
      <c r="G370" t="s">
        <v>502</v>
      </c>
      <c r="H370" t="s">
        <v>502</v>
      </c>
      <c r="I370" t="s">
        <v>137</v>
      </c>
      <c r="J370" t="b">
        <v>0</v>
      </c>
      <c r="K370" t="s">
        <v>78</v>
      </c>
      <c r="L370" t="s">
        <v>79</v>
      </c>
      <c r="N370" t="s">
        <v>81</v>
      </c>
      <c r="O370" t="s">
        <v>82</v>
      </c>
      <c r="P370" t="s">
        <v>83</v>
      </c>
      <c r="Q370" t="s">
        <v>503</v>
      </c>
      <c r="R370">
        <v>24</v>
      </c>
      <c r="S370" t="s">
        <v>85</v>
      </c>
      <c r="T370" t="s">
        <v>85</v>
      </c>
      <c r="U370">
        <v>1111111</v>
      </c>
      <c r="V370" t="s">
        <v>122</v>
      </c>
      <c r="W370" t="s">
        <v>550</v>
      </c>
      <c r="X370" t="s">
        <v>551</v>
      </c>
      <c r="Y370" t="s">
        <v>89</v>
      </c>
      <c r="Z370" t="s">
        <v>90</v>
      </c>
      <c r="AA370" t="s">
        <v>506</v>
      </c>
      <c r="AB370">
        <v>1</v>
      </c>
      <c r="AC370">
        <v>6</v>
      </c>
      <c r="AD370" t="b">
        <v>1</v>
      </c>
      <c r="AE370">
        <v>2024</v>
      </c>
      <c r="AF370" s="3">
        <v>367</v>
      </c>
      <c r="AG370" s="3">
        <v>45704</v>
      </c>
      <c r="AH370" s="3">
        <v>46799</v>
      </c>
      <c r="AJ370" s="4"/>
      <c r="AK370" s="4"/>
      <c r="AL370" s="3">
        <v>367</v>
      </c>
      <c r="AM370" s="3">
        <v>367</v>
      </c>
      <c r="AN370">
        <v>-8.5987975999999993</v>
      </c>
      <c r="AO370">
        <v>115.282855</v>
      </c>
      <c r="AP370" t="s">
        <v>1910</v>
      </c>
      <c r="AT370">
        <v>99.75</v>
      </c>
      <c r="AW370">
        <v>0</v>
      </c>
      <c r="AX370">
        <v>0</v>
      </c>
      <c r="BA370">
        <v>0</v>
      </c>
      <c r="BB370">
        <v>0</v>
      </c>
      <c r="BE370">
        <v>0</v>
      </c>
      <c r="BF370">
        <v>0</v>
      </c>
      <c r="BJ370">
        <v>0</v>
      </c>
      <c r="BL370">
        <v>0</v>
      </c>
      <c r="BN370">
        <v>0</v>
      </c>
      <c r="BO370" s="6">
        <v>0</v>
      </c>
      <c r="BP370">
        <v>0</v>
      </c>
      <c r="BQ370">
        <v>0</v>
      </c>
      <c r="BR370">
        <v>0</v>
      </c>
    </row>
    <row r="371" spans="1:70" ht="15" customHeight="1" x14ac:dyDescent="0.35">
      <c r="A371" s="1" t="str">
        <f t="shared" si="14"/>
        <v>017Q</v>
      </c>
      <c r="B371" t="s">
        <v>1911</v>
      </c>
      <c r="C371" t="s">
        <v>1912</v>
      </c>
      <c r="D371" t="s">
        <v>1913</v>
      </c>
      <c r="E371" t="s">
        <v>1914</v>
      </c>
      <c r="F371" t="s">
        <v>516</v>
      </c>
      <c r="G371" t="s">
        <v>502</v>
      </c>
      <c r="H371" t="s">
        <v>502</v>
      </c>
      <c r="I371" t="s">
        <v>137</v>
      </c>
      <c r="J371" t="b">
        <v>0</v>
      </c>
      <c r="K371" t="s">
        <v>78</v>
      </c>
      <c r="L371" t="s">
        <v>79</v>
      </c>
      <c r="N371" t="s">
        <v>81</v>
      </c>
      <c r="O371" t="s">
        <v>82</v>
      </c>
      <c r="P371" t="s">
        <v>83</v>
      </c>
      <c r="Q371" t="s">
        <v>503</v>
      </c>
      <c r="R371">
        <v>24</v>
      </c>
      <c r="S371" t="s">
        <v>85</v>
      </c>
      <c r="T371" t="s">
        <v>179</v>
      </c>
      <c r="U371">
        <v>1111111</v>
      </c>
      <c r="V371" t="s">
        <v>122</v>
      </c>
      <c r="W371" t="s">
        <v>571</v>
      </c>
      <c r="X371" t="s">
        <v>572</v>
      </c>
      <c r="Y371" t="s">
        <v>89</v>
      </c>
      <c r="Z371" t="s">
        <v>90</v>
      </c>
      <c r="AA371" t="s">
        <v>506</v>
      </c>
      <c r="AB371">
        <v>1</v>
      </c>
      <c r="AC371">
        <v>6</v>
      </c>
      <c r="AD371" t="b">
        <v>1</v>
      </c>
      <c r="AE371">
        <v>2024</v>
      </c>
      <c r="AF371" s="3">
        <v>367</v>
      </c>
      <c r="AG371" s="3">
        <v>45706</v>
      </c>
      <c r="AH371" s="3">
        <v>46811</v>
      </c>
      <c r="AJ371" s="4">
        <f>VLOOKUP(A371,'[1]1'!B:Q,16,0)</f>
        <v>1440</v>
      </c>
      <c r="AK371" s="7">
        <f t="shared" ref="AK371:AK382" si="21">AJ371/250</f>
        <v>5.76</v>
      </c>
      <c r="AL371" s="3">
        <v>367</v>
      </c>
      <c r="AM371" s="3">
        <v>367</v>
      </c>
      <c r="AN371">
        <v>-8.5723132999999994</v>
      </c>
      <c r="AO371">
        <v>115.2187267</v>
      </c>
      <c r="AP371" t="s">
        <v>1915</v>
      </c>
      <c r="AT371">
        <v>99.75</v>
      </c>
      <c r="AW371">
        <v>0</v>
      </c>
      <c r="AX371">
        <v>0</v>
      </c>
      <c r="BA371">
        <v>0</v>
      </c>
      <c r="BB371">
        <v>0</v>
      </c>
      <c r="BE371">
        <v>0</v>
      </c>
      <c r="BF371">
        <v>0</v>
      </c>
      <c r="BJ371">
        <v>0</v>
      </c>
      <c r="BL371">
        <v>0</v>
      </c>
      <c r="BN371">
        <v>0</v>
      </c>
      <c r="BO371" s="6">
        <v>0</v>
      </c>
      <c r="BP371">
        <v>0</v>
      </c>
      <c r="BQ371">
        <v>0</v>
      </c>
      <c r="BR371">
        <v>0</v>
      </c>
    </row>
    <row r="372" spans="1:70" ht="15" customHeight="1" x14ac:dyDescent="0.35">
      <c r="A372" s="1" t="str">
        <f t="shared" si="14"/>
        <v>01TY</v>
      </c>
      <c r="B372" t="s">
        <v>1916</v>
      </c>
      <c r="C372" t="s">
        <v>1917</v>
      </c>
      <c r="D372" t="s">
        <v>1918</v>
      </c>
      <c r="E372" s="5" t="s">
        <v>1919</v>
      </c>
      <c r="F372" t="s">
        <v>501</v>
      </c>
      <c r="G372" t="s">
        <v>502</v>
      </c>
      <c r="H372" t="s">
        <v>502</v>
      </c>
      <c r="I372" t="s">
        <v>148</v>
      </c>
      <c r="J372" t="b">
        <v>0</v>
      </c>
      <c r="K372" t="s">
        <v>78</v>
      </c>
      <c r="L372" t="s">
        <v>79</v>
      </c>
      <c r="N372" t="s">
        <v>81</v>
      </c>
      <c r="O372" t="s">
        <v>82</v>
      </c>
      <c r="P372" t="s">
        <v>83</v>
      </c>
      <c r="Q372" t="s">
        <v>503</v>
      </c>
      <c r="R372">
        <v>24</v>
      </c>
      <c r="S372" t="s">
        <v>85</v>
      </c>
      <c r="T372" t="s">
        <v>179</v>
      </c>
      <c r="U372">
        <v>1111111</v>
      </c>
      <c r="V372" t="s">
        <v>122</v>
      </c>
      <c r="W372" t="s">
        <v>529</v>
      </c>
      <c r="X372" t="s">
        <v>530</v>
      </c>
      <c r="Y372" t="s">
        <v>89</v>
      </c>
      <c r="Z372" t="s">
        <v>90</v>
      </c>
      <c r="AA372" t="s">
        <v>506</v>
      </c>
      <c r="AB372">
        <v>1</v>
      </c>
      <c r="AC372">
        <v>6</v>
      </c>
      <c r="AD372" t="b">
        <v>1</v>
      </c>
      <c r="AE372">
        <v>2024</v>
      </c>
      <c r="AF372" s="3">
        <v>367</v>
      </c>
      <c r="AG372" s="3">
        <v>45706</v>
      </c>
      <c r="AH372" s="3">
        <v>46811</v>
      </c>
      <c r="AJ372" s="4">
        <f>VLOOKUP(A372,'[1]1'!B:Q,16,0)</f>
        <v>900</v>
      </c>
      <c r="AK372" s="7">
        <f t="shared" si="21"/>
        <v>3.6</v>
      </c>
      <c r="AL372" s="3">
        <v>367</v>
      </c>
      <c r="AM372" s="3">
        <v>367</v>
      </c>
      <c r="AN372">
        <v>-8.6710884000000004</v>
      </c>
      <c r="AO372">
        <v>115.1968823</v>
      </c>
      <c r="AP372" t="s">
        <v>1920</v>
      </c>
      <c r="AT372">
        <v>99.75</v>
      </c>
      <c r="AW372">
        <v>0</v>
      </c>
      <c r="AX372">
        <v>0</v>
      </c>
      <c r="BA372">
        <v>0</v>
      </c>
      <c r="BB372">
        <v>0</v>
      </c>
      <c r="BE372">
        <v>0</v>
      </c>
      <c r="BF372">
        <v>0</v>
      </c>
      <c r="BJ372">
        <v>0</v>
      </c>
      <c r="BL372">
        <v>0</v>
      </c>
      <c r="BN372">
        <v>0</v>
      </c>
      <c r="BO372" s="6">
        <v>0</v>
      </c>
      <c r="BP372">
        <v>0</v>
      </c>
      <c r="BQ372">
        <v>0</v>
      </c>
      <c r="BR372">
        <v>0</v>
      </c>
    </row>
    <row r="373" spans="1:70" ht="15" customHeight="1" x14ac:dyDescent="0.35">
      <c r="A373" s="1" t="str">
        <f t="shared" si="14"/>
        <v>017N</v>
      </c>
      <c r="B373" t="s">
        <v>1921</v>
      </c>
      <c r="C373" t="s">
        <v>1922</v>
      </c>
      <c r="D373" t="s">
        <v>1923</v>
      </c>
      <c r="E373" t="s">
        <v>1924</v>
      </c>
      <c r="F373" t="s">
        <v>501</v>
      </c>
      <c r="G373" t="s">
        <v>502</v>
      </c>
      <c r="H373" t="s">
        <v>502</v>
      </c>
      <c r="I373" t="s">
        <v>137</v>
      </c>
      <c r="J373" t="b">
        <v>0</v>
      </c>
      <c r="K373" t="s">
        <v>78</v>
      </c>
      <c r="L373" t="s">
        <v>79</v>
      </c>
      <c r="N373" t="s">
        <v>81</v>
      </c>
      <c r="O373" t="s">
        <v>82</v>
      </c>
      <c r="P373" t="s">
        <v>83</v>
      </c>
      <c r="Q373" t="s">
        <v>503</v>
      </c>
      <c r="R373">
        <v>24</v>
      </c>
      <c r="S373" t="s">
        <v>85</v>
      </c>
      <c r="T373" t="s">
        <v>179</v>
      </c>
      <c r="U373">
        <v>1111111</v>
      </c>
      <c r="V373" t="s">
        <v>122</v>
      </c>
      <c r="W373" t="s">
        <v>571</v>
      </c>
      <c r="X373" t="s">
        <v>572</v>
      </c>
      <c r="Y373" t="s">
        <v>89</v>
      </c>
      <c r="Z373" t="s">
        <v>90</v>
      </c>
      <c r="AA373" t="s">
        <v>506</v>
      </c>
      <c r="AB373">
        <v>1</v>
      </c>
      <c r="AC373">
        <v>6</v>
      </c>
      <c r="AD373" t="b">
        <v>1</v>
      </c>
      <c r="AE373">
        <v>2024</v>
      </c>
      <c r="AF373" s="3">
        <v>367</v>
      </c>
      <c r="AG373" s="3">
        <v>45706</v>
      </c>
      <c r="AH373" s="3">
        <v>46811</v>
      </c>
      <c r="AJ373" s="4">
        <f>VLOOKUP(A373,'[1]1'!B:Q,16,0)</f>
        <v>1440</v>
      </c>
      <c r="AK373" s="7">
        <f t="shared" si="21"/>
        <v>5.76</v>
      </c>
      <c r="AL373" s="3">
        <v>367</v>
      </c>
      <c r="AM373" s="3">
        <v>367</v>
      </c>
      <c r="AN373">
        <v>-8.6137672999999992</v>
      </c>
      <c r="AO373">
        <v>115.2220801</v>
      </c>
      <c r="AP373" t="s">
        <v>1925</v>
      </c>
      <c r="AT373">
        <v>99.75</v>
      </c>
      <c r="AW373">
        <v>0</v>
      </c>
      <c r="AX373">
        <v>0</v>
      </c>
      <c r="BA373">
        <v>0</v>
      </c>
      <c r="BB373">
        <v>0</v>
      </c>
      <c r="BE373">
        <v>0</v>
      </c>
      <c r="BF373">
        <v>0</v>
      </c>
      <c r="BJ373">
        <v>0</v>
      </c>
      <c r="BL373">
        <v>0</v>
      </c>
      <c r="BN373">
        <v>0</v>
      </c>
      <c r="BO373" s="6">
        <v>0</v>
      </c>
      <c r="BP373">
        <v>0</v>
      </c>
      <c r="BQ373">
        <v>0</v>
      </c>
      <c r="BR373">
        <v>0</v>
      </c>
    </row>
    <row r="374" spans="1:70" ht="15" customHeight="1" x14ac:dyDescent="0.35">
      <c r="A374" s="1" t="str">
        <f t="shared" si="14"/>
        <v>5059</v>
      </c>
      <c r="B374" t="s">
        <v>1926</v>
      </c>
      <c r="C374" t="s">
        <v>1927</v>
      </c>
      <c r="D374" t="s">
        <v>1928</v>
      </c>
      <c r="E374" t="s">
        <v>1929</v>
      </c>
      <c r="F374" t="s">
        <v>501</v>
      </c>
      <c r="G374" t="s">
        <v>502</v>
      </c>
      <c r="H374" t="s">
        <v>502</v>
      </c>
      <c r="I374" t="s">
        <v>148</v>
      </c>
      <c r="J374" t="b">
        <v>0</v>
      </c>
      <c r="K374" t="s">
        <v>78</v>
      </c>
      <c r="L374" t="s">
        <v>79</v>
      </c>
      <c r="N374" t="s">
        <v>81</v>
      </c>
      <c r="O374" t="s">
        <v>82</v>
      </c>
      <c r="P374" t="s">
        <v>83</v>
      </c>
      <c r="Q374" t="s">
        <v>503</v>
      </c>
      <c r="R374">
        <v>24</v>
      </c>
      <c r="S374" t="s">
        <v>85</v>
      </c>
      <c r="T374" t="s">
        <v>85</v>
      </c>
      <c r="U374">
        <v>1111111</v>
      </c>
      <c r="V374" t="s">
        <v>122</v>
      </c>
      <c r="W374" t="s">
        <v>571</v>
      </c>
      <c r="X374" t="s">
        <v>572</v>
      </c>
      <c r="Y374" t="s">
        <v>89</v>
      </c>
      <c r="Z374" t="s">
        <v>90</v>
      </c>
      <c r="AA374" t="s">
        <v>506</v>
      </c>
      <c r="AB374">
        <v>1</v>
      </c>
      <c r="AC374">
        <v>6</v>
      </c>
      <c r="AD374" t="b">
        <v>1</v>
      </c>
      <c r="AE374">
        <v>2024</v>
      </c>
      <c r="AF374" s="3">
        <v>367</v>
      </c>
      <c r="AG374" s="3">
        <v>45706</v>
      </c>
      <c r="AH374" s="3">
        <v>46801</v>
      </c>
      <c r="AJ374" s="4">
        <f>VLOOKUP(A374,'[1]1'!B:Q,16,0)</f>
        <v>1440</v>
      </c>
      <c r="AK374" s="7">
        <f t="shared" si="21"/>
        <v>5.76</v>
      </c>
      <c r="AL374" s="3">
        <v>367</v>
      </c>
      <c r="AM374" s="3">
        <v>367</v>
      </c>
      <c r="AN374">
        <v>-8.6329005999999993</v>
      </c>
      <c r="AO374">
        <v>115.2050337</v>
      </c>
      <c r="AP374" t="s">
        <v>1930</v>
      </c>
      <c r="AT374">
        <v>99.75</v>
      </c>
      <c r="AW374">
        <v>0</v>
      </c>
      <c r="AX374">
        <v>0</v>
      </c>
      <c r="BA374">
        <v>0</v>
      </c>
      <c r="BB374">
        <v>0</v>
      </c>
      <c r="BE374">
        <v>0</v>
      </c>
      <c r="BF374">
        <v>0</v>
      </c>
      <c r="BJ374">
        <v>0</v>
      </c>
      <c r="BL374">
        <v>0</v>
      </c>
      <c r="BN374">
        <v>0</v>
      </c>
      <c r="BO374" s="6">
        <v>0</v>
      </c>
      <c r="BP374">
        <v>0</v>
      </c>
      <c r="BQ374">
        <v>0</v>
      </c>
      <c r="BR374">
        <v>0</v>
      </c>
    </row>
    <row r="375" spans="1:70" ht="15" customHeight="1" x14ac:dyDescent="0.35">
      <c r="A375" s="1" t="str">
        <f t="shared" si="14"/>
        <v>031U</v>
      </c>
      <c r="B375" t="s">
        <v>1931</v>
      </c>
      <c r="C375" t="s">
        <v>1932</v>
      </c>
      <c r="D375" t="s">
        <v>1933</v>
      </c>
      <c r="E375" t="s">
        <v>1934</v>
      </c>
      <c r="F375" t="s">
        <v>516</v>
      </c>
      <c r="G375" t="s">
        <v>502</v>
      </c>
      <c r="H375" t="s">
        <v>502</v>
      </c>
      <c r="I375" t="s">
        <v>137</v>
      </c>
      <c r="J375" t="b">
        <v>0</v>
      </c>
      <c r="K375" t="s">
        <v>78</v>
      </c>
      <c r="L375" t="s">
        <v>79</v>
      </c>
      <c r="N375" t="s">
        <v>81</v>
      </c>
      <c r="O375" t="s">
        <v>82</v>
      </c>
      <c r="P375" t="s">
        <v>83</v>
      </c>
      <c r="Q375" t="s">
        <v>503</v>
      </c>
      <c r="R375">
        <v>24</v>
      </c>
      <c r="S375" t="s">
        <v>85</v>
      </c>
      <c r="T375" t="s">
        <v>85</v>
      </c>
      <c r="U375">
        <v>1111111</v>
      </c>
      <c r="V375" t="s">
        <v>122</v>
      </c>
      <c r="W375" t="s">
        <v>517</v>
      </c>
      <c r="X375" t="s">
        <v>518</v>
      </c>
      <c r="Y375" t="s">
        <v>89</v>
      </c>
      <c r="Z375" t="s">
        <v>90</v>
      </c>
      <c r="AA375" t="s">
        <v>506</v>
      </c>
      <c r="AB375">
        <v>1</v>
      </c>
      <c r="AC375">
        <v>6</v>
      </c>
      <c r="AD375" t="b">
        <v>1</v>
      </c>
      <c r="AE375">
        <v>2024</v>
      </c>
      <c r="AF375" s="3">
        <v>367</v>
      </c>
      <c r="AG375" s="3">
        <v>45706</v>
      </c>
      <c r="AH375" s="3">
        <v>46801</v>
      </c>
      <c r="AJ375" s="4">
        <f>VLOOKUP(A375,'[1]1'!B:Q,16,0)</f>
        <v>1440</v>
      </c>
      <c r="AK375" s="7">
        <f t="shared" si="21"/>
        <v>5.76</v>
      </c>
      <c r="AL375" s="3">
        <v>367</v>
      </c>
      <c r="AM375" s="3">
        <v>367</v>
      </c>
      <c r="AN375">
        <v>-8.6016711000000008</v>
      </c>
      <c r="AO375">
        <v>115.18606610000001</v>
      </c>
      <c r="AP375" t="s">
        <v>1935</v>
      </c>
      <c r="AT375">
        <v>99.75</v>
      </c>
      <c r="AW375">
        <v>0</v>
      </c>
      <c r="AX375">
        <v>0</v>
      </c>
      <c r="BA375">
        <v>0</v>
      </c>
      <c r="BB375">
        <v>0</v>
      </c>
      <c r="BE375">
        <v>0</v>
      </c>
      <c r="BF375">
        <v>0</v>
      </c>
      <c r="BJ375">
        <v>0</v>
      </c>
      <c r="BL375">
        <v>0</v>
      </c>
      <c r="BN375">
        <v>0</v>
      </c>
      <c r="BO375" s="6">
        <v>0</v>
      </c>
      <c r="BP375">
        <v>0</v>
      </c>
      <c r="BQ375">
        <v>0</v>
      </c>
      <c r="BR375">
        <v>0</v>
      </c>
    </row>
    <row r="376" spans="1:70" ht="15" customHeight="1" x14ac:dyDescent="0.35">
      <c r="A376" s="1" t="str">
        <f t="shared" si="14"/>
        <v>439K</v>
      </c>
      <c r="B376" t="s">
        <v>1936</v>
      </c>
      <c r="C376" t="s">
        <v>1937</v>
      </c>
      <c r="D376" t="s">
        <v>1938</v>
      </c>
      <c r="E376" t="s">
        <v>1939</v>
      </c>
      <c r="F376" t="s">
        <v>516</v>
      </c>
      <c r="G376" t="s">
        <v>502</v>
      </c>
      <c r="H376" t="s">
        <v>502</v>
      </c>
      <c r="I376" t="s">
        <v>137</v>
      </c>
      <c r="J376" t="b">
        <v>0</v>
      </c>
      <c r="K376" t="s">
        <v>78</v>
      </c>
      <c r="L376" t="s">
        <v>79</v>
      </c>
      <c r="N376" t="s">
        <v>81</v>
      </c>
      <c r="O376" t="s">
        <v>82</v>
      </c>
      <c r="P376" t="s">
        <v>83</v>
      </c>
      <c r="Q376" t="s">
        <v>503</v>
      </c>
      <c r="R376">
        <v>17</v>
      </c>
      <c r="S376" t="s">
        <v>162</v>
      </c>
      <c r="T376" t="s">
        <v>162</v>
      </c>
      <c r="U376">
        <v>1111111</v>
      </c>
      <c r="V376" t="s">
        <v>122</v>
      </c>
      <c r="W376" t="s">
        <v>517</v>
      </c>
      <c r="X376" t="s">
        <v>518</v>
      </c>
      <c r="Y376" t="s">
        <v>89</v>
      </c>
      <c r="Z376" t="s">
        <v>90</v>
      </c>
      <c r="AA376" t="s">
        <v>506</v>
      </c>
      <c r="AB376">
        <v>1</v>
      </c>
      <c r="AC376">
        <v>6</v>
      </c>
      <c r="AD376" t="b">
        <v>1</v>
      </c>
      <c r="AE376">
        <v>2024</v>
      </c>
      <c r="AF376" s="3">
        <v>367</v>
      </c>
      <c r="AG376" s="3">
        <v>45706</v>
      </c>
      <c r="AH376" s="3">
        <v>46801</v>
      </c>
      <c r="AJ376" s="4">
        <f>VLOOKUP(A376,'[1]1'!B:Q,16,0)</f>
        <v>1020</v>
      </c>
      <c r="AK376" s="7">
        <f t="shared" si="21"/>
        <v>4.08</v>
      </c>
      <c r="AL376" s="3">
        <v>367</v>
      </c>
      <c r="AM376" s="3">
        <v>367</v>
      </c>
      <c r="AN376">
        <v>-8.6267124000000006</v>
      </c>
      <c r="AO376">
        <v>115.1707363</v>
      </c>
      <c r="AP376" t="s">
        <v>1940</v>
      </c>
      <c r="AT376">
        <v>99.75</v>
      </c>
      <c r="AW376">
        <v>0</v>
      </c>
      <c r="AX376">
        <v>0</v>
      </c>
      <c r="BA376">
        <v>0</v>
      </c>
      <c r="BB376">
        <v>0</v>
      </c>
      <c r="BE376">
        <v>0</v>
      </c>
      <c r="BF376">
        <v>0</v>
      </c>
      <c r="BJ376">
        <v>0</v>
      </c>
      <c r="BL376">
        <v>0</v>
      </c>
      <c r="BN376">
        <v>0</v>
      </c>
      <c r="BO376" s="6">
        <v>0</v>
      </c>
      <c r="BP376">
        <v>0</v>
      </c>
      <c r="BQ376">
        <v>0</v>
      </c>
      <c r="BR376">
        <v>0</v>
      </c>
    </row>
    <row r="377" spans="1:70" ht="15" customHeight="1" x14ac:dyDescent="0.35">
      <c r="A377" s="1" t="str">
        <f t="shared" si="14"/>
        <v>694R</v>
      </c>
      <c r="B377" t="s">
        <v>1941</v>
      </c>
      <c r="C377" t="s">
        <v>1942</v>
      </c>
      <c r="D377" t="s">
        <v>1943</v>
      </c>
      <c r="E377" t="s">
        <v>1944</v>
      </c>
      <c r="F377" t="s">
        <v>724</v>
      </c>
      <c r="G377" t="s">
        <v>502</v>
      </c>
      <c r="H377" t="s">
        <v>502</v>
      </c>
      <c r="I377" t="s">
        <v>137</v>
      </c>
      <c r="J377" t="b">
        <v>0</v>
      </c>
      <c r="K377" t="s">
        <v>78</v>
      </c>
      <c r="L377" t="s">
        <v>79</v>
      </c>
      <c r="N377" t="s">
        <v>81</v>
      </c>
      <c r="O377" t="s">
        <v>82</v>
      </c>
      <c r="P377" t="s">
        <v>83</v>
      </c>
      <c r="Q377" t="s">
        <v>503</v>
      </c>
      <c r="R377">
        <v>24</v>
      </c>
      <c r="S377" t="s">
        <v>85</v>
      </c>
      <c r="T377" t="s">
        <v>85</v>
      </c>
      <c r="U377">
        <v>1111111</v>
      </c>
      <c r="V377" t="s">
        <v>122</v>
      </c>
      <c r="W377" t="s">
        <v>517</v>
      </c>
      <c r="X377" t="s">
        <v>518</v>
      </c>
      <c r="Y377" t="s">
        <v>89</v>
      </c>
      <c r="Z377" t="s">
        <v>90</v>
      </c>
      <c r="AA377" t="s">
        <v>506</v>
      </c>
      <c r="AB377">
        <v>2</v>
      </c>
      <c r="AC377">
        <v>6</v>
      </c>
      <c r="AD377" t="b">
        <v>1</v>
      </c>
      <c r="AE377">
        <v>2025</v>
      </c>
      <c r="AF377" s="3">
        <v>367</v>
      </c>
      <c r="AG377" s="3">
        <v>45707</v>
      </c>
      <c r="AH377" s="3">
        <v>46802</v>
      </c>
      <c r="AJ377" s="4">
        <f>VLOOKUP(A377,'[1]1'!B:Q,16,0)</f>
        <v>1440</v>
      </c>
      <c r="AK377" s="7">
        <f t="shared" si="21"/>
        <v>5.76</v>
      </c>
      <c r="AL377" s="3">
        <v>367</v>
      </c>
      <c r="AM377" s="3">
        <v>367</v>
      </c>
      <c r="AN377">
        <v>-8.5019781000000005</v>
      </c>
      <c r="AO377">
        <v>115.0628732</v>
      </c>
      <c r="AP377" t="s">
        <v>1945</v>
      </c>
      <c r="AT377">
        <v>99.75</v>
      </c>
      <c r="AW377">
        <v>0</v>
      </c>
      <c r="AX377">
        <v>0</v>
      </c>
      <c r="BA377">
        <v>0</v>
      </c>
      <c r="BB377">
        <v>0</v>
      </c>
      <c r="BE377">
        <v>0</v>
      </c>
      <c r="BF377">
        <v>0</v>
      </c>
      <c r="BJ377">
        <v>0</v>
      </c>
      <c r="BL377">
        <v>0</v>
      </c>
      <c r="BN377">
        <v>0</v>
      </c>
      <c r="BO377" s="6">
        <v>0</v>
      </c>
      <c r="BP377">
        <v>0</v>
      </c>
      <c r="BQ377">
        <v>0</v>
      </c>
      <c r="BR377">
        <v>0</v>
      </c>
    </row>
    <row r="378" spans="1:70" ht="15" customHeight="1" x14ac:dyDescent="0.35">
      <c r="A378" s="1" t="str">
        <f t="shared" si="14"/>
        <v>017P</v>
      </c>
      <c r="B378" t="s">
        <v>1946</v>
      </c>
      <c r="C378" t="s">
        <v>1947</v>
      </c>
      <c r="D378" t="s">
        <v>1948</v>
      </c>
      <c r="E378" t="s">
        <v>1949</v>
      </c>
      <c r="F378" t="s">
        <v>724</v>
      </c>
      <c r="G378" t="s">
        <v>502</v>
      </c>
      <c r="H378" t="s">
        <v>502</v>
      </c>
      <c r="I378" t="s">
        <v>137</v>
      </c>
      <c r="J378" t="b">
        <v>0</v>
      </c>
      <c r="K378" t="s">
        <v>78</v>
      </c>
      <c r="L378" t="s">
        <v>79</v>
      </c>
      <c r="N378" t="s">
        <v>81</v>
      </c>
      <c r="O378" t="s">
        <v>82</v>
      </c>
      <c r="P378" t="s">
        <v>83</v>
      </c>
      <c r="Q378" t="s">
        <v>503</v>
      </c>
      <c r="R378">
        <v>15</v>
      </c>
      <c r="S378" t="s">
        <v>121</v>
      </c>
      <c r="T378" t="s">
        <v>121</v>
      </c>
      <c r="U378">
        <v>1111111</v>
      </c>
      <c r="V378" t="s">
        <v>122</v>
      </c>
      <c r="W378" t="s">
        <v>517</v>
      </c>
      <c r="X378" t="s">
        <v>518</v>
      </c>
      <c r="Y378" t="s">
        <v>89</v>
      </c>
      <c r="Z378" t="s">
        <v>90</v>
      </c>
      <c r="AA378" t="s">
        <v>506</v>
      </c>
      <c r="AB378">
        <v>1</v>
      </c>
      <c r="AC378">
        <v>6</v>
      </c>
      <c r="AD378" t="b">
        <v>1</v>
      </c>
      <c r="AE378">
        <v>2025</v>
      </c>
      <c r="AF378" s="3">
        <v>367</v>
      </c>
      <c r="AG378" s="3">
        <v>45707</v>
      </c>
      <c r="AH378" s="3">
        <v>46802</v>
      </c>
      <c r="AJ378" s="4">
        <f>VLOOKUP(A378,'[1]1'!B:Q,16,0)</f>
        <v>900</v>
      </c>
      <c r="AK378" s="7">
        <f t="shared" si="21"/>
        <v>3.6</v>
      </c>
      <c r="AL378" s="3">
        <v>367</v>
      </c>
      <c r="AM378" s="3">
        <v>367</v>
      </c>
      <c r="AN378">
        <v>-8.5147148999999995</v>
      </c>
      <c r="AO378">
        <v>115.0910435</v>
      </c>
      <c r="AP378" t="s">
        <v>1950</v>
      </c>
      <c r="AT378">
        <v>99.75</v>
      </c>
      <c r="AW378">
        <v>0</v>
      </c>
      <c r="AX378">
        <v>0</v>
      </c>
      <c r="BA378">
        <v>0</v>
      </c>
      <c r="BB378">
        <v>0</v>
      </c>
      <c r="BE378">
        <v>0</v>
      </c>
      <c r="BF378">
        <v>0</v>
      </c>
      <c r="BJ378">
        <v>0</v>
      </c>
      <c r="BL378">
        <v>0</v>
      </c>
      <c r="BN378">
        <v>0</v>
      </c>
      <c r="BO378" s="6">
        <v>0</v>
      </c>
      <c r="BP378">
        <v>0</v>
      </c>
      <c r="BQ378">
        <v>0</v>
      </c>
      <c r="BR378">
        <v>0</v>
      </c>
    </row>
    <row r="379" spans="1:70" ht="15" customHeight="1" x14ac:dyDescent="0.35">
      <c r="A379" s="1" t="str">
        <f t="shared" si="14"/>
        <v>067E</v>
      </c>
      <c r="B379" t="s">
        <v>1951</v>
      </c>
      <c r="C379" t="s">
        <v>1952</v>
      </c>
      <c r="D379" t="s">
        <v>1953</v>
      </c>
      <c r="E379" t="s">
        <v>1954</v>
      </c>
      <c r="F379" t="s">
        <v>501</v>
      </c>
      <c r="G379" t="s">
        <v>502</v>
      </c>
      <c r="H379" t="s">
        <v>502</v>
      </c>
      <c r="I379" t="s">
        <v>137</v>
      </c>
      <c r="J379" t="b">
        <v>0</v>
      </c>
      <c r="K379" t="s">
        <v>78</v>
      </c>
      <c r="L379" t="s">
        <v>79</v>
      </c>
      <c r="N379" t="s">
        <v>81</v>
      </c>
      <c r="O379" t="s">
        <v>82</v>
      </c>
      <c r="P379" t="s">
        <v>83</v>
      </c>
      <c r="Q379" t="s">
        <v>549</v>
      </c>
      <c r="R379">
        <v>24</v>
      </c>
      <c r="S379" t="s">
        <v>85</v>
      </c>
      <c r="T379" t="s">
        <v>179</v>
      </c>
      <c r="U379">
        <v>1111111</v>
      </c>
      <c r="V379" t="s">
        <v>122</v>
      </c>
      <c r="W379" t="s">
        <v>550</v>
      </c>
      <c r="X379" t="s">
        <v>551</v>
      </c>
      <c r="Y379" t="s">
        <v>89</v>
      </c>
      <c r="Z379" t="s">
        <v>90</v>
      </c>
      <c r="AA379" t="s">
        <v>506</v>
      </c>
      <c r="AB379">
        <v>1</v>
      </c>
      <c r="AC379">
        <v>6</v>
      </c>
      <c r="AD379" t="b">
        <v>1</v>
      </c>
      <c r="AE379">
        <v>2024</v>
      </c>
      <c r="AF379" s="3">
        <v>367</v>
      </c>
      <c r="AG379" s="3">
        <v>45709</v>
      </c>
      <c r="AH379" s="3">
        <v>46811</v>
      </c>
      <c r="AJ379" s="4">
        <f>VLOOKUP(A379,'[1]1'!B:Q,16,0)</f>
        <v>1440</v>
      </c>
      <c r="AK379" s="7">
        <f t="shared" si="21"/>
        <v>5.76</v>
      </c>
      <c r="AL379" s="3">
        <v>367</v>
      </c>
      <c r="AM379" s="3">
        <v>367</v>
      </c>
      <c r="AN379">
        <v>-8.6488499999999995</v>
      </c>
      <c r="AO379">
        <v>115.22906829999999</v>
      </c>
      <c r="AP379" t="s">
        <v>1955</v>
      </c>
      <c r="AT379">
        <v>99.75</v>
      </c>
      <c r="AW379">
        <v>0</v>
      </c>
      <c r="AX379">
        <v>0</v>
      </c>
      <c r="BA379">
        <v>0</v>
      </c>
      <c r="BB379">
        <v>0</v>
      </c>
      <c r="BE379">
        <v>0</v>
      </c>
      <c r="BF379">
        <v>0</v>
      </c>
      <c r="BJ379">
        <v>0</v>
      </c>
      <c r="BL379">
        <v>0</v>
      </c>
      <c r="BN379">
        <v>0</v>
      </c>
      <c r="BO379" s="6">
        <v>0</v>
      </c>
      <c r="BP379">
        <v>0</v>
      </c>
      <c r="BQ379">
        <v>0</v>
      </c>
      <c r="BR379">
        <v>0</v>
      </c>
    </row>
    <row r="380" spans="1:70" ht="15" customHeight="1" x14ac:dyDescent="0.35">
      <c r="A380" s="1" t="str">
        <f t="shared" si="14"/>
        <v>2578</v>
      </c>
      <c r="B380" t="s">
        <v>1956</v>
      </c>
      <c r="C380" t="s">
        <v>1957</v>
      </c>
      <c r="D380" t="s">
        <v>1958</v>
      </c>
      <c r="E380" t="s">
        <v>1959</v>
      </c>
      <c r="F380" t="s">
        <v>501</v>
      </c>
      <c r="G380" t="s">
        <v>502</v>
      </c>
      <c r="H380" t="s">
        <v>502</v>
      </c>
      <c r="I380" t="s">
        <v>137</v>
      </c>
      <c r="J380" t="b">
        <v>0</v>
      </c>
      <c r="K380" t="s">
        <v>78</v>
      </c>
      <c r="L380" t="s">
        <v>79</v>
      </c>
      <c r="N380" t="s">
        <v>81</v>
      </c>
      <c r="O380" t="s">
        <v>82</v>
      </c>
      <c r="P380" t="s">
        <v>83</v>
      </c>
      <c r="Q380" t="s">
        <v>549</v>
      </c>
      <c r="R380">
        <v>24</v>
      </c>
      <c r="S380" t="s">
        <v>85</v>
      </c>
      <c r="T380" t="s">
        <v>179</v>
      </c>
      <c r="U380">
        <v>1111111</v>
      </c>
      <c r="V380" t="s">
        <v>122</v>
      </c>
      <c r="W380" t="s">
        <v>550</v>
      </c>
      <c r="X380" t="s">
        <v>551</v>
      </c>
      <c r="Y380" t="s">
        <v>89</v>
      </c>
      <c r="Z380" t="s">
        <v>90</v>
      </c>
      <c r="AA380" t="s">
        <v>506</v>
      </c>
      <c r="AB380">
        <v>1</v>
      </c>
      <c r="AC380">
        <v>6</v>
      </c>
      <c r="AD380" t="b">
        <v>1</v>
      </c>
      <c r="AE380">
        <v>2024</v>
      </c>
      <c r="AF380" s="3">
        <v>367</v>
      </c>
      <c r="AG380" s="3">
        <v>45709</v>
      </c>
      <c r="AH380" s="3">
        <v>46811</v>
      </c>
      <c r="AJ380" s="4">
        <f>VLOOKUP(A380,'[1]1'!B:Q,16,0)</f>
        <v>1440</v>
      </c>
      <c r="AK380" s="7">
        <f t="shared" si="21"/>
        <v>5.76</v>
      </c>
      <c r="AL380" s="3">
        <v>367</v>
      </c>
      <c r="AM380" s="3">
        <v>367</v>
      </c>
      <c r="AN380">
        <v>-8.6483650000000001</v>
      </c>
      <c r="AO380">
        <v>115.23708499999999</v>
      </c>
      <c r="AP380" t="s">
        <v>1959</v>
      </c>
      <c r="AT380">
        <v>99.75</v>
      </c>
      <c r="AW380">
        <v>0</v>
      </c>
      <c r="AX380">
        <v>0</v>
      </c>
      <c r="BA380">
        <v>0</v>
      </c>
      <c r="BB380">
        <v>0</v>
      </c>
      <c r="BE380">
        <v>0</v>
      </c>
      <c r="BF380">
        <v>0</v>
      </c>
      <c r="BJ380">
        <v>0</v>
      </c>
      <c r="BL380">
        <v>0</v>
      </c>
      <c r="BN380">
        <v>0</v>
      </c>
      <c r="BO380" s="6">
        <v>0</v>
      </c>
      <c r="BP380">
        <v>0</v>
      </c>
      <c r="BQ380">
        <v>0</v>
      </c>
      <c r="BR380">
        <v>0</v>
      </c>
    </row>
    <row r="381" spans="1:70" ht="15" customHeight="1" x14ac:dyDescent="0.35">
      <c r="A381" s="1" t="str">
        <f t="shared" si="14"/>
        <v>01QY</v>
      </c>
      <c r="B381" t="s">
        <v>1960</v>
      </c>
      <c r="C381" t="s">
        <v>1961</v>
      </c>
      <c r="D381" t="s">
        <v>1962</v>
      </c>
      <c r="E381" t="s">
        <v>1963</v>
      </c>
      <c r="F381" t="s">
        <v>501</v>
      </c>
      <c r="G381" t="s">
        <v>502</v>
      </c>
      <c r="H381" t="s">
        <v>502</v>
      </c>
      <c r="I381" t="s">
        <v>148</v>
      </c>
      <c r="J381" t="b">
        <v>0</v>
      </c>
      <c r="K381" t="s">
        <v>78</v>
      </c>
      <c r="L381" t="s">
        <v>79</v>
      </c>
      <c r="N381" t="s">
        <v>81</v>
      </c>
      <c r="O381" t="s">
        <v>82</v>
      </c>
      <c r="P381" t="s">
        <v>83</v>
      </c>
      <c r="Q381" t="s">
        <v>549</v>
      </c>
      <c r="R381">
        <v>24</v>
      </c>
      <c r="S381" t="s">
        <v>85</v>
      </c>
      <c r="T381" t="s">
        <v>179</v>
      </c>
      <c r="U381">
        <v>1111111</v>
      </c>
      <c r="V381" t="s">
        <v>122</v>
      </c>
      <c r="W381" t="s">
        <v>571</v>
      </c>
      <c r="X381" t="s">
        <v>572</v>
      </c>
      <c r="Y381" t="s">
        <v>89</v>
      </c>
      <c r="Z381" t="s">
        <v>90</v>
      </c>
      <c r="AA381" t="s">
        <v>506</v>
      </c>
      <c r="AB381">
        <v>1</v>
      </c>
      <c r="AC381">
        <v>6</v>
      </c>
      <c r="AD381" t="b">
        <v>1</v>
      </c>
      <c r="AE381">
        <v>2024</v>
      </c>
      <c r="AF381" s="3">
        <v>367</v>
      </c>
      <c r="AG381" s="3">
        <v>45709</v>
      </c>
      <c r="AH381" s="3">
        <v>46811</v>
      </c>
      <c r="AJ381" s="4">
        <f>VLOOKUP(A381,'[1]1'!B:Q,16,0)</f>
        <v>900</v>
      </c>
      <c r="AK381" s="7">
        <f t="shared" si="21"/>
        <v>3.6</v>
      </c>
      <c r="AL381" s="3">
        <v>367</v>
      </c>
      <c r="AM381" s="3">
        <v>367</v>
      </c>
      <c r="AN381">
        <v>-8.6491126000000005</v>
      </c>
      <c r="AO381">
        <v>115.2189199</v>
      </c>
      <c r="AP381" t="s">
        <v>1964</v>
      </c>
      <c r="AT381">
        <v>99.75</v>
      </c>
      <c r="AW381">
        <v>0</v>
      </c>
      <c r="AX381">
        <v>0</v>
      </c>
      <c r="BA381">
        <v>0</v>
      </c>
      <c r="BB381">
        <v>0</v>
      </c>
      <c r="BE381">
        <v>0</v>
      </c>
      <c r="BF381">
        <v>0</v>
      </c>
      <c r="BJ381">
        <v>0</v>
      </c>
      <c r="BL381">
        <v>0</v>
      </c>
      <c r="BN381">
        <v>0</v>
      </c>
      <c r="BO381" s="6">
        <v>0</v>
      </c>
      <c r="BP381">
        <v>0</v>
      </c>
      <c r="BQ381">
        <v>0</v>
      </c>
      <c r="BR381">
        <v>0</v>
      </c>
    </row>
    <row r="382" spans="1:70" ht="15" customHeight="1" x14ac:dyDescent="0.35">
      <c r="A382" s="1" t="str">
        <f t="shared" si="14"/>
        <v>650K</v>
      </c>
      <c r="B382" t="s">
        <v>1965</v>
      </c>
      <c r="C382" t="s">
        <v>1966</v>
      </c>
      <c r="D382" t="s">
        <v>1967</v>
      </c>
      <c r="E382" t="s">
        <v>1968</v>
      </c>
      <c r="F382" t="s">
        <v>501</v>
      </c>
      <c r="G382" t="s">
        <v>502</v>
      </c>
      <c r="H382" t="s">
        <v>502</v>
      </c>
      <c r="I382" t="s">
        <v>584</v>
      </c>
      <c r="J382" t="b">
        <v>1</v>
      </c>
      <c r="K382" t="s">
        <v>78</v>
      </c>
      <c r="L382" t="s">
        <v>79</v>
      </c>
      <c r="N382" t="s">
        <v>81</v>
      </c>
      <c r="O382" t="s">
        <v>82</v>
      </c>
      <c r="P382" t="s">
        <v>83</v>
      </c>
      <c r="Q382" t="s">
        <v>549</v>
      </c>
      <c r="R382">
        <v>24</v>
      </c>
      <c r="S382" t="s">
        <v>85</v>
      </c>
      <c r="T382" t="s">
        <v>179</v>
      </c>
      <c r="U382">
        <v>1111111</v>
      </c>
      <c r="V382" t="s">
        <v>122</v>
      </c>
      <c r="W382" t="s">
        <v>550</v>
      </c>
      <c r="X382" t="s">
        <v>551</v>
      </c>
      <c r="Y382" t="s">
        <v>89</v>
      </c>
      <c r="Z382" t="s">
        <v>90</v>
      </c>
      <c r="AA382" t="s">
        <v>506</v>
      </c>
      <c r="AB382">
        <v>1</v>
      </c>
      <c r="AC382">
        <v>6</v>
      </c>
      <c r="AD382" t="b">
        <v>1</v>
      </c>
      <c r="AE382">
        <v>2024</v>
      </c>
      <c r="AF382" s="3">
        <v>367</v>
      </c>
      <c r="AG382" s="3">
        <v>45709</v>
      </c>
      <c r="AH382" s="3">
        <v>46811</v>
      </c>
      <c r="AJ382" s="4">
        <f>VLOOKUP(A382,'[1]1'!B:Q,16,0)</f>
        <v>1440</v>
      </c>
      <c r="AK382" s="7">
        <f t="shared" si="21"/>
        <v>5.76</v>
      </c>
      <c r="AL382" s="3">
        <v>367</v>
      </c>
      <c r="AM382" s="3">
        <v>367</v>
      </c>
      <c r="AN382">
        <v>-8.6487032999999993</v>
      </c>
      <c r="AO382">
        <v>115.22356000000001</v>
      </c>
      <c r="AP382" t="s">
        <v>1968</v>
      </c>
      <c r="AT382">
        <v>99.75</v>
      </c>
      <c r="AW382">
        <v>0</v>
      </c>
      <c r="AX382">
        <v>0</v>
      </c>
      <c r="BA382">
        <v>0</v>
      </c>
      <c r="BB382">
        <v>0</v>
      </c>
      <c r="BE382">
        <v>0</v>
      </c>
      <c r="BF382">
        <v>0</v>
      </c>
      <c r="BJ382">
        <v>0</v>
      </c>
      <c r="BL382">
        <v>0</v>
      </c>
      <c r="BN382">
        <v>0</v>
      </c>
      <c r="BO382" s="6">
        <v>0</v>
      </c>
      <c r="BP382">
        <v>0</v>
      </c>
      <c r="BQ382">
        <v>0</v>
      </c>
      <c r="BR382">
        <v>0</v>
      </c>
    </row>
    <row r="383" spans="1:70" ht="15" customHeight="1" x14ac:dyDescent="0.35">
      <c r="A383" s="1" t="str">
        <f t="shared" si="14"/>
        <v>699C</v>
      </c>
      <c r="B383" t="s">
        <v>1969</v>
      </c>
      <c r="C383" t="s">
        <v>1970</v>
      </c>
      <c r="D383" t="s">
        <v>1971</v>
      </c>
      <c r="E383" t="s">
        <v>1972</v>
      </c>
      <c r="F383" t="s">
        <v>501</v>
      </c>
      <c r="G383" t="s">
        <v>502</v>
      </c>
      <c r="H383" t="s">
        <v>502</v>
      </c>
      <c r="I383" t="s">
        <v>137</v>
      </c>
      <c r="J383" t="b">
        <v>0</v>
      </c>
      <c r="K383" t="s">
        <v>78</v>
      </c>
      <c r="L383" t="s">
        <v>79</v>
      </c>
      <c r="N383" t="s">
        <v>81</v>
      </c>
      <c r="O383" t="s">
        <v>82</v>
      </c>
      <c r="P383" t="s">
        <v>83</v>
      </c>
      <c r="Q383" t="s">
        <v>549</v>
      </c>
      <c r="R383">
        <v>24</v>
      </c>
      <c r="S383" t="s">
        <v>85</v>
      </c>
      <c r="T383" t="s">
        <v>179</v>
      </c>
      <c r="U383">
        <v>1111111</v>
      </c>
      <c r="V383" t="s">
        <v>122</v>
      </c>
      <c r="W383" t="s">
        <v>694</v>
      </c>
      <c r="X383" t="s">
        <v>695</v>
      </c>
      <c r="Y383" t="s">
        <v>89</v>
      </c>
      <c r="Z383" t="s">
        <v>90</v>
      </c>
      <c r="AA383" t="s">
        <v>506</v>
      </c>
      <c r="AB383">
        <v>1</v>
      </c>
      <c r="AC383">
        <v>6</v>
      </c>
      <c r="AD383" t="b">
        <v>1</v>
      </c>
      <c r="AE383">
        <v>2024</v>
      </c>
      <c r="AF383" s="3">
        <v>367</v>
      </c>
      <c r="AG383" s="3">
        <v>45709</v>
      </c>
      <c r="AH383" s="3">
        <v>46811</v>
      </c>
      <c r="AJ383" s="4"/>
      <c r="AK383" s="4"/>
      <c r="AL383" s="3">
        <v>367</v>
      </c>
      <c r="AM383" s="3">
        <v>367</v>
      </c>
      <c r="AN383">
        <v>-8.6828287</v>
      </c>
      <c r="AO383">
        <v>115.2212553</v>
      </c>
      <c r="AP383" t="s">
        <v>1973</v>
      </c>
      <c r="AT383">
        <v>99.75</v>
      </c>
      <c r="AW383">
        <v>0</v>
      </c>
      <c r="AX383">
        <v>0</v>
      </c>
      <c r="BA383">
        <v>0</v>
      </c>
      <c r="BB383">
        <v>0</v>
      </c>
      <c r="BE383">
        <v>0</v>
      </c>
      <c r="BF383">
        <v>0</v>
      </c>
      <c r="BJ383">
        <v>0</v>
      </c>
      <c r="BL383">
        <v>0</v>
      </c>
      <c r="BN383">
        <v>0</v>
      </c>
      <c r="BO383" s="6">
        <v>0</v>
      </c>
      <c r="BP383">
        <v>0</v>
      </c>
      <c r="BQ383">
        <v>0</v>
      </c>
      <c r="BR383">
        <v>0</v>
      </c>
    </row>
    <row r="384" spans="1:70" ht="15" customHeight="1" x14ac:dyDescent="0.35">
      <c r="A384" s="1" t="str">
        <f t="shared" si="14"/>
        <v>652H</v>
      </c>
      <c r="B384" t="s">
        <v>1974</v>
      </c>
      <c r="C384" t="s">
        <v>1975</v>
      </c>
      <c r="D384" t="s">
        <v>1976</v>
      </c>
      <c r="E384" t="s">
        <v>1977</v>
      </c>
      <c r="F384" t="s">
        <v>501</v>
      </c>
      <c r="G384" t="s">
        <v>502</v>
      </c>
      <c r="H384" t="s">
        <v>502</v>
      </c>
      <c r="I384" t="s">
        <v>137</v>
      </c>
      <c r="J384" t="b">
        <v>0</v>
      </c>
      <c r="K384" t="s">
        <v>78</v>
      </c>
      <c r="L384" t="s">
        <v>79</v>
      </c>
      <c r="N384" t="s">
        <v>81</v>
      </c>
      <c r="O384" t="s">
        <v>82</v>
      </c>
      <c r="P384" t="s">
        <v>83</v>
      </c>
      <c r="Q384" t="s">
        <v>549</v>
      </c>
      <c r="R384">
        <v>15</v>
      </c>
      <c r="S384" t="s">
        <v>121</v>
      </c>
      <c r="T384" t="s">
        <v>121</v>
      </c>
      <c r="U384">
        <v>1111111</v>
      </c>
      <c r="V384" t="s">
        <v>122</v>
      </c>
      <c r="W384" t="s">
        <v>694</v>
      </c>
      <c r="X384" t="s">
        <v>695</v>
      </c>
      <c r="Y384" t="s">
        <v>89</v>
      </c>
      <c r="Z384" t="s">
        <v>90</v>
      </c>
      <c r="AA384" t="s">
        <v>506</v>
      </c>
      <c r="AB384">
        <v>1</v>
      </c>
      <c r="AC384">
        <v>6</v>
      </c>
      <c r="AD384" t="b">
        <v>1</v>
      </c>
      <c r="AE384">
        <v>2024</v>
      </c>
      <c r="AF384" s="3">
        <v>367</v>
      </c>
      <c r="AG384" s="3">
        <v>45709</v>
      </c>
      <c r="AH384" s="3">
        <v>46811</v>
      </c>
      <c r="AJ384" s="4"/>
      <c r="AK384" s="4"/>
      <c r="AL384" s="3">
        <v>367</v>
      </c>
      <c r="AM384" s="3">
        <v>367</v>
      </c>
      <c r="AN384">
        <v>-8.6845800000000004</v>
      </c>
      <c r="AO384">
        <v>115.23197500000001</v>
      </c>
      <c r="AP384" t="s">
        <v>1978</v>
      </c>
      <c r="AT384">
        <v>99.75</v>
      </c>
      <c r="AW384">
        <v>0</v>
      </c>
      <c r="AX384">
        <v>0</v>
      </c>
      <c r="BA384">
        <v>0</v>
      </c>
      <c r="BB384">
        <v>0</v>
      </c>
      <c r="BE384">
        <v>0</v>
      </c>
      <c r="BF384">
        <v>0</v>
      </c>
      <c r="BJ384">
        <v>0</v>
      </c>
      <c r="BL384">
        <v>0</v>
      </c>
      <c r="BN384">
        <v>0</v>
      </c>
      <c r="BO384" s="6">
        <v>0</v>
      </c>
      <c r="BP384">
        <v>0</v>
      </c>
      <c r="BQ384">
        <v>0</v>
      </c>
      <c r="BR384">
        <v>0</v>
      </c>
    </row>
    <row r="385" spans="1:70" ht="15" customHeight="1" x14ac:dyDescent="0.35">
      <c r="A385" s="1" t="str">
        <f t="shared" si="14"/>
        <v>649Y</v>
      </c>
      <c r="B385" t="s">
        <v>1979</v>
      </c>
      <c r="C385" t="s">
        <v>1980</v>
      </c>
      <c r="D385" t="s">
        <v>1981</v>
      </c>
      <c r="E385" t="s">
        <v>1982</v>
      </c>
      <c r="F385" t="s">
        <v>501</v>
      </c>
      <c r="G385" t="s">
        <v>502</v>
      </c>
      <c r="H385" t="s">
        <v>502</v>
      </c>
      <c r="I385" t="s">
        <v>137</v>
      </c>
      <c r="J385" t="b">
        <v>0</v>
      </c>
      <c r="K385" t="s">
        <v>78</v>
      </c>
      <c r="L385" t="s">
        <v>79</v>
      </c>
      <c r="N385" t="s">
        <v>81</v>
      </c>
      <c r="O385" t="s">
        <v>82</v>
      </c>
      <c r="P385" t="s">
        <v>83</v>
      </c>
      <c r="Q385" t="s">
        <v>549</v>
      </c>
      <c r="R385">
        <v>24</v>
      </c>
      <c r="S385" t="s">
        <v>85</v>
      </c>
      <c r="T385" t="s">
        <v>179</v>
      </c>
      <c r="U385">
        <v>1111111</v>
      </c>
      <c r="V385" t="s">
        <v>122</v>
      </c>
      <c r="W385" t="s">
        <v>694</v>
      </c>
      <c r="X385" t="s">
        <v>695</v>
      </c>
      <c r="Y385" t="s">
        <v>89</v>
      </c>
      <c r="Z385" t="s">
        <v>90</v>
      </c>
      <c r="AA385" t="s">
        <v>506</v>
      </c>
      <c r="AB385">
        <v>1</v>
      </c>
      <c r="AC385">
        <v>6</v>
      </c>
      <c r="AD385" t="b">
        <v>1</v>
      </c>
      <c r="AE385">
        <v>2024</v>
      </c>
      <c r="AF385" s="3">
        <v>367</v>
      </c>
      <c r="AG385" s="3">
        <v>45709</v>
      </c>
      <c r="AH385" s="3">
        <v>46811</v>
      </c>
      <c r="AJ385" s="4"/>
      <c r="AK385" s="4"/>
      <c r="AL385" s="3">
        <v>367</v>
      </c>
      <c r="AM385" s="3">
        <v>367</v>
      </c>
      <c r="AN385">
        <v>-8.6860687999999993</v>
      </c>
      <c r="AO385">
        <v>115.2304597</v>
      </c>
      <c r="AP385" t="s">
        <v>1983</v>
      </c>
      <c r="AT385">
        <v>99.75</v>
      </c>
      <c r="AW385">
        <v>0</v>
      </c>
      <c r="AX385">
        <v>0</v>
      </c>
      <c r="BA385">
        <v>0</v>
      </c>
      <c r="BB385">
        <v>0</v>
      </c>
      <c r="BE385">
        <v>0</v>
      </c>
      <c r="BF385">
        <v>0</v>
      </c>
      <c r="BJ385">
        <v>0</v>
      </c>
      <c r="BL385">
        <v>0</v>
      </c>
      <c r="BN385">
        <v>0</v>
      </c>
      <c r="BO385" s="6">
        <v>0</v>
      </c>
      <c r="BP385">
        <v>0</v>
      </c>
      <c r="BQ385">
        <v>0</v>
      </c>
      <c r="BR385">
        <v>0</v>
      </c>
    </row>
    <row r="386" spans="1:70" ht="15" customHeight="1" x14ac:dyDescent="0.35">
      <c r="A386" s="1" t="str">
        <f t="shared" si="14"/>
        <v>1850</v>
      </c>
      <c r="B386" t="s">
        <v>1984</v>
      </c>
      <c r="C386" t="s">
        <v>1985</v>
      </c>
      <c r="D386" t="s">
        <v>1986</v>
      </c>
      <c r="E386" t="s">
        <v>1987</v>
      </c>
      <c r="F386" t="s">
        <v>501</v>
      </c>
      <c r="G386" t="s">
        <v>502</v>
      </c>
      <c r="H386" t="s">
        <v>502</v>
      </c>
      <c r="I386" t="s">
        <v>350</v>
      </c>
      <c r="J386" t="b">
        <v>1</v>
      </c>
      <c r="K386" t="s">
        <v>78</v>
      </c>
      <c r="L386" t="s">
        <v>79</v>
      </c>
      <c r="N386" t="s">
        <v>81</v>
      </c>
      <c r="O386" t="s">
        <v>82</v>
      </c>
      <c r="P386" t="s">
        <v>83</v>
      </c>
      <c r="Q386" t="s">
        <v>549</v>
      </c>
      <c r="R386">
        <v>24</v>
      </c>
      <c r="S386" t="s">
        <v>85</v>
      </c>
      <c r="T386" t="s">
        <v>179</v>
      </c>
      <c r="U386">
        <v>1111111</v>
      </c>
      <c r="V386" t="s">
        <v>122</v>
      </c>
      <c r="W386" t="s">
        <v>694</v>
      </c>
      <c r="X386" t="s">
        <v>695</v>
      </c>
      <c r="Y386" t="s">
        <v>89</v>
      </c>
      <c r="Z386" t="s">
        <v>90</v>
      </c>
      <c r="AA386" t="s">
        <v>506</v>
      </c>
      <c r="AB386">
        <v>1</v>
      </c>
      <c r="AC386">
        <v>6</v>
      </c>
      <c r="AD386" t="b">
        <v>1</v>
      </c>
      <c r="AE386">
        <v>2024</v>
      </c>
      <c r="AF386" s="3">
        <v>367</v>
      </c>
      <c r="AG386" s="3">
        <v>45709</v>
      </c>
      <c r="AH386" s="3">
        <v>46811</v>
      </c>
      <c r="AJ386" s="4"/>
      <c r="AK386" s="4"/>
      <c r="AL386" s="3">
        <v>367</v>
      </c>
      <c r="AM386" s="3">
        <v>367</v>
      </c>
      <c r="AN386">
        <v>-8.6784514000000001</v>
      </c>
      <c r="AO386">
        <v>115.21228410000001</v>
      </c>
      <c r="AP386" t="s">
        <v>1987</v>
      </c>
      <c r="AT386">
        <v>99.75</v>
      </c>
      <c r="AW386">
        <v>0</v>
      </c>
      <c r="AX386">
        <v>0</v>
      </c>
      <c r="BA386">
        <v>0</v>
      </c>
      <c r="BB386">
        <v>0</v>
      </c>
      <c r="BE386">
        <v>0</v>
      </c>
      <c r="BF386">
        <v>0</v>
      </c>
      <c r="BJ386">
        <v>0</v>
      </c>
      <c r="BL386">
        <v>0</v>
      </c>
      <c r="BN386">
        <v>0</v>
      </c>
      <c r="BO386" s="6">
        <v>0</v>
      </c>
      <c r="BP386">
        <v>0</v>
      </c>
      <c r="BQ386">
        <v>0</v>
      </c>
      <c r="BR386">
        <v>0</v>
      </c>
    </row>
    <row r="387" spans="1:70" ht="15" customHeight="1" x14ac:dyDescent="0.35">
      <c r="A387" s="1" t="str">
        <f t="shared" ref="A387:A447" si="22">LEFT(B387,LEN(B387)-3)</f>
        <v>497F</v>
      </c>
      <c r="B387" t="s">
        <v>1988</v>
      </c>
      <c r="C387" t="s">
        <v>1989</v>
      </c>
      <c r="D387" t="s">
        <v>1990</v>
      </c>
      <c r="E387" t="s">
        <v>1991</v>
      </c>
      <c r="F387" t="s">
        <v>501</v>
      </c>
      <c r="G387" t="s">
        <v>502</v>
      </c>
      <c r="H387" t="s">
        <v>502</v>
      </c>
      <c r="I387" t="s">
        <v>148</v>
      </c>
      <c r="J387" t="b">
        <v>0</v>
      </c>
      <c r="K387" t="s">
        <v>78</v>
      </c>
      <c r="L387" t="s">
        <v>79</v>
      </c>
      <c r="N387" t="s">
        <v>81</v>
      </c>
      <c r="O387" t="s">
        <v>82</v>
      </c>
      <c r="P387" t="s">
        <v>83</v>
      </c>
      <c r="Q387" t="s">
        <v>549</v>
      </c>
      <c r="R387">
        <v>24</v>
      </c>
      <c r="S387" t="s">
        <v>85</v>
      </c>
      <c r="T387" t="s">
        <v>179</v>
      </c>
      <c r="U387">
        <v>1111111</v>
      </c>
      <c r="V387" t="s">
        <v>122</v>
      </c>
      <c r="W387" t="s">
        <v>694</v>
      </c>
      <c r="X387" t="s">
        <v>695</v>
      </c>
      <c r="Y387" t="s">
        <v>89</v>
      </c>
      <c r="Z387" t="s">
        <v>90</v>
      </c>
      <c r="AA387" t="s">
        <v>506</v>
      </c>
      <c r="AB387">
        <v>1</v>
      </c>
      <c r="AC387">
        <v>6</v>
      </c>
      <c r="AD387" t="b">
        <v>1</v>
      </c>
      <c r="AE387">
        <v>2024</v>
      </c>
      <c r="AF387" s="3">
        <v>367</v>
      </c>
      <c r="AG387" s="3">
        <v>45709</v>
      </c>
      <c r="AH387" s="3">
        <v>46811</v>
      </c>
      <c r="AJ387" s="4"/>
      <c r="AK387" s="4"/>
      <c r="AL387" s="3">
        <v>367</v>
      </c>
      <c r="AM387" s="3">
        <v>367</v>
      </c>
      <c r="AN387">
        <v>-8.6667077999999993</v>
      </c>
      <c r="AO387">
        <v>115.2236163</v>
      </c>
      <c r="AP387" t="s">
        <v>1992</v>
      </c>
      <c r="AT387">
        <v>99.75</v>
      </c>
      <c r="AW387">
        <v>0</v>
      </c>
      <c r="AX387">
        <v>0</v>
      </c>
      <c r="BA387">
        <v>0</v>
      </c>
      <c r="BB387">
        <v>0</v>
      </c>
      <c r="BE387">
        <v>0</v>
      </c>
      <c r="BF387">
        <v>0</v>
      </c>
      <c r="BJ387">
        <v>0</v>
      </c>
      <c r="BL387">
        <v>0</v>
      </c>
      <c r="BN387">
        <v>0</v>
      </c>
      <c r="BO387" s="6">
        <v>0</v>
      </c>
      <c r="BP387">
        <v>0</v>
      </c>
      <c r="BQ387">
        <v>0</v>
      </c>
      <c r="BR387">
        <v>0</v>
      </c>
    </row>
    <row r="388" spans="1:70" ht="15" customHeight="1" x14ac:dyDescent="0.35">
      <c r="A388" s="1" t="str">
        <f t="shared" si="22"/>
        <v>5022</v>
      </c>
      <c r="B388" t="s">
        <v>1993</v>
      </c>
      <c r="C388" t="s">
        <v>1994</v>
      </c>
      <c r="D388" t="s">
        <v>1995</v>
      </c>
      <c r="E388" t="s">
        <v>1996</v>
      </c>
      <c r="F388" t="s">
        <v>501</v>
      </c>
      <c r="G388" t="s">
        <v>502</v>
      </c>
      <c r="H388" t="s">
        <v>502</v>
      </c>
      <c r="I388" t="s">
        <v>148</v>
      </c>
      <c r="J388" t="b">
        <v>0</v>
      </c>
      <c r="K388" t="s">
        <v>78</v>
      </c>
      <c r="L388" t="s">
        <v>79</v>
      </c>
      <c r="N388" t="s">
        <v>81</v>
      </c>
      <c r="O388" t="s">
        <v>82</v>
      </c>
      <c r="P388" t="s">
        <v>83</v>
      </c>
      <c r="Q388" t="s">
        <v>549</v>
      </c>
      <c r="R388">
        <v>24</v>
      </c>
      <c r="S388" t="s">
        <v>85</v>
      </c>
      <c r="T388" t="s">
        <v>179</v>
      </c>
      <c r="U388">
        <v>1111111</v>
      </c>
      <c r="V388" t="s">
        <v>122</v>
      </c>
      <c r="W388" t="s">
        <v>694</v>
      </c>
      <c r="X388" t="s">
        <v>695</v>
      </c>
      <c r="Y388" t="s">
        <v>89</v>
      </c>
      <c r="Z388" t="s">
        <v>90</v>
      </c>
      <c r="AA388" t="s">
        <v>506</v>
      </c>
      <c r="AB388">
        <v>1</v>
      </c>
      <c r="AC388">
        <v>6</v>
      </c>
      <c r="AD388" t="b">
        <v>1</v>
      </c>
      <c r="AE388">
        <v>2024</v>
      </c>
      <c r="AF388" s="3">
        <v>367</v>
      </c>
      <c r="AG388" s="3">
        <v>45709</v>
      </c>
      <c r="AH388" s="3">
        <v>46811</v>
      </c>
      <c r="AJ388" s="4"/>
      <c r="AK388" s="4"/>
      <c r="AL388" s="3">
        <v>367</v>
      </c>
      <c r="AM388" s="3">
        <v>367</v>
      </c>
      <c r="AN388">
        <v>-8.6773997999999999</v>
      </c>
      <c r="AO388">
        <v>115.230718</v>
      </c>
      <c r="AP388" t="s">
        <v>1997</v>
      </c>
      <c r="AT388">
        <v>99.75</v>
      </c>
      <c r="AW388">
        <v>0</v>
      </c>
      <c r="AX388">
        <v>0</v>
      </c>
      <c r="BA388">
        <v>0</v>
      </c>
      <c r="BB388">
        <v>0</v>
      </c>
      <c r="BE388">
        <v>0</v>
      </c>
      <c r="BF388">
        <v>0</v>
      </c>
      <c r="BJ388">
        <v>0</v>
      </c>
      <c r="BL388">
        <v>0</v>
      </c>
      <c r="BN388">
        <v>0</v>
      </c>
      <c r="BO388" s="6">
        <v>0</v>
      </c>
      <c r="BP388">
        <v>0</v>
      </c>
      <c r="BQ388">
        <v>0</v>
      </c>
      <c r="BR388">
        <v>0</v>
      </c>
    </row>
    <row r="389" spans="1:70" ht="15" customHeight="1" x14ac:dyDescent="0.35">
      <c r="A389" s="1" t="str">
        <f t="shared" si="22"/>
        <v>5029</v>
      </c>
      <c r="B389" t="s">
        <v>1998</v>
      </c>
      <c r="C389" t="s">
        <v>1999</v>
      </c>
      <c r="D389" t="s">
        <v>2000</v>
      </c>
      <c r="E389" t="s">
        <v>2001</v>
      </c>
      <c r="F389" t="s">
        <v>501</v>
      </c>
      <c r="G389" t="s">
        <v>502</v>
      </c>
      <c r="H389" t="s">
        <v>502</v>
      </c>
      <c r="I389" t="s">
        <v>148</v>
      </c>
      <c r="J389" t="b">
        <v>0</v>
      </c>
      <c r="K389" t="s">
        <v>78</v>
      </c>
      <c r="L389" t="s">
        <v>79</v>
      </c>
      <c r="N389" t="s">
        <v>81</v>
      </c>
      <c r="O389" t="s">
        <v>82</v>
      </c>
      <c r="P389" t="s">
        <v>83</v>
      </c>
      <c r="Q389" t="s">
        <v>549</v>
      </c>
      <c r="R389">
        <v>24</v>
      </c>
      <c r="S389" t="s">
        <v>85</v>
      </c>
      <c r="T389" t="s">
        <v>179</v>
      </c>
      <c r="U389">
        <v>1111111</v>
      </c>
      <c r="V389" t="s">
        <v>122</v>
      </c>
      <c r="W389" t="s">
        <v>694</v>
      </c>
      <c r="X389" t="s">
        <v>695</v>
      </c>
      <c r="Y389" t="s">
        <v>89</v>
      </c>
      <c r="Z389" t="s">
        <v>90</v>
      </c>
      <c r="AA389" t="s">
        <v>506</v>
      </c>
      <c r="AB389">
        <v>1</v>
      </c>
      <c r="AC389">
        <v>6</v>
      </c>
      <c r="AD389" t="b">
        <v>1</v>
      </c>
      <c r="AE389">
        <v>2024</v>
      </c>
      <c r="AF389" s="3">
        <v>367</v>
      </c>
      <c r="AG389" s="3">
        <v>45709</v>
      </c>
      <c r="AH389" s="3">
        <v>46811</v>
      </c>
      <c r="AJ389" s="4"/>
      <c r="AK389" s="4"/>
      <c r="AL389" s="3">
        <v>367</v>
      </c>
      <c r="AM389" s="3">
        <v>367</v>
      </c>
      <c r="AN389">
        <v>-8.7044315999999995</v>
      </c>
      <c r="AO389">
        <v>115.2500536</v>
      </c>
      <c r="AP389" t="s">
        <v>2002</v>
      </c>
      <c r="AT389">
        <v>99.75</v>
      </c>
      <c r="AW389">
        <v>0</v>
      </c>
      <c r="AX389">
        <v>0</v>
      </c>
      <c r="BA389">
        <v>0</v>
      </c>
      <c r="BB389">
        <v>0</v>
      </c>
      <c r="BE389">
        <v>0</v>
      </c>
      <c r="BF389">
        <v>0</v>
      </c>
      <c r="BJ389">
        <v>0</v>
      </c>
      <c r="BL389">
        <v>0</v>
      </c>
      <c r="BN389">
        <v>0</v>
      </c>
      <c r="BO389" s="6">
        <v>0</v>
      </c>
      <c r="BP389">
        <v>0</v>
      </c>
      <c r="BQ389">
        <v>0</v>
      </c>
      <c r="BR389">
        <v>0</v>
      </c>
    </row>
    <row r="390" spans="1:70" ht="15" customHeight="1" x14ac:dyDescent="0.35">
      <c r="A390" s="1" t="str">
        <f t="shared" si="22"/>
        <v>431L</v>
      </c>
      <c r="B390" t="s">
        <v>2003</v>
      </c>
      <c r="C390" t="s">
        <v>2004</v>
      </c>
      <c r="D390" t="s">
        <v>2005</v>
      </c>
      <c r="E390" t="s">
        <v>2006</v>
      </c>
      <c r="F390" t="s">
        <v>501</v>
      </c>
      <c r="G390" t="s">
        <v>502</v>
      </c>
      <c r="H390" t="s">
        <v>502</v>
      </c>
      <c r="I390" t="s">
        <v>137</v>
      </c>
      <c r="J390" t="b">
        <v>0</v>
      </c>
      <c r="K390" t="s">
        <v>78</v>
      </c>
      <c r="L390" t="s">
        <v>79</v>
      </c>
      <c r="N390" t="s">
        <v>81</v>
      </c>
      <c r="O390" t="s">
        <v>82</v>
      </c>
      <c r="P390" t="s">
        <v>83</v>
      </c>
      <c r="Q390" t="s">
        <v>549</v>
      </c>
      <c r="R390">
        <v>24</v>
      </c>
      <c r="S390" t="s">
        <v>85</v>
      </c>
      <c r="T390" t="s">
        <v>179</v>
      </c>
      <c r="U390">
        <v>1111111</v>
      </c>
      <c r="V390" t="s">
        <v>122</v>
      </c>
      <c r="W390" t="s">
        <v>529</v>
      </c>
      <c r="X390" t="s">
        <v>530</v>
      </c>
      <c r="Y390" t="s">
        <v>89</v>
      </c>
      <c r="Z390" t="s">
        <v>90</v>
      </c>
      <c r="AA390" t="s">
        <v>506</v>
      </c>
      <c r="AB390">
        <v>1</v>
      </c>
      <c r="AC390">
        <v>6</v>
      </c>
      <c r="AD390" t="b">
        <v>1</v>
      </c>
      <c r="AE390">
        <v>2024</v>
      </c>
      <c r="AF390" s="3">
        <v>367</v>
      </c>
      <c r="AG390" s="3">
        <v>45709</v>
      </c>
      <c r="AH390" s="3">
        <v>46811</v>
      </c>
      <c r="AJ390" s="4">
        <f>VLOOKUP(A390,'[1]1'!B:Q,16,0)</f>
        <v>1020</v>
      </c>
      <c r="AK390" s="7">
        <f t="shared" ref="AK390:AK392" si="23">AJ390/250</f>
        <v>4.08</v>
      </c>
      <c r="AL390" s="3">
        <v>367</v>
      </c>
      <c r="AM390" s="3">
        <v>367</v>
      </c>
      <c r="AN390">
        <v>-8.7047042999999995</v>
      </c>
      <c r="AO390">
        <v>115.23931090000001</v>
      </c>
      <c r="AP390" t="s">
        <v>2007</v>
      </c>
      <c r="AT390">
        <v>99.75</v>
      </c>
      <c r="AW390">
        <v>0</v>
      </c>
      <c r="AX390">
        <v>0</v>
      </c>
      <c r="BA390">
        <v>0</v>
      </c>
      <c r="BB390">
        <v>0</v>
      </c>
      <c r="BE390">
        <v>0</v>
      </c>
      <c r="BF390">
        <v>0</v>
      </c>
      <c r="BJ390">
        <v>0</v>
      </c>
      <c r="BL390">
        <v>0</v>
      </c>
      <c r="BN390">
        <v>0</v>
      </c>
      <c r="BO390" s="6">
        <v>0</v>
      </c>
      <c r="BP390">
        <v>0</v>
      </c>
      <c r="BQ390">
        <v>0</v>
      </c>
      <c r="BR390">
        <v>0</v>
      </c>
    </row>
    <row r="391" spans="1:70" ht="15" customHeight="1" x14ac:dyDescent="0.35">
      <c r="A391" s="1" t="str">
        <f t="shared" si="22"/>
        <v>621J</v>
      </c>
      <c r="B391" t="s">
        <v>2008</v>
      </c>
      <c r="C391" t="s">
        <v>2009</v>
      </c>
      <c r="D391" t="s">
        <v>2010</v>
      </c>
      <c r="E391" t="s">
        <v>2011</v>
      </c>
      <c r="F391" t="s">
        <v>501</v>
      </c>
      <c r="G391" t="s">
        <v>502</v>
      </c>
      <c r="H391" t="s">
        <v>502</v>
      </c>
      <c r="I391" t="s">
        <v>137</v>
      </c>
      <c r="J391" t="b">
        <v>0</v>
      </c>
      <c r="K391" t="s">
        <v>78</v>
      </c>
      <c r="L391" t="s">
        <v>79</v>
      </c>
      <c r="N391" t="s">
        <v>81</v>
      </c>
      <c r="O391" t="s">
        <v>82</v>
      </c>
      <c r="P391" t="s">
        <v>83</v>
      </c>
      <c r="Q391" t="s">
        <v>549</v>
      </c>
      <c r="R391">
        <v>24</v>
      </c>
      <c r="S391" t="s">
        <v>85</v>
      </c>
      <c r="T391" t="s">
        <v>179</v>
      </c>
      <c r="U391">
        <v>1111111</v>
      </c>
      <c r="V391" t="s">
        <v>122</v>
      </c>
      <c r="W391" t="s">
        <v>529</v>
      </c>
      <c r="X391" t="s">
        <v>530</v>
      </c>
      <c r="Y391" t="s">
        <v>89</v>
      </c>
      <c r="Z391" t="s">
        <v>90</v>
      </c>
      <c r="AA391" t="s">
        <v>506</v>
      </c>
      <c r="AB391">
        <v>1</v>
      </c>
      <c r="AC391">
        <v>6</v>
      </c>
      <c r="AD391" t="b">
        <v>1</v>
      </c>
      <c r="AE391">
        <v>2024</v>
      </c>
      <c r="AF391" s="3">
        <v>367</v>
      </c>
      <c r="AG391" s="3">
        <v>45709</v>
      </c>
      <c r="AH391" s="3">
        <v>46811</v>
      </c>
      <c r="AJ391" s="4">
        <f>VLOOKUP(A391,'[1]1'!B:Q,16,0)</f>
        <v>1440</v>
      </c>
      <c r="AK391" s="7">
        <f t="shared" si="23"/>
        <v>5.76</v>
      </c>
      <c r="AL391" s="3">
        <v>367</v>
      </c>
      <c r="AM391" s="3">
        <v>367</v>
      </c>
      <c r="AN391">
        <v>-8.7007779000000003</v>
      </c>
      <c r="AO391">
        <v>115.22793729999999</v>
      </c>
      <c r="AP391" t="s">
        <v>2012</v>
      </c>
      <c r="AT391">
        <v>99.75</v>
      </c>
      <c r="AW391">
        <v>0</v>
      </c>
      <c r="AX391">
        <v>0</v>
      </c>
      <c r="BA391">
        <v>0</v>
      </c>
      <c r="BB391">
        <v>0</v>
      </c>
      <c r="BE391">
        <v>0</v>
      </c>
      <c r="BF391">
        <v>0</v>
      </c>
      <c r="BJ391">
        <v>0</v>
      </c>
      <c r="BL391">
        <v>0</v>
      </c>
      <c r="BN391">
        <v>0</v>
      </c>
      <c r="BO391" s="6">
        <v>0</v>
      </c>
      <c r="BP391">
        <v>0</v>
      </c>
      <c r="BQ391">
        <v>0</v>
      </c>
      <c r="BR391">
        <v>0</v>
      </c>
    </row>
    <row r="392" spans="1:70" ht="15" customHeight="1" x14ac:dyDescent="0.35">
      <c r="A392" s="1" t="str">
        <f t="shared" si="22"/>
        <v>011C</v>
      </c>
      <c r="B392" t="s">
        <v>2013</v>
      </c>
      <c r="C392" t="s">
        <v>2014</v>
      </c>
      <c r="D392" t="s">
        <v>2015</v>
      </c>
      <c r="E392" t="s">
        <v>2016</v>
      </c>
      <c r="F392" t="s">
        <v>501</v>
      </c>
      <c r="G392" t="s">
        <v>502</v>
      </c>
      <c r="H392" t="s">
        <v>502</v>
      </c>
      <c r="I392" t="s">
        <v>148</v>
      </c>
      <c r="J392" t="b">
        <v>0</v>
      </c>
      <c r="K392" t="s">
        <v>78</v>
      </c>
      <c r="L392" t="s">
        <v>79</v>
      </c>
      <c r="N392" t="s">
        <v>81</v>
      </c>
      <c r="O392" t="s">
        <v>82</v>
      </c>
      <c r="P392" t="s">
        <v>83</v>
      </c>
      <c r="Q392" t="s">
        <v>503</v>
      </c>
      <c r="R392">
        <v>24</v>
      </c>
      <c r="S392" t="s">
        <v>85</v>
      </c>
      <c r="T392" t="s">
        <v>179</v>
      </c>
      <c r="U392">
        <v>1111111</v>
      </c>
      <c r="V392" t="s">
        <v>122</v>
      </c>
      <c r="W392" t="s">
        <v>571</v>
      </c>
      <c r="X392" t="s">
        <v>572</v>
      </c>
      <c r="Y392" t="s">
        <v>89</v>
      </c>
      <c r="Z392" t="s">
        <v>90</v>
      </c>
      <c r="AA392" t="s">
        <v>506</v>
      </c>
      <c r="AB392">
        <v>1</v>
      </c>
      <c r="AC392">
        <v>6</v>
      </c>
      <c r="AD392" t="b">
        <v>1</v>
      </c>
      <c r="AE392">
        <v>2024</v>
      </c>
      <c r="AF392" s="3">
        <v>367</v>
      </c>
      <c r="AG392" s="3">
        <v>45839</v>
      </c>
      <c r="AH392" s="3">
        <v>46962</v>
      </c>
      <c r="AJ392" s="4">
        <f>VLOOKUP(A392,'[1]1'!B:Q,16,0)</f>
        <v>1440</v>
      </c>
      <c r="AK392" s="7">
        <f t="shared" si="23"/>
        <v>5.76</v>
      </c>
      <c r="AL392" s="3">
        <v>367</v>
      </c>
      <c r="AM392" s="3">
        <v>367</v>
      </c>
      <c r="AN392">
        <v>-8.6357558000000001</v>
      </c>
      <c r="AO392">
        <v>115.2284324</v>
      </c>
      <c r="AP392" t="s">
        <v>2017</v>
      </c>
      <c r="AT392">
        <v>99.75</v>
      </c>
      <c r="AW392">
        <v>0</v>
      </c>
      <c r="AX392">
        <v>0</v>
      </c>
      <c r="BA392">
        <v>0</v>
      </c>
      <c r="BB392">
        <v>0</v>
      </c>
      <c r="BE392">
        <v>0</v>
      </c>
      <c r="BF392">
        <v>0</v>
      </c>
      <c r="BJ392">
        <v>0</v>
      </c>
      <c r="BL392">
        <v>0</v>
      </c>
      <c r="BN392">
        <v>0</v>
      </c>
      <c r="BO392" s="6">
        <v>0</v>
      </c>
      <c r="BP392">
        <v>0</v>
      </c>
      <c r="BQ392">
        <v>0</v>
      </c>
      <c r="BR392">
        <v>0</v>
      </c>
    </row>
    <row r="393" spans="1:70" ht="15" customHeight="1" x14ac:dyDescent="0.35">
      <c r="A393" s="1" t="str">
        <f t="shared" si="22"/>
        <v>0118</v>
      </c>
      <c r="B393" t="s">
        <v>2018</v>
      </c>
      <c r="C393" t="s">
        <v>2019</v>
      </c>
      <c r="D393" t="s">
        <v>2020</v>
      </c>
      <c r="E393" t="s">
        <v>2021</v>
      </c>
      <c r="F393" t="s">
        <v>516</v>
      </c>
      <c r="G393" t="s">
        <v>502</v>
      </c>
      <c r="H393" t="s">
        <v>502</v>
      </c>
      <c r="I393" t="s">
        <v>148</v>
      </c>
      <c r="J393" t="b">
        <v>0</v>
      </c>
      <c r="K393" t="s">
        <v>78</v>
      </c>
      <c r="L393" t="s">
        <v>79</v>
      </c>
      <c r="N393" t="s">
        <v>81</v>
      </c>
      <c r="O393" t="s">
        <v>82</v>
      </c>
      <c r="P393" t="s">
        <v>83</v>
      </c>
      <c r="Q393" t="s">
        <v>503</v>
      </c>
      <c r="R393">
        <v>24</v>
      </c>
      <c r="S393" t="s">
        <v>85</v>
      </c>
      <c r="T393" t="s">
        <v>179</v>
      </c>
      <c r="U393">
        <v>1111111</v>
      </c>
      <c r="V393" t="s">
        <v>122</v>
      </c>
      <c r="W393" t="s">
        <v>523</v>
      </c>
      <c r="X393" t="s">
        <v>524</v>
      </c>
      <c r="Y393" t="s">
        <v>89</v>
      </c>
      <c r="Z393" t="s">
        <v>90</v>
      </c>
      <c r="AA393" t="s">
        <v>506</v>
      </c>
      <c r="AB393">
        <v>1</v>
      </c>
      <c r="AC393">
        <v>6</v>
      </c>
      <c r="AD393" t="b">
        <v>1</v>
      </c>
      <c r="AE393">
        <v>2024</v>
      </c>
      <c r="AF393" s="3">
        <v>367</v>
      </c>
      <c r="AG393" s="3">
        <v>45839</v>
      </c>
      <c r="AH393" s="3">
        <v>46962</v>
      </c>
      <c r="AJ393" s="4"/>
      <c r="AK393" s="4"/>
      <c r="AL393" s="3">
        <v>367</v>
      </c>
      <c r="AM393" s="3">
        <v>367</v>
      </c>
      <c r="AN393">
        <v>-8.7219624000000007</v>
      </c>
      <c r="AO393">
        <v>115.1783927</v>
      </c>
      <c r="AP393" t="s">
        <v>2022</v>
      </c>
      <c r="AT393">
        <v>99.75</v>
      </c>
      <c r="AW393">
        <v>0</v>
      </c>
      <c r="AX393">
        <v>0</v>
      </c>
      <c r="BA393">
        <v>0</v>
      </c>
      <c r="BB393">
        <v>0</v>
      </c>
      <c r="BE393">
        <v>0</v>
      </c>
      <c r="BF393">
        <v>0</v>
      </c>
      <c r="BJ393">
        <v>0</v>
      </c>
      <c r="BL393">
        <v>0</v>
      </c>
      <c r="BN393">
        <v>0</v>
      </c>
      <c r="BO393" s="6">
        <v>0</v>
      </c>
      <c r="BP393">
        <v>0</v>
      </c>
      <c r="BQ393">
        <v>0</v>
      </c>
      <c r="BR393">
        <v>0</v>
      </c>
    </row>
    <row r="394" spans="1:70" ht="15" customHeight="1" x14ac:dyDescent="0.35">
      <c r="A394" s="1" t="str">
        <f t="shared" si="22"/>
        <v>011B</v>
      </c>
      <c r="B394" t="s">
        <v>2023</v>
      </c>
      <c r="C394" t="s">
        <v>2024</v>
      </c>
      <c r="D394" t="s">
        <v>2025</v>
      </c>
      <c r="E394" t="s">
        <v>2026</v>
      </c>
      <c r="F394" t="s">
        <v>537</v>
      </c>
      <c r="G394" t="s">
        <v>502</v>
      </c>
      <c r="H394" t="s">
        <v>502</v>
      </c>
      <c r="I394" t="s">
        <v>137</v>
      </c>
      <c r="J394" t="b">
        <v>0</v>
      </c>
      <c r="K394" t="s">
        <v>78</v>
      </c>
      <c r="L394" t="s">
        <v>79</v>
      </c>
      <c r="N394" t="s">
        <v>81</v>
      </c>
      <c r="O394" t="s">
        <v>82</v>
      </c>
      <c r="P394" t="s">
        <v>83</v>
      </c>
      <c r="Q394" t="s">
        <v>503</v>
      </c>
      <c r="R394">
        <v>24</v>
      </c>
      <c r="S394" t="s">
        <v>85</v>
      </c>
      <c r="T394" t="s">
        <v>179</v>
      </c>
      <c r="U394">
        <v>1111111</v>
      </c>
      <c r="V394" t="s">
        <v>122</v>
      </c>
      <c r="W394" t="s">
        <v>550</v>
      </c>
      <c r="X394" t="s">
        <v>551</v>
      </c>
      <c r="Y394" t="s">
        <v>89</v>
      </c>
      <c r="Z394" t="s">
        <v>90</v>
      </c>
      <c r="AA394" t="s">
        <v>506</v>
      </c>
      <c r="AB394">
        <v>1</v>
      </c>
      <c r="AC394">
        <v>6</v>
      </c>
      <c r="AD394" t="b">
        <v>1</v>
      </c>
      <c r="AE394">
        <v>2024</v>
      </c>
      <c r="AF394" s="3">
        <v>367</v>
      </c>
      <c r="AG394" s="3">
        <v>45839</v>
      </c>
      <c r="AH394" s="3">
        <v>46962</v>
      </c>
      <c r="AJ394" s="4"/>
      <c r="AK394" s="4"/>
      <c r="AL394" s="3">
        <v>367</v>
      </c>
      <c r="AM394" s="3">
        <v>367</v>
      </c>
      <c r="AN394">
        <v>-8.6270001999999995</v>
      </c>
      <c r="AO394">
        <v>115.25945350000001</v>
      </c>
      <c r="AP394" t="s">
        <v>2027</v>
      </c>
      <c r="AT394">
        <v>99.75</v>
      </c>
      <c r="AW394">
        <v>0</v>
      </c>
      <c r="AX394">
        <v>0</v>
      </c>
      <c r="BA394">
        <v>0</v>
      </c>
      <c r="BB394">
        <v>0</v>
      </c>
      <c r="BE394">
        <v>0</v>
      </c>
      <c r="BF394">
        <v>0</v>
      </c>
      <c r="BJ394">
        <v>0</v>
      </c>
      <c r="BL394">
        <v>0</v>
      </c>
      <c r="BN394">
        <v>0</v>
      </c>
      <c r="BO394" s="6">
        <v>0</v>
      </c>
      <c r="BP394">
        <v>0</v>
      </c>
      <c r="BQ394">
        <v>0</v>
      </c>
      <c r="BR394">
        <v>0</v>
      </c>
    </row>
    <row r="395" spans="1:70" ht="15" customHeight="1" x14ac:dyDescent="0.35">
      <c r="A395" s="1" t="str">
        <f t="shared" si="22"/>
        <v>0127</v>
      </c>
      <c r="B395" t="s">
        <v>2028</v>
      </c>
      <c r="C395" t="s">
        <v>2029</v>
      </c>
      <c r="D395" t="s">
        <v>2030</v>
      </c>
      <c r="E395" t="s">
        <v>2031</v>
      </c>
      <c r="F395" t="s">
        <v>516</v>
      </c>
      <c r="G395" t="s">
        <v>502</v>
      </c>
      <c r="H395" t="s">
        <v>502</v>
      </c>
      <c r="I395" t="s">
        <v>148</v>
      </c>
      <c r="J395" t="b">
        <v>0</v>
      </c>
      <c r="K395" t="s">
        <v>78</v>
      </c>
      <c r="L395" t="s">
        <v>79</v>
      </c>
      <c r="N395" t="s">
        <v>81</v>
      </c>
      <c r="O395" t="s">
        <v>82</v>
      </c>
      <c r="P395" t="s">
        <v>83</v>
      </c>
      <c r="Q395" t="s">
        <v>503</v>
      </c>
      <c r="R395">
        <v>24</v>
      </c>
      <c r="S395" t="s">
        <v>85</v>
      </c>
      <c r="T395" t="s">
        <v>179</v>
      </c>
      <c r="U395">
        <v>1111111</v>
      </c>
      <c r="V395" t="s">
        <v>122</v>
      </c>
      <c r="W395" t="s">
        <v>517</v>
      </c>
      <c r="X395" t="s">
        <v>518</v>
      </c>
      <c r="Y395" t="s">
        <v>89</v>
      </c>
      <c r="Z395" t="s">
        <v>90</v>
      </c>
      <c r="AA395" t="s">
        <v>506</v>
      </c>
      <c r="AB395">
        <v>1</v>
      </c>
      <c r="AC395">
        <v>6</v>
      </c>
      <c r="AD395" t="b">
        <v>1</v>
      </c>
      <c r="AE395">
        <v>2024</v>
      </c>
      <c r="AF395" s="3">
        <v>45994</v>
      </c>
      <c r="AG395" s="3">
        <v>45994</v>
      </c>
      <c r="AH395" s="3">
        <v>47117</v>
      </c>
      <c r="AJ395" s="4"/>
      <c r="AK395" s="4"/>
      <c r="AL395" s="3">
        <v>367</v>
      </c>
      <c r="AM395" s="3">
        <v>367</v>
      </c>
      <c r="AN395">
        <v>-8.6251894</v>
      </c>
      <c r="AO395">
        <v>115.1743692</v>
      </c>
      <c r="AP395" t="s">
        <v>2032</v>
      </c>
      <c r="AT395">
        <v>0</v>
      </c>
      <c r="AW395">
        <v>0</v>
      </c>
      <c r="AX395">
        <v>0</v>
      </c>
      <c r="BA395">
        <v>0</v>
      </c>
      <c r="BB395">
        <v>0</v>
      </c>
      <c r="BE395">
        <v>0</v>
      </c>
      <c r="BF395">
        <v>0</v>
      </c>
      <c r="BJ395">
        <v>0</v>
      </c>
      <c r="BL395">
        <v>0</v>
      </c>
      <c r="BN395">
        <v>0</v>
      </c>
      <c r="BO395" s="6">
        <v>0</v>
      </c>
      <c r="BP395">
        <v>0</v>
      </c>
      <c r="BQ395">
        <v>0</v>
      </c>
      <c r="BR395">
        <v>0</v>
      </c>
    </row>
    <row r="396" spans="1:70" ht="15" customHeight="1" x14ac:dyDescent="0.35">
      <c r="A396" s="1" t="str">
        <f t="shared" si="22"/>
        <v>Z23C</v>
      </c>
      <c r="B396" t="s">
        <v>2033</v>
      </c>
      <c r="C396" t="s">
        <v>2034</v>
      </c>
      <c r="D396" t="s">
        <v>2035</v>
      </c>
      <c r="E396" t="s">
        <v>2036</v>
      </c>
      <c r="F396" t="s">
        <v>2037</v>
      </c>
      <c r="G396" t="s">
        <v>240</v>
      </c>
      <c r="H396" t="s">
        <v>241</v>
      </c>
      <c r="I396" t="s">
        <v>137</v>
      </c>
      <c r="J396" t="b">
        <v>0</v>
      </c>
      <c r="K396" t="s">
        <v>154</v>
      </c>
      <c r="L396" t="s">
        <v>214</v>
      </c>
      <c r="N396" t="s">
        <v>81</v>
      </c>
      <c r="O396" t="s">
        <v>82</v>
      </c>
      <c r="P396" t="s">
        <v>83</v>
      </c>
      <c r="Q396" t="s">
        <v>2038</v>
      </c>
      <c r="R396">
        <v>24</v>
      </c>
      <c r="S396" t="s">
        <v>85</v>
      </c>
      <c r="T396" t="s">
        <v>179</v>
      </c>
      <c r="U396">
        <v>1111111</v>
      </c>
      <c r="V396" t="s">
        <v>122</v>
      </c>
      <c r="W396" t="s">
        <v>2039</v>
      </c>
      <c r="X396" t="s">
        <v>2040</v>
      </c>
      <c r="Y396" t="s">
        <v>89</v>
      </c>
      <c r="Z396" t="s">
        <v>90</v>
      </c>
      <c r="AA396" t="s">
        <v>2041</v>
      </c>
      <c r="AB396">
        <v>1</v>
      </c>
      <c r="AC396">
        <v>6</v>
      </c>
      <c r="AD396" t="b">
        <v>1</v>
      </c>
      <c r="AE396">
        <v>2024</v>
      </c>
      <c r="AF396" s="3">
        <v>367</v>
      </c>
      <c r="AG396" s="3">
        <v>45456</v>
      </c>
      <c r="AH396" s="3">
        <v>46551</v>
      </c>
      <c r="AJ396" s="4"/>
      <c r="AK396" s="4"/>
      <c r="AL396" s="3">
        <v>367</v>
      </c>
      <c r="AM396" s="3">
        <v>367</v>
      </c>
      <c r="AN396">
        <v>-8.4708357000000003</v>
      </c>
      <c r="AO396">
        <v>118.76084830000001</v>
      </c>
      <c r="AP396" t="s">
        <v>2042</v>
      </c>
      <c r="AT396">
        <v>99.2</v>
      </c>
      <c r="AW396">
        <v>0</v>
      </c>
      <c r="AX396">
        <v>0</v>
      </c>
      <c r="BA396">
        <v>0</v>
      </c>
      <c r="BB396">
        <v>0</v>
      </c>
      <c r="BE396">
        <v>0</v>
      </c>
      <c r="BF396">
        <v>0</v>
      </c>
      <c r="BJ396">
        <v>0</v>
      </c>
      <c r="BL396">
        <v>0</v>
      </c>
      <c r="BN396">
        <v>0</v>
      </c>
      <c r="BO396" s="6">
        <v>0</v>
      </c>
      <c r="BP396">
        <v>0</v>
      </c>
      <c r="BQ396">
        <v>0</v>
      </c>
      <c r="BR396">
        <v>0</v>
      </c>
    </row>
    <row r="397" spans="1:70" ht="15" customHeight="1" x14ac:dyDescent="0.35">
      <c r="A397" s="1" t="str">
        <f t="shared" si="22"/>
        <v>653L</v>
      </c>
      <c r="B397" t="s">
        <v>2043</v>
      </c>
      <c r="C397" t="s">
        <v>2044</v>
      </c>
      <c r="D397" t="s">
        <v>2045</v>
      </c>
      <c r="E397" t="s">
        <v>2046</v>
      </c>
      <c r="F397" t="s">
        <v>2047</v>
      </c>
      <c r="G397" t="s">
        <v>75</v>
      </c>
      <c r="H397" t="s">
        <v>76</v>
      </c>
      <c r="I397" t="s">
        <v>137</v>
      </c>
      <c r="J397" t="b">
        <v>1</v>
      </c>
      <c r="K397" t="s">
        <v>78</v>
      </c>
      <c r="L397" t="s">
        <v>79</v>
      </c>
      <c r="N397" t="s">
        <v>81</v>
      </c>
      <c r="O397" t="s">
        <v>82</v>
      </c>
      <c r="P397" t="s">
        <v>83</v>
      </c>
      <c r="Q397" t="s">
        <v>156</v>
      </c>
      <c r="R397">
        <v>24</v>
      </c>
      <c r="S397" t="s">
        <v>85</v>
      </c>
      <c r="T397" t="s">
        <v>85</v>
      </c>
      <c r="U397">
        <v>1111111</v>
      </c>
      <c r="V397" t="s">
        <v>86</v>
      </c>
      <c r="W397" t="s">
        <v>2048</v>
      </c>
      <c r="X397" t="s">
        <v>2049</v>
      </c>
      <c r="Y397" t="s">
        <v>89</v>
      </c>
      <c r="Z397" t="s">
        <v>90</v>
      </c>
      <c r="AA397" t="s">
        <v>2050</v>
      </c>
      <c r="AB397">
        <v>4</v>
      </c>
      <c r="AC397">
        <v>6</v>
      </c>
      <c r="AD397" t="b">
        <v>1</v>
      </c>
      <c r="AE397">
        <v>2020</v>
      </c>
      <c r="AF397" s="3">
        <v>367</v>
      </c>
      <c r="AG397" s="3">
        <v>44057</v>
      </c>
      <c r="AH397" s="3">
        <v>45169</v>
      </c>
      <c r="AJ397" s="4"/>
      <c r="AK397" s="4"/>
      <c r="AL397" s="3">
        <v>44256</v>
      </c>
      <c r="AM397" s="3">
        <v>45443</v>
      </c>
      <c r="AN397">
        <v>-8.6152987999999997</v>
      </c>
      <c r="AO397">
        <v>120.4614581</v>
      </c>
      <c r="AP397" t="s">
        <v>2046</v>
      </c>
      <c r="AQ397" s="5" t="s">
        <v>93</v>
      </c>
      <c r="AR397" s="5" t="s">
        <v>94</v>
      </c>
      <c r="AS397" t="s">
        <v>80</v>
      </c>
      <c r="AT397">
        <v>99.75</v>
      </c>
      <c r="AU397" t="s">
        <v>2051</v>
      </c>
      <c r="AV397" t="s">
        <v>2052</v>
      </c>
      <c r="AW397">
        <v>-6.1683060000000003</v>
      </c>
      <c r="AX397">
        <v>106.818361</v>
      </c>
      <c r="AY397" t="s">
        <v>2053</v>
      </c>
      <c r="AZ397" t="s">
        <v>2054</v>
      </c>
      <c r="BA397">
        <v>-6.6038889999999997</v>
      </c>
      <c r="BB397">
        <v>106.76345499999999</v>
      </c>
      <c r="BC397" t="e">
        <v>#N/A</v>
      </c>
      <c r="BD397" t="e">
        <v>#N/A</v>
      </c>
      <c r="BE397">
        <v>0</v>
      </c>
      <c r="BF397">
        <v>0</v>
      </c>
      <c r="BG397" t="s">
        <v>100</v>
      </c>
      <c r="BH397" t="s">
        <v>101</v>
      </c>
      <c r="BI397" t="s">
        <v>102</v>
      </c>
      <c r="BJ397">
        <v>3</v>
      </c>
      <c r="BL397">
        <v>1</v>
      </c>
      <c r="BM397" t="s">
        <v>103</v>
      </c>
      <c r="BN397">
        <v>14.9</v>
      </c>
      <c r="BO397" s="6">
        <v>2.9861111111111113E-2</v>
      </c>
      <c r="BP397">
        <v>55.02</v>
      </c>
      <c r="BQ397">
        <v>11.09</v>
      </c>
      <c r="BR397">
        <v>0</v>
      </c>
    </row>
    <row r="398" spans="1:70" ht="15" customHeight="1" x14ac:dyDescent="0.35">
      <c r="A398" s="1" t="str">
        <f t="shared" si="22"/>
        <v>ZLR2</v>
      </c>
      <c r="B398" t="s">
        <v>2055</v>
      </c>
      <c r="C398" t="s">
        <v>2056</v>
      </c>
      <c r="D398" t="s">
        <v>2057</v>
      </c>
      <c r="E398" t="s">
        <v>2058</v>
      </c>
      <c r="F398" t="s">
        <v>2047</v>
      </c>
      <c r="G398" t="s">
        <v>75</v>
      </c>
      <c r="H398" t="s">
        <v>76</v>
      </c>
      <c r="I398" t="s">
        <v>137</v>
      </c>
      <c r="J398" t="b">
        <v>0</v>
      </c>
      <c r="K398" t="s">
        <v>154</v>
      </c>
      <c r="L398" t="s">
        <v>155</v>
      </c>
      <c r="N398" t="s">
        <v>81</v>
      </c>
      <c r="O398" t="s">
        <v>82</v>
      </c>
      <c r="P398" t="s">
        <v>83</v>
      </c>
      <c r="Q398" t="s">
        <v>156</v>
      </c>
      <c r="R398">
        <v>24</v>
      </c>
      <c r="S398" t="s">
        <v>85</v>
      </c>
      <c r="T398" t="s">
        <v>121</v>
      </c>
      <c r="U398">
        <v>1111111</v>
      </c>
      <c r="V398" t="s">
        <v>122</v>
      </c>
      <c r="W398" t="s">
        <v>2048</v>
      </c>
      <c r="X398" t="s">
        <v>2049</v>
      </c>
      <c r="Y398" t="s">
        <v>89</v>
      </c>
      <c r="Z398" t="s">
        <v>90</v>
      </c>
      <c r="AA398" t="s">
        <v>2050</v>
      </c>
      <c r="AB398">
        <v>4</v>
      </c>
      <c r="AC398">
        <v>6</v>
      </c>
      <c r="AD398" t="b">
        <v>1</v>
      </c>
      <c r="AE398">
        <v>2023</v>
      </c>
      <c r="AF398" s="3">
        <v>367</v>
      </c>
      <c r="AG398" s="3">
        <v>45082</v>
      </c>
      <c r="AH398" s="3">
        <v>46174</v>
      </c>
      <c r="AJ398" s="4"/>
      <c r="AK398" s="4"/>
      <c r="AL398" s="3">
        <v>367</v>
      </c>
      <c r="AM398" s="3">
        <v>367</v>
      </c>
      <c r="AN398">
        <v>-8.6168311000000006</v>
      </c>
      <c r="AO398">
        <v>120.4674285</v>
      </c>
      <c r="AP398" t="s">
        <v>2059</v>
      </c>
      <c r="AT398">
        <v>99.2</v>
      </c>
      <c r="AW398">
        <v>0</v>
      </c>
      <c r="AX398">
        <v>0</v>
      </c>
      <c r="BA398">
        <v>0</v>
      </c>
      <c r="BB398">
        <v>0</v>
      </c>
      <c r="BE398">
        <v>0</v>
      </c>
      <c r="BF398">
        <v>0</v>
      </c>
      <c r="BJ398">
        <v>0</v>
      </c>
      <c r="BL398">
        <v>0</v>
      </c>
      <c r="BN398">
        <v>0</v>
      </c>
      <c r="BO398" s="6">
        <v>0</v>
      </c>
      <c r="BP398">
        <v>0</v>
      </c>
      <c r="BQ398">
        <v>0</v>
      </c>
      <c r="BR398">
        <v>0</v>
      </c>
    </row>
    <row r="399" spans="1:70" ht="15" customHeight="1" x14ac:dyDescent="0.35">
      <c r="A399" s="1" t="str">
        <f t="shared" si="22"/>
        <v>00RN</v>
      </c>
      <c r="B399" t="s">
        <v>2060</v>
      </c>
      <c r="C399" t="s">
        <v>2061</v>
      </c>
      <c r="D399" t="s">
        <v>2062</v>
      </c>
      <c r="E399" t="s">
        <v>2063</v>
      </c>
      <c r="F399" t="s">
        <v>2047</v>
      </c>
      <c r="G399" t="s">
        <v>75</v>
      </c>
      <c r="H399" t="s">
        <v>76</v>
      </c>
      <c r="I399" t="s">
        <v>148</v>
      </c>
      <c r="J399" t="b">
        <v>0</v>
      </c>
      <c r="K399" t="s">
        <v>78</v>
      </c>
      <c r="L399" t="s">
        <v>79</v>
      </c>
      <c r="N399" t="s">
        <v>81</v>
      </c>
      <c r="O399" t="s">
        <v>82</v>
      </c>
      <c r="P399" t="s">
        <v>83</v>
      </c>
      <c r="Q399" t="s">
        <v>156</v>
      </c>
      <c r="R399">
        <v>24</v>
      </c>
      <c r="S399" t="s">
        <v>85</v>
      </c>
      <c r="T399" t="s">
        <v>179</v>
      </c>
      <c r="U399">
        <v>1111111</v>
      </c>
      <c r="V399" t="s">
        <v>122</v>
      </c>
      <c r="W399" t="s">
        <v>2048</v>
      </c>
      <c r="X399" t="s">
        <v>2049</v>
      </c>
      <c r="Y399" t="s">
        <v>89</v>
      </c>
      <c r="Z399" t="s">
        <v>90</v>
      </c>
      <c r="AA399" t="s">
        <v>2050</v>
      </c>
      <c r="AB399">
        <v>1</v>
      </c>
      <c r="AC399">
        <v>6</v>
      </c>
      <c r="AD399" t="b">
        <v>1</v>
      </c>
      <c r="AE399">
        <v>2024</v>
      </c>
      <c r="AF399" s="3">
        <v>367</v>
      </c>
      <c r="AG399" s="3">
        <v>45615</v>
      </c>
      <c r="AH399" s="3">
        <v>46721</v>
      </c>
      <c r="AJ399" s="4">
        <f>VLOOKUP(A399,'[1]1'!B:Q,16,0)</f>
        <v>1440</v>
      </c>
      <c r="AK399" s="7">
        <f t="shared" ref="AK399:AK403" si="24">AJ399/250</f>
        <v>5.76</v>
      </c>
      <c r="AL399" s="3">
        <v>367</v>
      </c>
      <c r="AM399" s="3">
        <v>367</v>
      </c>
      <c r="AN399">
        <v>-8.4884804000000003</v>
      </c>
      <c r="AO399">
        <v>119.8861843</v>
      </c>
      <c r="AP399" t="s">
        <v>2064</v>
      </c>
      <c r="AT399">
        <v>99.75</v>
      </c>
      <c r="AW399">
        <v>0</v>
      </c>
      <c r="AX399">
        <v>0</v>
      </c>
      <c r="BA399">
        <v>0</v>
      </c>
      <c r="BB399">
        <v>0</v>
      </c>
      <c r="BE399">
        <v>0</v>
      </c>
      <c r="BF399">
        <v>0</v>
      </c>
      <c r="BJ399">
        <v>0</v>
      </c>
      <c r="BL399">
        <v>0</v>
      </c>
      <c r="BN399">
        <v>0</v>
      </c>
      <c r="BO399" s="6">
        <v>0</v>
      </c>
      <c r="BP399">
        <v>0</v>
      </c>
      <c r="BQ399">
        <v>0</v>
      </c>
      <c r="BR399">
        <v>0</v>
      </c>
    </row>
    <row r="400" spans="1:70" ht="15" customHeight="1" x14ac:dyDescent="0.35">
      <c r="A400" s="1" t="str">
        <f t="shared" si="22"/>
        <v>401D</v>
      </c>
      <c r="B400" t="s">
        <v>2065</v>
      </c>
      <c r="C400" t="s">
        <v>2066</v>
      </c>
      <c r="D400" t="s">
        <v>2067</v>
      </c>
      <c r="E400" t="s">
        <v>2068</v>
      </c>
      <c r="F400" t="s">
        <v>2069</v>
      </c>
      <c r="G400" t="s">
        <v>502</v>
      </c>
      <c r="H400" t="s">
        <v>502</v>
      </c>
      <c r="I400" t="s">
        <v>148</v>
      </c>
      <c r="J400" t="b">
        <v>0</v>
      </c>
      <c r="K400" t="s">
        <v>78</v>
      </c>
      <c r="L400" t="s">
        <v>79</v>
      </c>
      <c r="N400" t="s">
        <v>81</v>
      </c>
      <c r="O400" t="s">
        <v>82</v>
      </c>
      <c r="P400" t="s">
        <v>83</v>
      </c>
      <c r="Q400" t="s">
        <v>503</v>
      </c>
      <c r="R400">
        <v>24</v>
      </c>
      <c r="S400" t="s">
        <v>85</v>
      </c>
      <c r="T400" t="s">
        <v>85</v>
      </c>
      <c r="U400">
        <v>1111111</v>
      </c>
      <c r="V400" t="s">
        <v>86</v>
      </c>
      <c r="W400" t="s">
        <v>2070</v>
      </c>
      <c r="X400" t="s">
        <v>2071</v>
      </c>
      <c r="Y400" t="s">
        <v>89</v>
      </c>
      <c r="Z400" t="s">
        <v>90</v>
      </c>
      <c r="AA400" t="s">
        <v>2072</v>
      </c>
      <c r="AB400">
        <v>1</v>
      </c>
      <c r="AC400">
        <v>6</v>
      </c>
      <c r="AD400" t="b">
        <v>1</v>
      </c>
      <c r="AE400">
        <v>2021</v>
      </c>
      <c r="AF400" s="3">
        <v>367</v>
      </c>
      <c r="AG400" s="3">
        <v>44460</v>
      </c>
      <c r="AH400" s="3">
        <v>45565</v>
      </c>
      <c r="AJ400" s="4">
        <f>VLOOKUP(A400,'[1]1'!B:Q,16,0)</f>
        <v>1440</v>
      </c>
      <c r="AK400" s="7">
        <f t="shared" si="24"/>
        <v>5.76</v>
      </c>
      <c r="AL400" s="3">
        <v>44256</v>
      </c>
      <c r="AM400" s="3">
        <v>45443</v>
      </c>
      <c r="AN400">
        <v>-8.1787186999999992</v>
      </c>
      <c r="AO400">
        <v>114.9940555</v>
      </c>
      <c r="AP400" t="s">
        <v>2073</v>
      </c>
      <c r="AQ400" s="5" t="s">
        <v>93</v>
      </c>
      <c r="AR400" s="5" t="s">
        <v>94</v>
      </c>
      <c r="AS400" t="s">
        <v>80</v>
      </c>
      <c r="AT400">
        <v>99.75</v>
      </c>
      <c r="AU400" t="s">
        <v>95</v>
      </c>
      <c r="AV400" t="s">
        <v>96</v>
      </c>
      <c r="AW400">
        <v>-8.6991940000000003</v>
      </c>
      <c r="AX400">
        <v>115.216222</v>
      </c>
      <c r="AY400" t="s">
        <v>506</v>
      </c>
      <c r="AZ400" t="s">
        <v>532</v>
      </c>
      <c r="BA400">
        <v>-8.6221666999999993</v>
      </c>
      <c r="BB400">
        <v>115.17478029999999</v>
      </c>
      <c r="BC400" t="s">
        <v>508</v>
      </c>
      <c r="BD400" t="s">
        <v>509</v>
      </c>
      <c r="BE400">
        <v>-8.6992445000000007</v>
      </c>
      <c r="BF400">
        <v>115.2139979</v>
      </c>
      <c r="BG400" t="s">
        <v>285</v>
      </c>
      <c r="BH400" t="s">
        <v>101</v>
      </c>
      <c r="BI400" t="s">
        <v>102</v>
      </c>
      <c r="BJ400">
        <v>3</v>
      </c>
      <c r="BL400">
        <v>3</v>
      </c>
      <c r="BM400" t="s">
        <v>103</v>
      </c>
      <c r="BN400">
        <v>85.6</v>
      </c>
      <c r="BO400" s="6">
        <v>0.14166666666666666</v>
      </c>
      <c r="BP400">
        <v>62.82</v>
      </c>
      <c r="BQ400">
        <v>53.17</v>
      </c>
      <c r="BR400">
        <v>62.73</v>
      </c>
    </row>
    <row r="401" spans="1:70" ht="15" customHeight="1" x14ac:dyDescent="0.35">
      <c r="A401" s="1" t="str">
        <f t="shared" si="22"/>
        <v>5174</v>
      </c>
      <c r="B401" t="s">
        <v>2074</v>
      </c>
      <c r="C401" t="s">
        <v>2075</v>
      </c>
      <c r="D401" t="s">
        <v>2076</v>
      </c>
      <c r="E401" t="s">
        <v>2077</v>
      </c>
      <c r="F401" t="s">
        <v>2069</v>
      </c>
      <c r="G401" t="s">
        <v>502</v>
      </c>
      <c r="H401" t="s">
        <v>502</v>
      </c>
      <c r="I401" t="s">
        <v>148</v>
      </c>
      <c r="J401" t="b">
        <v>0</v>
      </c>
      <c r="K401" t="s">
        <v>78</v>
      </c>
      <c r="L401" t="s">
        <v>79</v>
      </c>
      <c r="N401" t="s">
        <v>81</v>
      </c>
      <c r="O401" t="s">
        <v>82</v>
      </c>
      <c r="P401" t="s">
        <v>83</v>
      </c>
      <c r="Q401" t="s">
        <v>503</v>
      </c>
      <c r="R401">
        <v>15</v>
      </c>
      <c r="S401" t="s">
        <v>85</v>
      </c>
      <c r="T401" t="s">
        <v>121</v>
      </c>
      <c r="U401">
        <v>1111111</v>
      </c>
      <c r="V401" t="s">
        <v>122</v>
      </c>
      <c r="W401" t="s">
        <v>2070</v>
      </c>
      <c r="X401" t="s">
        <v>2071</v>
      </c>
      <c r="Y401" t="s">
        <v>89</v>
      </c>
      <c r="Z401" t="s">
        <v>90</v>
      </c>
      <c r="AA401" t="s">
        <v>2072</v>
      </c>
      <c r="AB401">
        <v>1</v>
      </c>
      <c r="AC401">
        <v>6</v>
      </c>
      <c r="AD401" t="b">
        <v>1</v>
      </c>
      <c r="AE401">
        <v>2022</v>
      </c>
      <c r="AF401" s="3">
        <v>367</v>
      </c>
      <c r="AG401" s="3">
        <v>44730</v>
      </c>
      <c r="AH401" s="3">
        <v>45818</v>
      </c>
      <c r="AJ401" s="4">
        <f>VLOOKUP(A401,'[1]1'!B:Q,16,0)</f>
        <v>1440</v>
      </c>
      <c r="AK401" s="7">
        <f t="shared" si="24"/>
        <v>5.76</v>
      </c>
      <c r="AL401" s="3">
        <v>367</v>
      </c>
      <c r="AM401" s="3">
        <v>367</v>
      </c>
      <c r="AN401">
        <v>-8.1622543000000007</v>
      </c>
      <c r="AO401">
        <v>115.0261508</v>
      </c>
      <c r="AP401" t="s">
        <v>2077</v>
      </c>
      <c r="AT401">
        <v>99.75</v>
      </c>
      <c r="AW401">
        <v>0</v>
      </c>
      <c r="AX401">
        <v>0</v>
      </c>
      <c r="BA401">
        <v>0</v>
      </c>
      <c r="BB401">
        <v>0</v>
      </c>
      <c r="BE401">
        <v>0</v>
      </c>
      <c r="BF401">
        <v>0</v>
      </c>
      <c r="BJ401">
        <v>0</v>
      </c>
      <c r="BL401">
        <v>0</v>
      </c>
      <c r="BN401">
        <v>0</v>
      </c>
      <c r="BO401" s="6">
        <v>0</v>
      </c>
      <c r="BP401">
        <v>0</v>
      </c>
      <c r="BQ401">
        <v>0</v>
      </c>
      <c r="BR401">
        <v>0</v>
      </c>
    </row>
    <row r="402" spans="1:70" ht="15" customHeight="1" x14ac:dyDescent="0.35">
      <c r="A402" s="1" t="str">
        <f t="shared" si="22"/>
        <v>01CX</v>
      </c>
      <c r="B402" t="s">
        <v>2078</v>
      </c>
      <c r="C402" t="s">
        <v>2079</v>
      </c>
      <c r="D402" t="s">
        <v>2080</v>
      </c>
      <c r="E402" t="s">
        <v>2081</v>
      </c>
      <c r="F402" t="s">
        <v>2069</v>
      </c>
      <c r="G402" t="s">
        <v>502</v>
      </c>
      <c r="H402" t="s">
        <v>502</v>
      </c>
      <c r="I402" t="s">
        <v>137</v>
      </c>
      <c r="J402" t="b">
        <v>0</v>
      </c>
      <c r="K402" t="s">
        <v>78</v>
      </c>
      <c r="L402" t="s">
        <v>79</v>
      </c>
      <c r="N402" t="s">
        <v>81</v>
      </c>
      <c r="O402" t="s">
        <v>82</v>
      </c>
      <c r="P402" t="s">
        <v>83</v>
      </c>
      <c r="Q402" t="s">
        <v>503</v>
      </c>
      <c r="R402">
        <v>16</v>
      </c>
      <c r="S402" t="s">
        <v>1355</v>
      </c>
      <c r="T402" t="s">
        <v>121</v>
      </c>
      <c r="U402">
        <v>1111111</v>
      </c>
      <c r="V402" t="s">
        <v>122</v>
      </c>
      <c r="W402" t="s">
        <v>2070</v>
      </c>
      <c r="X402" t="s">
        <v>2071</v>
      </c>
      <c r="Y402" t="s">
        <v>89</v>
      </c>
      <c r="Z402" t="s">
        <v>90</v>
      </c>
      <c r="AA402" t="s">
        <v>2072</v>
      </c>
      <c r="AB402">
        <v>2</v>
      </c>
      <c r="AC402">
        <v>6</v>
      </c>
      <c r="AD402" t="b">
        <v>1</v>
      </c>
      <c r="AE402">
        <v>2022</v>
      </c>
      <c r="AF402" s="3">
        <v>367</v>
      </c>
      <c r="AG402" s="3">
        <v>44726</v>
      </c>
      <c r="AH402" s="3">
        <v>45818</v>
      </c>
      <c r="AJ402" s="4">
        <f>VLOOKUP(A402,'[1]1'!B:Q,16,0)</f>
        <v>1440</v>
      </c>
      <c r="AK402" s="7">
        <f t="shared" si="24"/>
        <v>5.76</v>
      </c>
      <c r="AL402" s="3">
        <v>367</v>
      </c>
      <c r="AM402" s="3">
        <v>367</v>
      </c>
      <c r="AN402">
        <v>-8.0801786</v>
      </c>
      <c r="AO402">
        <v>115.1489615</v>
      </c>
      <c r="AP402" t="s">
        <v>2082</v>
      </c>
      <c r="AT402">
        <v>99.75</v>
      </c>
      <c r="AW402">
        <v>0</v>
      </c>
      <c r="AX402">
        <v>0</v>
      </c>
      <c r="BA402">
        <v>0</v>
      </c>
      <c r="BB402">
        <v>0</v>
      </c>
      <c r="BE402">
        <v>0</v>
      </c>
      <c r="BF402">
        <v>0</v>
      </c>
      <c r="BJ402">
        <v>0</v>
      </c>
      <c r="BL402">
        <v>0</v>
      </c>
      <c r="BN402">
        <v>0</v>
      </c>
      <c r="BO402" s="6">
        <v>0</v>
      </c>
      <c r="BP402">
        <v>0</v>
      </c>
      <c r="BQ402">
        <v>0</v>
      </c>
      <c r="BR402">
        <v>0</v>
      </c>
    </row>
    <row r="403" spans="1:70" ht="15" customHeight="1" x14ac:dyDescent="0.35">
      <c r="A403" s="1" t="str">
        <f t="shared" si="22"/>
        <v>686H</v>
      </c>
      <c r="B403" t="s">
        <v>2083</v>
      </c>
      <c r="C403" t="s">
        <v>2084</v>
      </c>
      <c r="D403" t="s">
        <v>2085</v>
      </c>
      <c r="E403" t="s">
        <v>2086</v>
      </c>
      <c r="F403" t="s">
        <v>724</v>
      </c>
      <c r="G403" t="s">
        <v>502</v>
      </c>
      <c r="H403" t="s">
        <v>502</v>
      </c>
      <c r="I403" t="s">
        <v>137</v>
      </c>
      <c r="J403" t="b">
        <v>0</v>
      </c>
      <c r="K403" t="s">
        <v>78</v>
      </c>
      <c r="L403" t="s">
        <v>79</v>
      </c>
      <c r="N403" t="s">
        <v>81</v>
      </c>
      <c r="O403" t="s">
        <v>82</v>
      </c>
      <c r="P403" t="s">
        <v>83</v>
      </c>
      <c r="Q403" t="s">
        <v>503</v>
      </c>
      <c r="R403">
        <v>15</v>
      </c>
      <c r="S403" t="s">
        <v>1355</v>
      </c>
      <c r="T403" t="s">
        <v>121</v>
      </c>
      <c r="U403">
        <v>1111111</v>
      </c>
      <c r="V403" t="s">
        <v>122</v>
      </c>
      <c r="W403" t="s">
        <v>2070</v>
      </c>
      <c r="X403" t="s">
        <v>2071</v>
      </c>
      <c r="Y403" t="s">
        <v>89</v>
      </c>
      <c r="Z403" t="s">
        <v>90</v>
      </c>
      <c r="AA403" t="s">
        <v>2072</v>
      </c>
      <c r="AB403">
        <v>2</v>
      </c>
      <c r="AC403">
        <v>6</v>
      </c>
      <c r="AD403" t="b">
        <v>1</v>
      </c>
      <c r="AE403">
        <v>2022</v>
      </c>
      <c r="AF403" s="3">
        <v>367</v>
      </c>
      <c r="AG403" s="3">
        <v>44729</v>
      </c>
      <c r="AH403" s="3">
        <v>45818</v>
      </c>
      <c r="AJ403" s="4">
        <f>VLOOKUP(A403,'[1]1'!B:Q,16,0)</f>
        <v>960</v>
      </c>
      <c r="AK403" s="7">
        <f t="shared" si="24"/>
        <v>3.84</v>
      </c>
      <c r="AL403" s="3">
        <v>367</v>
      </c>
      <c r="AM403" s="3">
        <v>367</v>
      </c>
      <c r="AN403">
        <v>-8.2581094999999998</v>
      </c>
      <c r="AO403">
        <v>115.16195329999999</v>
      </c>
      <c r="AP403" t="s">
        <v>2087</v>
      </c>
      <c r="AT403">
        <v>99.75</v>
      </c>
      <c r="AW403">
        <v>0</v>
      </c>
      <c r="AX403">
        <v>0</v>
      </c>
      <c r="BA403">
        <v>0</v>
      </c>
      <c r="BB403">
        <v>0</v>
      </c>
      <c r="BE403">
        <v>0</v>
      </c>
      <c r="BF403">
        <v>0</v>
      </c>
      <c r="BJ403">
        <v>0</v>
      </c>
      <c r="BL403">
        <v>0</v>
      </c>
      <c r="BN403">
        <v>0</v>
      </c>
      <c r="BO403" s="6">
        <v>0</v>
      </c>
      <c r="BP403">
        <v>0</v>
      </c>
      <c r="BQ403">
        <v>0</v>
      </c>
      <c r="BR403">
        <v>0</v>
      </c>
    </row>
    <row r="404" spans="1:70" ht="15" customHeight="1" x14ac:dyDescent="0.35">
      <c r="A404" s="1" t="str">
        <f t="shared" si="22"/>
        <v>ZRQ5</v>
      </c>
      <c r="B404" t="s">
        <v>2088</v>
      </c>
      <c r="C404" t="s">
        <v>2089</v>
      </c>
      <c r="D404" t="s">
        <v>2090</v>
      </c>
      <c r="E404" t="s">
        <v>2091</v>
      </c>
      <c r="F404" t="s">
        <v>501</v>
      </c>
      <c r="G404" t="s">
        <v>502</v>
      </c>
      <c r="H404" t="s">
        <v>502</v>
      </c>
      <c r="I404" t="s">
        <v>137</v>
      </c>
      <c r="J404" t="b">
        <v>0</v>
      </c>
      <c r="K404" t="s">
        <v>154</v>
      </c>
      <c r="L404" t="s">
        <v>155</v>
      </c>
      <c r="N404" t="s">
        <v>81</v>
      </c>
      <c r="O404" t="s">
        <v>82</v>
      </c>
      <c r="P404" t="s">
        <v>83</v>
      </c>
      <c r="Q404" t="s">
        <v>503</v>
      </c>
      <c r="R404">
        <v>24</v>
      </c>
      <c r="S404" t="s">
        <v>85</v>
      </c>
      <c r="T404" t="s">
        <v>121</v>
      </c>
      <c r="U404">
        <v>1111111</v>
      </c>
      <c r="V404" t="s">
        <v>122</v>
      </c>
      <c r="W404" t="s">
        <v>2070</v>
      </c>
      <c r="X404" t="s">
        <v>2071</v>
      </c>
      <c r="Y404" t="s">
        <v>89</v>
      </c>
      <c r="Z404" t="s">
        <v>90</v>
      </c>
      <c r="AA404" t="s">
        <v>2072</v>
      </c>
      <c r="AB404">
        <v>1</v>
      </c>
      <c r="AC404">
        <v>6</v>
      </c>
      <c r="AD404" t="b">
        <v>1</v>
      </c>
      <c r="AE404">
        <v>2023</v>
      </c>
      <c r="AF404" s="3">
        <v>367</v>
      </c>
      <c r="AG404" s="3">
        <v>45100</v>
      </c>
      <c r="AH404" s="3">
        <v>46174</v>
      </c>
      <c r="AJ404" s="4"/>
      <c r="AK404" s="4"/>
      <c r="AL404" s="3">
        <v>367</v>
      </c>
      <c r="AM404" s="3">
        <v>367</v>
      </c>
      <c r="AN404">
        <v>-8.1163082000000006</v>
      </c>
      <c r="AO404">
        <v>115.09202929999999</v>
      </c>
      <c r="AP404" t="s">
        <v>2091</v>
      </c>
      <c r="AT404">
        <v>99.2</v>
      </c>
      <c r="AW404">
        <v>0</v>
      </c>
      <c r="AX404">
        <v>0</v>
      </c>
      <c r="BA404">
        <v>0</v>
      </c>
      <c r="BB404">
        <v>0</v>
      </c>
      <c r="BE404">
        <v>0</v>
      </c>
      <c r="BF404">
        <v>0</v>
      </c>
      <c r="BJ404">
        <v>0</v>
      </c>
      <c r="BL404">
        <v>0</v>
      </c>
      <c r="BN404">
        <v>0</v>
      </c>
      <c r="BO404" s="6">
        <v>0</v>
      </c>
      <c r="BP404">
        <v>0</v>
      </c>
      <c r="BQ404">
        <v>0</v>
      </c>
      <c r="BR404">
        <v>0</v>
      </c>
    </row>
    <row r="405" spans="1:70" ht="15" customHeight="1" x14ac:dyDescent="0.35">
      <c r="A405" s="1" t="str">
        <f t="shared" si="22"/>
        <v>ZQJ4</v>
      </c>
      <c r="B405" t="s">
        <v>2092</v>
      </c>
      <c r="C405" t="s">
        <v>2093</v>
      </c>
      <c r="D405" t="s">
        <v>2094</v>
      </c>
      <c r="E405" t="s">
        <v>2095</v>
      </c>
      <c r="F405" t="s">
        <v>2069</v>
      </c>
      <c r="G405" t="s">
        <v>502</v>
      </c>
      <c r="H405" t="s">
        <v>502</v>
      </c>
      <c r="I405" t="s">
        <v>137</v>
      </c>
      <c r="J405" t="b">
        <v>0</v>
      </c>
      <c r="K405" t="s">
        <v>154</v>
      </c>
      <c r="L405" t="s">
        <v>155</v>
      </c>
      <c r="N405" t="s">
        <v>81</v>
      </c>
      <c r="O405" t="s">
        <v>82</v>
      </c>
      <c r="P405" t="s">
        <v>83</v>
      </c>
      <c r="Q405" t="s">
        <v>503</v>
      </c>
      <c r="R405">
        <v>13</v>
      </c>
      <c r="S405" t="s">
        <v>339</v>
      </c>
      <c r="T405" t="s">
        <v>314</v>
      </c>
      <c r="U405">
        <v>1111111</v>
      </c>
      <c r="V405" t="s">
        <v>122</v>
      </c>
      <c r="W405" t="s">
        <v>2070</v>
      </c>
      <c r="X405" t="s">
        <v>2071</v>
      </c>
      <c r="Y405" t="s">
        <v>89</v>
      </c>
      <c r="Z405" t="s">
        <v>90</v>
      </c>
      <c r="AA405" t="s">
        <v>2072</v>
      </c>
      <c r="AB405">
        <v>1</v>
      </c>
      <c r="AC405">
        <v>6</v>
      </c>
      <c r="AD405" t="b">
        <v>1</v>
      </c>
      <c r="AE405">
        <v>2023</v>
      </c>
      <c r="AF405" s="3">
        <v>367</v>
      </c>
      <c r="AG405" s="3">
        <v>45104</v>
      </c>
      <c r="AH405" s="3">
        <v>46200</v>
      </c>
      <c r="AJ405" s="4">
        <f>VLOOKUP(A405,'[1]1'!B:Q,16,0)</f>
        <v>780</v>
      </c>
      <c r="AK405" s="7">
        <f t="shared" ref="AK405:AK407" si="25">AJ405/250</f>
        <v>3.12</v>
      </c>
      <c r="AL405" s="3">
        <v>367</v>
      </c>
      <c r="AM405" s="3">
        <v>367</v>
      </c>
      <c r="AN405">
        <v>-8.0980433000000005</v>
      </c>
      <c r="AO405">
        <v>115.10596</v>
      </c>
      <c r="AP405" t="s">
        <v>2096</v>
      </c>
      <c r="AT405">
        <v>99.2</v>
      </c>
      <c r="AW405">
        <v>0</v>
      </c>
      <c r="AX405">
        <v>0</v>
      </c>
      <c r="BA405">
        <v>0</v>
      </c>
      <c r="BB405">
        <v>0</v>
      </c>
      <c r="BE405">
        <v>0</v>
      </c>
      <c r="BF405">
        <v>0</v>
      </c>
      <c r="BJ405">
        <v>0</v>
      </c>
      <c r="BL405">
        <v>0</v>
      </c>
      <c r="BN405">
        <v>0</v>
      </c>
      <c r="BO405" s="6">
        <v>0</v>
      </c>
      <c r="BP405">
        <v>0</v>
      </c>
      <c r="BQ405">
        <v>0</v>
      </c>
      <c r="BR405">
        <v>0</v>
      </c>
    </row>
    <row r="406" spans="1:70" ht="15" customHeight="1" x14ac:dyDescent="0.35">
      <c r="A406" s="1" t="str">
        <f t="shared" si="22"/>
        <v>602U</v>
      </c>
      <c r="B406" t="s">
        <v>2097</v>
      </c>
      <c r="C406" t="s">
        <v>2098</v>
      </c>
      <c r="D406" t="s">
        <v>2099</v>
      </c>
      <c r="E406" t="s">
        <v>2100</v>
      </c>
      <c r="F406" t="s">
        <v>2069</v>
      </c>
      <c r="G406" t="s">
        <v>502</v>
      </c>
      <c r="H406" t="s">
        <v>502</v>
      </c>
      <c r="I406" t="s">
        <v>137</v>
      </c>
      <c r="J406" t="b">
        <v>0</v>
      </c>
      <c r="K406" t="s">
        <v>78</v>
      </c>
      <c r="L406" t="s">
        <v>79</v>
      </c>
      <c r="N406" t="s">
        <v>81</v>
      </c>
      <c r="O406" t="s">
        <v>82</v>
      </c>
      <c r="P406" t="s">
        <v>83</v>
      </c>
      <c r="Q406" t="s">
        <v>503</v>
      </c>
      <c r="R406">
        <v>15</v>
      </c>
      <c r="S406" t="s">
        <v>121</v>
      </c>
      <c r="T406" t="s">
        <v>179</v>
      </c>
      <c r="U406">
        <v>1111111</v>
      </c>
      <c r="V406" t="s">
        <v>122</v>
      </c>
      <c r="W406" t="s">
        <v>2070</v>
      </c>
      <c r="X406" t="s">
        <v>2071</v>
      </c>
      <c r="Y406" t="s">
        <v>89</v>
      </c>
      <c r="Z406" t="s">
        <v>90</v>
      </c>
      <c r="AA406" t="s">
        <v>2072</v>
      </c>
      <c r="AB406">
        <v>2</v>
      </c>
      <c r="AC406">
        <v>6</v>
      </c>
      <c r="AD406" t="b">
        <v>1</v>
      </c>
      <c r="AE406">
        <v>2023</v>
      </c>
      <c r="AF406" s="3">
        <v>367</v>
      </c>
      <c r="AG406" s="3">
        <v>45123</v>
      </c>
      <c r="AH406" s="3">
        <v>46221</v>
      </c>
      <c r="AJ406" s="4">
        <f>VLOOKUP(A406,'[1]1'!B:Q,16,0)</f>
        <v>960</v>
      </c>
      <c r="AK406" s="7">
        <f t="shared" si="25"/>
        <v>3.84</v>
      </c>
      <c r="AL406" s="3">
        <v>367</v>
      </c>
      <c r="AM406" s="3">
        <v>367</v>
      </c>
      <c r="AN406">
        <v>-8.1830745999999994</v>
      </c>
      <c r="AO406">
        <v>114.7788647</v>
      </c>
      <c r="AP406" t="s">
        <v>2101</v>
      </c>
      <c r="AT406">
        <v>99.75</v>
      </c>
      <c r="AW406">
        <v>0</v>
      </c>
      <c r="AX406">
        <v>0</v>
      </c>
      <c r="BA406">
        <v>0</v>
      </c>
      <c r="BB406">
        <v>0</v>
      </c>
      <c r="BE406">
        <v>0</v>
      </c>
      <c r="BF406">
        <v>0</v>
      </c>
      <c r="BJ406">
        <v>0</v>
      </c>
      <c r="BL406">
        <v>0</v>
      </c>
      <c r="BN406">
        <v>0</v>
      </c>
      <c r="BO406" s="6">
        <v>0</v>
      </c>
      <c r="BP406">
        <v>0</v>
      </c>
      <c r="BQ406">
        <v>0</v>
      </c>
      <c r="BR406">
        <v>0</v>
      </c>
    </row>
    <row r="407" spans="1:70" ht="15" customHeight="1" x14ac:dyDescent="0.35">
      <c r="A407" s="1" t="str">
        <f t="shared" si="22"/>
        <v>00UX</v>
      </c>
      <c r="B407" t="s">
        <v>2102</v>
      </c>
      <c r="C407" t="s">
        <v>2103</v>
      </c>
      <c r="D407" t="s">
        <v>2104</v>
      </c>
      <c r="E407" t="s">
        <v>2105</v>
      </c>
      <c r="F407" t="s">
        <v>2069</v>
      </c>
      <c r="G407" t="s">
        <v>502</v>
      </c>
      <c r="H407" t="s">
        <v>502</v>
      </c>
      <c r="I407" t="s">
        <v>77</v>
      </c>
      <c r="J407" t="b">
        <v>0</v>
      </c>
      <c r="K407" t="s">
        <v>78</v>
      </c>
      <c r="L407" t="s">
        <v>79</v>
      </c>
      <c r="N407" t="s">
        <v>81</v>
      </c>
      <c r="O407" t="s">
        <v>82</v>
      </c>
      <c r="P407" t="s">
        <v>83</v>
      </c>
      <c r="Q407" t="s">
        <v>503</v>
      </c>
      <c r="R407">
        <v>24</v>
      </c>
      <c r="S407" t="s">
        <v>85</v>
      </c>
      <c r="T407" t="s">
        <v>179</v>
      </c>
      <c r="U407">
        <v>1111111</v>
      </c>
      <c r="V407" t="s">
        <v>122</v>
      </c>
      <c r="W407" t="s">
        <v>2070</v>
      </c>
      <c r="X407" t="s">
        <v>2071</v>
      </c>
      <c r="Y407" t="s">
        <v>89</v>
      </c>
      <c r="Z407" t="s">
        <v>90</v>
      </c>
      <c r="AA407" t="s">
        <v>2072</v>
      </c>
      <c r="AB407">
        <v>1</v>
      </c>
      <c r="AC407">
        <v>6</v>
      </c>
      <c r="AD407" t="b">
        <v>1</v>
      </c>
      <c r="AE407">
        <v>2023</v>
      </c>
      <c r="AF407" s="3">
        <v>367</v>
      </c>
      <c r="AG407" s="3">
        <v>45167</v>
      </c>
      <c r="AH407" s="3">
        <v>46264</v>
      </c>
      <c r="AJ407" s="4">
        <f>VLOOKUP(A407,'[1]1'!B:Q,16,0)</f>
        <v>1440</v>
      </c>
      <c r="AK407" s="7">
        <f t="shared" si="25"/>
        <v>5.76</v>
      </c>
      <c r="AL407" s="3">
        <v>367</v>
      </c>
      <c r="AM407" s="3">
        <v>367</v>
      </c>
      <c r="AN407">
        <v>-8.1447222999999997</v>
      </c>
      <c r="AO407">
        <v>115.05007380000001</v>
      </c>
      <c r="AP407" t="s">
        <v>2106</v>
      </c>
      <c r="AT407">
        <v>99.75</v>
      </c>
      <c r="AW407">
        <v>0</v>
      </c>
      <c r="AX407">
        <v>0</v>
      </c>
      <c r="BA407">
        <v>0</v>
      </c>
      <c r="BB407">
        <v>0</v>
      </c>
      <c r="BE407">
        <v>0</v>
      </c>
      <c r="BF407">
        <v>0</v>
      </c>
      <c r="BJ407">
        <v>0</v>
      </c>
      <c r="BL407">
        <v>0</v>
      </c>
      <c r="BN407">
        <v>0</v>
      </c>
      <c r="BO407" s="6">
        <v>0</v>
      </c>
      <c r="BP407">
        <v>0</v>
      </c>
      <c r="BQ407">
        <v>0</v>
      </c>
      <c r="BR407">
        <v>0</v>
      </c>
    </row>
    <row r="408" spans="1:70" ht="15" customHeight="1" x14ac:dyDescent="0.35">
      <c r="A408" s="1" t="str">
        <f t="shared" si="22"/>
        <v>Z15V</v>
      </c>
      <c r="B408" t="s">
        <v>2107</v>
      </c>
      <c r="C408" t="s">
        <v>2108</v>
      </c>
      <c r="D408" t="s">
        <v>2109</v>
      </c>
      <c r="E408" t="s">
        <v>2110</v>
      </c>
      <c r="F408" t="s">
        <v>2069</v>
      </c>
      <c r="G408" t="s">
        <v>502</v>
      </c>
      <c r="H408" t="s">
        <v>502</v>
      </c>
      <c r="I408" t="s">
        <v>148</v>
      </c>
      <c r="J408" t="b">
        <v>0</v>
      </c>
      <c r="K408" t="s">
        <v>154</v>
      </c>
      <c r="L408" t="s">
        <v>214</v>
      </c>
      <c r="N408" t="s">
        <v>81</v>
      </c>
      <c r="O408" t="s">
        <v>82</v>
      </c>
      <c r="P408" t="s">
        <v>83</v>
      </c>
      <c r="Q408" t="s">
        <v>503</v>
      </c>
      <c r="R408">
        <v>24</v>
      </c>
      <c r="S408" t="s">
        <v>85</v>
      </c>
      <c r="T408" t="s">
        <v>179</v>
      </c>
      <c r="U408">
        <v>1111111</v>
      </c>
      <c r="V408" t="s">
        <v>122</v>
      </c>
      <c r="W408" t="s">
        <v>2070</v>
      </c>
      <c r="X408" t="s">
        <v>2071</v>
      </c>
      <c r="Y408" t="s">
        <v>89</v>
      </c>
      <c r="Z408" t="s">
        <v>90</v>
      </c>
      <c r="AA408" t="s">
        <v>2072</v>
      </c>
      <c r="AB408">
        <v>1</v>
      </c>
      <c r="AC408">
        <v>6</v>
      </c>
      <c r="AD408" t="b">
        <v>1</v>
      </c>
      <c r="AE408">
        <v>2024</v>
      </c>
      <c r="AF408" s="3">
        <v>367</v>
      </c>
      <c r="AG408" s="3">
        <v>45444</v>
      </c>
      <c r="AH408" s="3">
        <v>46568</v>
      </c>
      <c r="AJ408" s="4"/>
      <c r="AK408" s="4"/>
      <c r="AL408" s="3">
        <v>367</v>
      </c>
      <c r="AM408" s="3">
        <v>367</v>
      </c>
      <c r="AN408">
        <v>-8.1095106000000001</v>
      </c>
      <c r="AO408">
        <v>115.08997119999999</v>
      </c>
      <c r="AP408" t="s">
        <v>2111</v>
      </c>
      <c r="AT408">
        <v>99.2</v>
      </c>
      <c r="AW408">
        <v>0</v>
      </c>
      <c r="AX408">
        <v>0</v>
      </c>
      <c r="BA408">
        <v>0</v>
      </c>
      <c r="BB408">
        <v>0</v>
      </c>
      <c r="BE408">
        <v>0</v>
      </c>
      <c r="BF408">
        <v>0</v>
      </c>
      <c r="BJ408">
        <v>0</v>
      </c>
      <c r="BL408">
        <v>0</v>
      </c>
      <c r="BN408">
        <v>0</v>
      </c>
      <c r="BO408" s="6">
        <v>0</v>
      </c>
      <c r="BP408">
        <v>0</v>
      </c>
      <c r="BQ408">
        <v>0</v>
      </c>
      <c r="BR408">
        <v>0</v>
      </c>
    </row>
    <row r="409" spans="1:70" ht="15" customHeight="1" x14ac:dyDescent="0.35">
      <c r="A409" s="1" t="str">
        <f t="shared" si="22"/>
        <v>Z15U</v>
      </c>
      <c r="B409" t="s">
        <v>2112</v>
      </c>
      <c r="C409" t="s">
        <v>2113</v>
      </c>
      <c r="D409" t="s">
        <v>2114</v>
      </c>
      <c r="E409" t="s">
        <v>2110</v>
      </c>
      <c r="F409" t="s">
        <v>2069</v>
      </c>
      <c r="G409" t="s">
        <v>502</v>
      </c>
      <c r="H409" t="s">
        <v>502</v>
      </c>
      <c r="I409" t="s">
        <v>148</v>
      </c>
      <c r="J409" t="b">
        <v>0</v>
      </c>
      <c r="K409" t="s">
        <v>154</v>
      </c>
      <c r="L409" t="s">
        <v>214</v>
      </c>
      <c r="N409" t="s">
        <v>81</v>
      </c>
      <c r="O409" t="s">
        <v>82</v>
      </c>
      <c r="P409" t="s">
        <v>83</v>
      </c>
      <c r="Q409" t="s">
        <v>503</v>
      </c>
      <c r="R409">
        <v>24</v>
      </c>
      <c r="S409" t="s">
        <v>85</v>
      </c>
      <c r="T409" t="s">
        <v>179</v>
      </c>
      <c r="U409">
        <v>1111111</v>
      </c>
      <c r="V409" t="s">
        <v>122</v>
      </c>
      <c r="W409" t="s">
        <v>2070</v>
      </c>
      <c r="X409" t="s">
        <v>2071</v>
      </c>
      <c r="Y409" t="s">
        <v>89</v>
      </c>
      <c r="Z409" t="s">
        <v>90</v>
      </c>
      <c r="AA409" t="s">
        <v>2072</v>
      </c>
      <c r="AB409">
        <v>1</v>
      </c>
      <c r="AC409">
        <v>6</v>
      </c>
      <c r="AD409" t="b">
        <v>1</v>
      </c>
      <c r="AE409">
        <v>2024</v>
      </c>
      <c r="AF409" s="3">
        <v>367</v>
      </c>
      <c r="AG409" s="3">
        <v>45444</v>
      </c>
      <c r="AH409" s="3">
        <v>46568</v>
      </c>
      <c r="AJ409" s="4"/>
      <c r="AK409" s="4"/>
      <c r="AL409" s="3">
        <v>367</v>
      </c>
      <c r="AM409" s="3">
        <v>367</v>
      </c>
      <c r="AN409">
        <v>-8.1096135999999994</v>
      </c>
      <c r="AO409">
        <v>115.0900662</v>
      </c>
      <c r="AP409" t="s">
        <v>2111</v>
      </c>
      <c r="AT409">
        <v>99.2</v>
      </c>
      <c r="AW409">
        <v>0</v>
      </c>
      <c r="AX409">
        <v>0</v>
      </c>
      <c r="BA409">
        <v>0</v>
      </c>
      <c r="BB409">
        <v>0</v>
      </c>
      <c r="BE409">
        <v>0</v>
      </c>
      <c r="BF409">
        <v>0</v>
      </c>
      <c r="BJ409">
        <v>0</v>
      </c>
      <c r="BL409">
        <v>0</v>
      </c>
      <c r="BN409">
        <v>0</v>
      </c>
      <c r="BO409" s="6">
        <v>0</v>
      </c>
      <c r="BP409">
        <v>0</v>
      </c>
      <c r="BQ409">
        <v>0</v>
      </c>
      <c r="BR409">
        <v>0</v>
      </c>
    </row>
    <row r="410" spans="1:70" ht="15" customHeight="1" x14ac:dyDescent="0.35">
      <c r="A410" s="1" t="str">
        <f t="shared" si="22"/>
        <v>Z15T</v>
      </c>
      <c r="B410" t="s">
        <v>2115</v>
      </c>
      <c r="C410" t="s">
        <v>2116</v>
      </c>
      <c r="D410" t="s">
        <v>2117</v>
      </c>
      <c r="E410" t="s">
        <v>2110</v>
      </c>
      <c r="F410" t="s">
        <v>2069</v>
      </c>
      <c r="G410" t="s">
        <v>502</v>
      </c>
      <c r="H410" t="s">
        <v>502</v>
      </c>
      <c r="I410" t="s">
        <v>148</v>
      </c>
      <c r="J410" t="b">
        <v>0</v>
      </c>
      <c r="K410" t="s">
        <v>154</v>
      </c>
      <c r="L410" t="s">
        <v>214</v>
      </c>
      <c r="N410" t="s">
        <v>81</v>
      </c>
      <c r="O410" t="s">
        <v>82</v>
      </c>
      <c r="P410" t="s">
        <v>83</v>
      </c>
      <c r="Q410" t="s">
        <v>503</v>
      </c>
      <c r="R410">
        <v>24</v>
      </c>
      <c r="S410" t="s">
        <v>85</v>
      </c>
      <c r="T410" t="s">
        <v>179</v>
      </c>
      <c r="U410">
        <v>1111111</v>
      </c>
      <c r="V410" t="s">
        <v>122</v>
      </c>
      <c r="W410" t="s">
        <v>2070</v>
      </c>
      <c r="X410" t="s">
        <v>2071</v>
      </c>
      <c r="Y410" t="s">
        <v>89</v>
      </c>
      <c r="Z410" t="s">
        <v>90</v>
      </c>
      <c r="AA410" t="s">
        <v>2072</v>
      </c>
      <c r="AB410">
        <v>1</v>
      </c>
      <c r="AC410">
        <v>6</v>
      </c>
      <c r="AD410" t="b">
        <v>1</v>
      </c>
      <c r="AE410">
        <v>2024</v>
      </c>
      <c r="AF410" s="3">
        <v>367</v>
      </c>
      <c r="AG410" s="3">
        <v>45444</v>
      </c>
      <c r="AH410" s="3">
        <v>46568</v>
      </c>
      <c r="AJ410" s="4"/>
      <c r="AK410" s="4"/>
      <c r="AL410" s="3">
        <v>367</v>
      </c>
      <c r="AM410" s="3">
        <v>367</v>
      </c>
      <c r="AN410">
        <v>-8.1095047999999998</v>
      </c>
      <c r="AO410">
        <v>115.0901183</v>
      </c>
      <c r="AP410" t="s">
        <v>2118</v>
      </c>
      <c r="AT410">
        <v>99.2</v>
      </c>
      <c r="AW410">
        <v>0</v>
      </c>
      <c r="AX410">
        <v>0</v>
      </c>
      <c r="BA410">
        <v>0</v>
      </c>
      <c r="BB410">
        <v>0</v>
      </c>
      <c r="BE410">
        <v>0</v>
      </c>
      <c r="BF410">
        <v>0</v>
      </c>
      <c r="BJ410">
        <v>0</v>
      </c>
      <c r="BL410">
        <v>0</v>
      </c>
      <c r="BN410">
        <v>0</v>
      </c>
      <c r="BO410" s="6">
        <v>0</v>
      </c>
      <c r="BP410">
        <v>0</v>
      </c>
      <c r="BQ410">
        <v>0</v>
      </c>
      <c r="BR410">
        <v>0</v>
      </c>
    </row>
    <row r="411" spans="1:70" ht="15" customHeight="1" x14ac:dyDescent="0.35">
      <c r="A411" s="1" t="str">
        <f t="shared" si="22"/>
        <v>ZC07</v>
      </c>
      <c r="B411" t="s">
        <v>2119</v>
      </c>
      <c r="C411" t="s">
        <v>2120</v>
      </c>
      <c r="D411" t="s">
        <v>2121</v>
      </c>
      <c r="E411" s="5" t="s">
        <v>2122</v>
      </c>
      <c r="F411" t="s">
        <v>724</v>
      </c>
      <c r="G411" t="s">
        <v>502</v>
      </c>
      <c r="H411" t="s">
        <v>502</v>
      </c>
      <c r="I411" t="s">
        <v>148</v>
      </c>
      <c r="J411" t="b">
        <v>0</v>
      </c>
      <c r="K411" t="s">
        <v>154</v>
      </c>
      <c r="L411" t="s">
        <v>214</v>
      </c>
      <c r="N411" t="s">
        <v>81</v>
      </c>
      <c r="O411" t="s">
        <v>82</v>
      </c>
      <c r="P411" t="s">
        <v>83</v>
      </c>
      <c r="Q411" t="s">
        <v>503</v>
      </c>
      <c r="R411">
        <v>24</v>
      </c>
      <c r="S411" t="s">
        <v>85</v>
      </c>
      <c r="T411" t="s">
        <v>179</v>
      </c>
      <c r="U411">
        <v>1111111</v>
      </c>
      <c r="V411" t="s">
        <v>122</v>
      </c>
      <c r="W411" t="s">
        <v>2070</v>
      </c>
      <c r="X411" t="s">
        <v>2071</v>
      </c>
      <c r="Y411" t="s">
        <v>89</v>
      </c>
      <c r="Z411" t="s">
        <v>90</v>
      </c>
      <c r="AA411" t="s">
        <v>2072</v>
      </c>
      <c r="AB411">
        <v>2</v>
      </c>
      <c r="AC411">
        <v>6</v>
      </c>
      <c r="AD411" t="b">
        <v>1</v>
      </c>
      <c r="AE411">
        <v>2024</v>
      </c>
      <c r="AF411" s="3">
        <v>367</v>
      </c>
      <c r="AG411" s="3">
        <v>45444</v>
      </c>
      <c r="AH411" s="3">
        <v>46568</v>
      </c>
      <c r="AJ411" s="4">
        <f>VLOOKUP(A411,'[1]1'!B:Q,16,0)</f>
        <v>1440</v>
      </c>
      <c r="AK411" s="7">
        <f>AJ411/250</f>
        <v>5.76</v>
      </c>
      <c r="AL411" s="3">
        <v>367</v>
      </c>
      <c r="AM411" s="3">
        <v>367</v>
      </c>
      <c r="AN411">
        <v>-8.3266974000000005</v>
      </c>
      <c r="AO411">
        <v>115.18593300000001</v>
      </c>
      <c r="AP411" t="s">
        <v>2123</v>
      </c>
      <c r="AT411">
        <v>99.2</v>
      </c>
      <c r="AW411">
        <v>0</v>
      </c>
      <c r="AX411">
        <v>0</v>
      </c>
      <c r="BA411">
        <v>0</v>
      </c>
      <c r="BB411">
        <v>0</v>
      </c>
      <c r="BE411">
        <v>0</v>
      </c>
      <c r="BF411">
        <v>0</v>
      </c>
      <c r="BJ411">
        <v>0</v>
      </c>
      <c r="BL411">
        <v>0</v>
      </c>
      <c r="BN411">
        <v>0</v>
      </c>
      <c r="BO411" s="6">
        <v>0</v>
      </c>
      <c r="BP411">
        <v>0</v>
      </c>
      <c r="BQ411">
        <v>0</v>
      </c>
      <c r="BR411">
        <v>0</v>
      </c>
    </row>
    <row r="412" spans="1:70" ht="15" customHeight="1" x14ac:dyDescent="0.35">
      <c r="A412" s="1" t="str">
        <f t="shared" si="22"/>
        <v>ZC06</v>
      </c>
      <c r="B412" t="s">
        <v>2124</v>
      </c>
      <c r="C412" t="s">
        <v>2120</v>
      </c>
      <c r="D412" t="s">
        <v>2125</v>
      </c>
      <c r="E412" s="5" t="s">
        <v>2122</v>
      </c>
      <c r="F412" t="s">
        <v>724</v>
      </c>
      <c r="G412" t="s">
        <v>502</v>
      </c>
      <c r="H412" t="s">
        <v>502</v>
      </c>
      <c r="I412" t="s">
        <v>148</v>
      </c>
      <c r="J412" t="b">
        <v>0</v>
      </c>
      <c r="K412" t="s">
        <v>154</v>
      </c>
      <c r="L412" t="s">
        <v>214</v>
      </c>
      <c r="N412" t="s">
        <v>81</v>
      </c>
      <c r="O412" t="s">
        <v>82</v>
      </c>
      <c r="P412" t="s">
        <v>83</v>
      </c>
      <c r="Q412" t="s">
        <v>503</v>
      </c>
      <c r="R412">
        <v>24</v>
      </c>
      <c r="S412" t="s">
        <v>85</v>
      </c>
      <c r="T412" t="s">
        <v>179</v>
      </c>
      <c r="U412">
        <v>1111111</v>
      </c>
      <c r="V412" t="s">
        <v>122</v>
      </c>
      <c r="W412" t="s">
        <v>2070</v>
      </c>
      <c r="X412" t="s">
        <v>2071</v>
      </c>
      <c r="Y412" t="s">
        <v>89</v>
      </c>
      <c r="Z412" t="s">
        <v>90</v>
      </c>
      <c r="AA412" t="s">
        <v>2072</v>
      </c>
      <c r="AB412">
        <v>2</v>
      </c>
      <c r="AC412">
        <v>6</v>
      </c>
      <c r="AD412" t="b">
        <v>1</v>
      </c>
      <c r="AE412">
        <v>2024</v>
      </c>
      <c r="AF412" s="3">
        <v>367</v>
      </c>
      <c r="AG412" s="3">
        <v>45444</v>
      </c>
      <c r="AH412" s="3">
        <v>46568</v>
      </c>
      <c r="AJ412" s="4"/>
      <c r="AK412" s="4"/>
      <c r="AL412" s="3">
        <v>367</v>
      </c>
      <c r="AM412" s="3">
        <v>367</v>
      </c>
      <c r="AN412">
        <v>-8.3266805999999995</v>
      </c>
      <c r="AO412">
        <v>115.1858154</v>
      </c>
      <c r="AP412" t="s">
        <v>2123</v>
      </c>
      <c r="AT412">
        <v>99.2</v>
      </c>
      <c r="AW412">
        <v>0</v>
      </c>
      <c r="AX412">
        <v>0</v>
      </c>
      <c r="BA412">
        <v>0</v>
      </c>
      <c r="BB412">
        <v>0</v>
      </c>
      <c r="BE412">
        <v>0</v>
      </c>
      <c r="BF412">
        <v>0</v>
      </c>
      <c r="BJ412">
        <v>0</v>
      </c>
      <c r="BL412">
        <v>0</v>
      </c>
      <c r="BN412">
        <v>0</v>
      </c>
      <c r="BO412" s="6">
        <v>0</v>
      </c>
      <c r="BP412">
        <v>0</v>
      </c>
      <c r="BQ412">
        <v>0</v>
      </c>
      <c r="BR412">
        <v>0</v>
      </c>
    </row>
    <row r="413" spans="1:70" ht="15" customHeight="1" x14ac:dyDescent="0.35">
      <c r="A413" s="1" t="str">
        <f t="shared" si="22"/>
        <v>ZY9P</v>
      </c>
      <c r="B413" t="s">
        <v>2126</v>
      </c>
      <c r="C413" t="s">
        <v>2127</v>
      </c>
      <c r="D413" t="s">
        <v>2128</v>
      </c>
      <c r="E413" t="s">
        <v>2129</v>
      </c>
      <c r="F413" t="s">
        <v>2069</v>
      </c>
      <c r="G413" t="s">
        <v>502</v>
      </c>
      <c r="H413" t="s">
        <v>502</v>
      </c>
      <c r="I413" t="s">
        <v>137</v>
      </c>
      <c r="J413" t="b">
        <v>0</v>
      </c>
      <c r="K413" t="s">
        <v>154</v>
      </c>
      <c r="L413" t="s">
        <v>214</v>
      </c>
      <c r="N413" t="s">
        <v>81</v>
      </c>
      <c r="O413" t="s">
        <v>82</v>
      </c>
      <c r="P413" t="s">
        <v>83</v>
      </c>
      <c r="Q413" t="s">
        <v>503</v>
      </c>
      <c r="R413">
        <v>24</v>
      </c>
      <c r="S413" t="s">
        <v>85</v>
      </c>
      <c r="T413" t="s">
        <v>179</v>
      </c>
      <c r="U413">
        <v>1111111</v>
      </c>
      <c r="V413" t="s">
        <v>122</v>
      </c>
      <c r="W413" t="s">
        <v>2070</v>
      </c>
      <c r="X413" t="s">
        <v>2071</v>
      </c>
      <c r="Y413" t="s">
        <v>89</v>
      </c>
      <c r="Z413" t="s">
        <v>90</v>
      </c>
      <c r="AA413" t="s">
        <v>2072</v>
      </c>
      <c r="AB413">
        <v>1</v>
      </c>
      <c r="AC413">
        <v>6</v>
      </c>
      <c r="AD413" t="b">
        <v>1</v>
      </c>
      <c r="AE413">
        <v>2024</v>
      </c>
      <c r="AF413" s="3">
        <v>367</v>
      </c>
      <c r="AG413" s="3">
        <v>45446</v>
      </c>
      <c r="AH413" s="3">
        <v>46568</v>
      </c>
      <c r="AJ413" s="4"/>
      <c r="AK413" s="4"/>
      <c r="AL413" s="3">
        <v>367</v>
      </c>
      <c r="AM413" s="3">
        <v>367</v>
      </c>
      <c r="AN413">
        <v>-8.1008543999999993</v>
      </c>
      <c r="AO413">
        <v>115.0994592</v>
      </c>
      <c r="AP413" t="s">
        <v>2130</v>
      </c>
      <c r="AT413">
        <v>99.2</v>
      </c>
      <c r="AW413">
        <v>0</v>
      </c>
      <c r="AX413">
        <v>0</v>
      </c>
      <c r="BA413">
        <v>0</v>
      </c>
      <c r="BB413">
        <v>0</v>
      </c>
      <c r="BE413">
        <v>0</v>
      </c>
      <c r="BF413">
        <v>0</v>
      </c>
      <c r="BJ413">
        <v>0</v>
      </c>
      <c r="BL413">
        <v>0</v>
      </c>
      <c r="BN413">
        <v>0</v>
      </c>
      <c r="BO413" s="6">
        <v>0</v>
      </c>
      <c r="BP413">
        <v>0</v>
      </c>
      <c r="BQ413">
        <v>0</v>
      </c>
      <c r="BR413">
        <v>0</v>
      </c>
    </row>
    <row r="414" spans="1:70" ht="15" customHeight="1" x14ac:dyDescent="0.35">
      <c r="A414" s="1" t="str">
        <f t="shared" si="22"/>
        <v>ZCD2</v>
      </c>
      <c r="B414" t="s">
        <v>2131</v>
      </c>
      <c r="C414" t="s">
        <v>2132</v>
      </c>
      <c r="D414" t="s">
        <v>2133</v>
      </c>
      <c r="E414" t="s">
        <v>2134</v>
      </c>
      <c r="F414" t="s">
        <v>2069</v>
      </c>
      <c r="G414" t="s">
        <v>502</v>
      </c>
      <c r="H414" t="s">
        <v>502</v>
      </c>
      <c r="I414" t="s">
        <v>137</v>
      </c>
      <c r="J414" t="b">
        <v>0</v>
      </c>
      <c r="K414" t="s">
        <v>154</v>
      </c>
      <c r="L414" t="s">
        <v>214</v>
      </c>
      <c r="N414" t="s">
        <v>81</v>
      </c>
      <c r="O414" t="s">
        <v>82</v>
      </c>
      <c r="P414" t="s">
        <v>83</v>
      </c>
      <c r="Q414" t="s">
        <v>503</v>
      </c>
      <c r="R414">
        <v>24</v>
      </c>
      <c r="S414" t="s">
        <v>85</v>
      </c>
      <c r="T414" t="s">
        <v>179</v>
      </c>
      <c r="U414">
        <v>1111111</v>
      </c>
      <c r="V414" t="s">
        <v>122</v>
      </c>
      <c r="W414" t="s">
        <v>2070</v>
      </c>
      <c r="X414" t="s">
        <v>2071</v>
      </c>
      <c r="Y414" t="s">
        <v>89</v>
      </c>
      <c r="Z414" t="s">
        <v>90</v>
      </c>
      <c r="AA414" t="s">
        <v>2072</v>
      </c>
      <c r="AB414">
        <v>1</v>
      </c>
      <c r="AC414">
        <v>6</v>
      </c>
      <c r="AD414" t="b">
        <v>1</v>
      </c>
      <c r="AE414">
        <v>2024</v>
      </c>
      <c r="AF414" s="3">
        <v>367</v>
      </c>
      <c r="AG414" s="3">
        <v>45446</v>
      </c>
      <c r="AH414" s="3">
        <v>46568</v>
      </c>
      <c r="AJ414" s="4"/>
      <c r="AK414" s="4"/>
      <c r="AL414" s="3">
        <v>367</v>
      </c>
      <c r="AM414" s="3">
        <v>367</v>
      </c>
      <c r="AN414">
        <v>-8.1205587999999995</v>
      </c>
      <c r="AO414">
        <v>115.0726605</v>
      </c>
      <c r="AP414" t="s">
        <v>2135</v>
      </c>
      <c r="AT414">
        <v>99.2</v>
      </c>
      <c r="AW414">
        <v>0</v>
      </c>
      <c r="AX414">
        <v>0</v>
      </c>
      <c r="BA414">
        <v>0</v>
      </c>
      <c r="BB414">
        <v>0</v>
      </c>
      <c r="BE414">
        <v>0</v>
      </c>
      <c r="BF414">
        <v>0</v>
      </c>
      <c r="BJ414">
        <v>0</v>
      </c>
      <c r="BL414">
        <v>0</v>
      </c>
      <c r="BN414">
        <v>0</v>
      </c>
      <c r="BO414" s="6">
        <v>0</v>
      </c>
      <c r="BP414">
        <v>0</v>
      </c>
      <c r="BQ414">
        <v>0</v>
      </c>
      <c r="BR414">
        <v>0</v>
      </c>
    </row>
    <row r="415" spans="1:70" ht="15" customHeight="1" x14ac:dyDescent="0.35">
      <c r="A415" s="1" t="str">
        <f t="shared" si="22"/>
        <v>ZY9N</v>
      </c>
      <c r="B415" t="s">
        <v>2136</v>
      </c>
      <c r="C415" t="s">
        <v>2137</v>
      </c>
      <c r="D415" t="s">
        <v>2138</v>
      </c>
      <c r="E415" t="s">
        <v>2139</v>
      </c>
      <c r="F415" t="s">
        <v>2069</v>
      </c>
      <c r="G415" t="s">
        <v>502</v>
      </c>
      <c r="H415" t="s">
        <v>502</v>
      </c>
      <c r="I415" t="s">
        <v>137</v>
      </c>
      <c r="J415" t="b">
        <v>0</v>
      </c>
      <c r="K415" t="s">
        <v>154</v>
      </c>
      <c r="L415" t="s">
        <v>214</v>
      </c>
      <c r="N415" t="s">
        <v>81</v>
      </c>
      <c r="O415" t="s">
        <v>82</v>
      </c>
      <c r="P415" t="s">
        <v>83</v>
      </c>
      <c r="Q415" t="s">
        <v>503</v>
      </c>
      <c r="R415">
        <v>24</v>
      </c>
      <c r="S415" t="s">
        <v>85</v>
      </c>
      <c r="T415" t="s">
        <v>179</v>
      </c>
      <c r="U415">
        <v>1111111</v>
      </c>
      <c r="V415" t="s">
        <v>122</v>
      </c>
      <c r="W415" t="s">
        <v>2070</v>
      </c>
      <c r="X415" t="s">
        <v>2071</v>
      </c>
      <c r="Y415" t="s">
        <v>89</v>
      </c>
      <c r="Z415" t="s">
        <v>90</v>
      </c>
      <c r="AA415" t="s">
        <v>2072</v>
      </c>
      <c r="AB415">
        <v>1</v>
      </c>
      <c r="AC415">
        <v>6</v>
      </c>
      <c r="AD415" t="b">
        <v>1</v>
      </c>
      <c r="AE415">
        <v>2024</v>
      </c>
      <c r="AF415" s="3">
        <v>367</v>
      </c>
      <c r="AG415" s="3">
        <v>45446</v>
      </c>
      <c r="AH415" s="3">
        <v>46568</v>
      </c>
      <c r="AJ415" s="4">
        <f>VLOOKUP(A415,'[1]1'!B:Q,16,0)</f>
        <v>1440</v>
      </c>
      <c r="AK415" s="7">
        <f t="shared" ref="AK415:AK416" si="26">AJ415/250</f>
        <v>5.76</v>
      </c>
      <c r="AL415" s="3">
        <v>367</v>
      </c>
      <c r="AM415" s="3">
        <v>367</v>
      </c>
      <c r="AN415">
        <v>-8.0865094000000006</v>
      </c>
      <c r="AO415">
        <v>115.134208</v>
      </c>
      <c r="AP415" t="s">
        <v>2140</v>
      </c>
      <c r="AT415">
        <v>99.2</v>
      </c>
      <c r="AW415">
        <v>0</v>
      </c>
      <c r="AX415">
        <v>0</v>
      </c>
      <c r="BA415">
        <v>0</v>
      </c>
      <c r="BB415">
        <v>0</v>
      </c>
      <c r="BE415">
        <v>0</v>
      </c>
      <c r="BF415">
        <v>0</v>
      </c>
      <c r="BJ415">
        <v>0</v>
      </c>
      <c r="BL415">
        <v>0</v>
      </c>
      <c r="BN415">
        <v>0</v>
      </c>
      <c r="BO415" s="6">
        <v>0</v>
      </c>
      <c r="BP415">
        <v>0</v>
      </c>
      <c r="BQ415">
        <v>0</v>
      </c>
      <c r="BR415">
        <v>0</v>
      </c>
    </row>
    <row r="416" spans="1:70" ht="15" customHeight="1" x14ac:dyDescent="0.35">
      <c r="A416" s="1" t="str">
        <f t="shared" si="22"/>
        <v>Z15Q</v>
      </c>
      <c r="B416" t="s">
        <v>2141</v>
      </c>
      <c r="C416" t="s">
        <v>2142</v>
      </c>
      <c r="D416" t="s">
        <v>2143</v>
      </c>
      <c r="E416" t="s">
        <v>2144</v>
      </c>
      <c r="F416" t="s">
        <v>2069</v>
      </c>
      <c r="G416" t="s">
        <v>502</v>
      </c>
      <c r="H416" t="s">
        <v>502</v>
      </c>
      <c r="I416" t="s">
        <v>148</v>
      </c>
      <c r="J416" t="b">
        <v>0</v>
      </c>
      <c r="K416" t="s">
        <v>154</v>
      </c>
      <c r="L416" t="s">
        <v>214</v>
      </c>
      <c r="N416" t="s">
        <v>81</v>
      </c>
      <c r="O416" t="s">
        <v>82</v>
      </c>
      <c r="P416" t="s">
        <v>83</v>
      </c>
      <c r="Q416" t="s">
        <v>503</v>
      </c>
      <c r="R416">
        <v>15</v>
      </c>
      <c r="S416" t="s">
        <v>85</v>
      </c>
      <c r="T416" t="s">
        <v>121</v>
      </c>
      <c r="U416">
        <v>1111111</v>
      </c>
      <c r="V416" t="s">
        <v>122</v>
      </c>
      <c r="W416" t="s">
        <v>2070</v>
      </c>
      <c r="X416" t="s">
        <v>2071</v>
      </c>
      <c r="Y416" t="s">
        <v>89</v>
      </c>
      <c r="Z416" t="s">
        <v>90</v>
      </c>
      <c r="AA416" t="s">
        <v>2072</v>
      </c>
      <c r="AB416">
        <v>2</v>
      </c>
      <c r="AC416">
        <v>6</v>
      </c>
      <c r="AD416" t="b">
        <v>1</v>
      </c>
      <c r="AE416">
        <v>2024</v>
      </c>
      <c r="AF416" s="3">
        <v>367</v>
      </c>
      <c r="AG416" s="3">
        <v>45446</v>
      </c>
      <c r="AH416" s="3">
        <v>46541</v>
      </c>
      <c r="AJ416" s="4">
        <f>VLOOKUP(A416,'[1]1'!B:Q,16,0)</f>
        <v>1440</v>
      </c>
      <c r="AK416" s="7">
        <f t="shared" si="26"/>
        <v>5.76</v>
      </c>
      <c r="AL416" s="3">
        <v>367</v>
      </c>
      <c r="AM416" s="3">
        <v>367</v>
      </c>
      <c r="AN416">
        <v>-8.1927553999999994</v>
      </c>
      <c r="AO416">
        <v>114.93590210000001</v>
      </c>
      <c r="AP416" t="s">
        <v>2145</v>
      </c>
      <c r="AT416">
        <v>99.2</v>
      </c>
      <c r="AW416">
        <v>0</v>
      </c>
      <c r="AX416">
        <v>0</v>
      </c>
      <c r="BA416">
        <v>0</v>
      </c>
      <c r="BB416">
        <v>0</v>
      </c>
      <c r="BE416">
        <v>0</v>
      </c>
      <c r="BF416">
        <v>0</v>
      </c>
      <c r="BJ416">
        <v>0</v>
      </c>
      <c r="BL416">
        <v>0</v>
      </c>
      <c r="BN416">
        <v>0</v>
      </c>
      <c r="BO416" s="6">
        <v>0</v>
      </c>
      <c r="BP416">
        <v>0</v>
      </c>
      <c r="BQ416">
        <v>0</v>
      </c>
      <c r="BR416">
        <v>0</v>
      </c>
    </row>
    <row r="417" spans="1:70" ht="15" customHeight="1" x14ac:dyDescent="0.35">
      <c r="A417" s="1" t="str">
        <f t="shared" si="22"/>
        <v>00C6</v>
      </c>
      <c r="B417" t="s">
        <v>2146</v>
      </c>
      <c r="C417" t="s">
        <v>2147</v>
      </c>
      <c r="D417" t="s">
        <v>2148</v>
      </c>
      <c r="E417" t="s">
        <v>2149</v>
      </c>
      <c r="F417" t="s">
        <v>537</v>
      </c>
      <c r="G417" t="s">
        <v>502</v>
      </c>
      <c r="H417" t="s">
        <v>502</v>
      </c>
      <c r="I417" t="s">
        <v>137</v>
      </c>
      <c r="J417" t="b">
        <v>0</v>
      </c>
      <c r="K417" t="s">
        <v>78</v>
      </c>
      <c r="L417" t="s">
        <v>79</v>
      </c>
      <c r="N417" t="s">
        <v>81</v>
      </c>
      <c r="O417" t="s">
        <v>82</v>
      </c>
      <c r="P417" t="s">
        <v>83</v>
      </c>
      <c r="Q417" t="s">
        <v>503</v>
      </c>
      <c r="R417">
        <v>24</v>
      </c>
      <c r="S417" t="s">
        <v>373</v>
      </c>
      <c r="T417" t="s">
        <v>179</v>
      </c>
      <c r="U417">
        <v>1111111</v>
      </c>
      <c r="V417" t="s">
        <v>122</v>
      </c>
      <c r="W417" t="s">
        <v>2070</v>
      </c>
      <c r="X417" t="s">
        <v>2071</v>
      </c>
      <c r="Y417" t="s">
        <v>89</v>
      </c>
      <c r="Z417" t="s">
        <v>90</v>
      </c>
      <c r="AA417" t="s">
        <v>2072</v>
      </c>
      <c r="AB417">
        <v>1</v>
      </c>
      <c r="AC417">
        <v>6</v>
      </c>
      <c r="AD417" t="b">
        <v>1</v>
      </c>
      <c r="AE417">
        <v>2023</v>
      </c>
      <c r="AF417" s="3">
        <v>367</v>
      </c>
      <c r="AG417" s="3">
        <v>45450</v>
      </c>
      <c r="AH417" s="3">
        <v>46545</v>
      </c>
      <c r="AJ417" s="4"/>
      <c r="AK417" s="4"/>
      <c r="AL417" s="3">
        <v>367</v>
      </c>
      <c r="AM417" s="3">
        <v>367</v>
      </c>
      <c r="AN417">
        <v>-8.1251999000000001</v>
      </c>
      <c r="AO417">
        <v>115.0827542</v>
      </c>
      <c r="AP417" t="s">
        <v>2149</v>
      </c>
      <c r="AT417">
        <v>99.75</v>
      </c>
      <c r="AW417">
        <v>0</v>
      </c>
      <c r="AX417">
        <v>0</v>
      </c>
      <c r="BA417">
        <v>0</v>
      </c>
      <c r="BB417">
        <v>0</v>
      </c>
      <c r="BE417">
        <v>0</v>
      </c>
      <c r="BF417">
        <v>0</v>
      </c>
      <c r="BJ417">
        <v>0</v>
      </c>
      <c r="BL417">
        <v>0</v>
      </c>
      <c r="BN417">
        <v>0</v>
      </c>
      <c r="BO417" s="6">
        <v>0</v>
      </c>
      <c r="BP417">
        <v>0</v>
      </c>
      <c r="BQ417">
        <v>0</v>
      </c>
      <c r="BR417">
        <v>0</v>
      </c>
    </row>
    <row r="418" spans="1:70" ht="15" customHeight="1" x14ac:dyDescent="0.35">
      <c r="A418" s="1" t="str">
        <f t="shared" si="22"/>
        <v>00TM</v>
      </c>
      <c r="B418" t="s">
        <v>2150</v>
      </c>
      <c r="C418" t="s">
        <v>2151</v>
      </c>
      <c r="D418" t="s">
        <v>2152</v>
      </c>
      <c r="E418" t="s">
        <v>2153</v>
      </c>
      <c r="F418" t="s">
        <v>2069</v>
      </c>
      <c r="G418" t="s">
        <v>502</v>
      </c>
      <c r="H418" t="s">
        <v>502</v>
      </c>
      <c r="I418" t="s">
        <v>137</v>
      </c>
      <c r="J418" t="b">
        <v>0</v>
      </c>
      <c r="K418" t="s">
        <v>78</v>
      </c>
      <c r="L418" t="s">
        <v>79</v>
      </c>
      <c r="N418" t="s">
        <v>81</v>
      </c>
      <c r="O418" t="s">
        <v>82</v>
      </c>
      <c r="P418" t="s">
        <v>83</v>
      </c>
      <c r="Q418" t="s">
        <v>503</v>
      </c>
      <c r="R418">
        <v>24</v>
      </c>
      <c r="S418" t="s">
        <v>85</v>
      </c>
      <c r="T418" t="s">
        <v>179</v>
      </c>
      <c r="U418">
        <v>1111111</v>
      </c>
      <c r="V418" t="s">
        <v>122</v>
      </c>
      <c r="W418" t="s">
        <v>2070</v>
      </c>
      <c r="X418" t="s">
        <v>2071</v>
      </c>
      <c r="Y418" t="s">
        <v>89</v>
      </c>
      <c r="Z418" t="s">
        <v>90</v>
      </c>
      <c r="AA418" t="s">
        <v>2072</v>
      </c>
      <c r="AB418">
        <v>1</v>
      </c>
      <c r="AC418">
        <v>6</v>
      </c>
      <c r="AD418" t="b">
        <v>1</v>
      </c>
      <c r="AE418">
        <v>2024</v>
      </c>
      <c r="AF418" s="3">
        <v>367</v>
      </c>
      <c r="AG418" s="3">
        <v>45706</v>
      </c>
      <c r="AH418" s="3">
        <v>46811</v>
      </c>
      <c r="AJ418" s="4">
        <f>VLOOKUP(A418,'[1]1'!B:Q,16,0)</f>
        <v>1440</v>
      </c>
      <c r="AK418" s="7">
        <f t="shared" ref="AK418:AK423" si="27">AJ418/250</f>
        <v>5.76</v>
      </c>
      <c r="AL418" s="3">
        <v>367</v>
      </c>
      <c r="AM418" s="3">
        <v>367</v>
      </c>
      <c r="AN418">
        <v>-8.1112716000000002</v>
      </c>
      <c r="AO418">
        <v>115.08631819999999</v>
      </c>
      <c r="AP418" t="s">
        <v>2153</v>
      </c>
      <c r="AT418">
        <v>99.75</v>
      </c>
      <c r="AW418">
        <v>0</v>
      </c>
      <c r="AX418">
        <v>0</v>
      </c>
      <c r="BA418">
        <v>0</v>
      </c>
      <c r="BB418">
        <v>0</v>
      </c>
      <c r="BE418">
        <v>0</v>
      </c>
      <c r="BF418">
        <v>0</v>
      </c>
      <c r="BJ418">
        <v>0</v>
      </c>
      <c r="BL418">
        <v>0</v>
      </c>
      <c r="BN418">
        <v>0</v>
      </c>
      <c r="BO418" s="6">
        <v>0</v>
      </c>
      <c r="BP418">
        <v>0</v>
      </c>
      <c r="BQ418">
        <v>0</v>
      </c>
      <c r="BR418">
        <v>0</v>
      </c>
    </row>
    <row r="419" spans="1:70" ht="15" customHeight="1" x14ac:dyDescent="0.35">
      <c r="A419" s="1" t="str">
        <f t="shared" si="22"/>
        <v>00KK</v>
      </c>
      <c r="B419" t="s">
        <v>2154</v>
      </c>
      <c r="C419" t="s">
        <v>2155</v>
      </c>
      <c r="D419" t="s">
        <v>2156</v>
      </c>
      <c r="E419" t="s">
        <v>2157</v>
      </c>
      <c r="F419" t="s">
        <v>724</v>
      </c>
      <c r="G419" t="s">
        <v>502</v>
      </c>
      <c r="H419" t="s">
        <v>502</v>
      </c>
      <c r="I419" t="s">
        <v>148</v>
      </c>
      <c r="J419" t="b">
        <v>0</v>
      </c>
      <c r="K419" t="s">
        <v>78</v>
      </c>
      <c r="L419" t="s">
        <v>79</v>
      </c>
      <c r="N419" t="s">
        <v>81</v>
      </c>
      <c r="O419" t="s">
        <v>82</v>
      </c>
      <c r="P419" t="s">
        <v>83</v>
      </c>
      <c r="Q419" t="s">
        <v>503</v>
      </c>
      <c r="R419">
        <v>24</v>
      </c>
      <c r="S419" t="s">
        <v>85</v>
      </c>
      <c r="T419" t="s">
        <v>179</v>
      </c>
      <c r="U419">
        <v>1111111</v>
      </c>
      <c r="V419" t="s">
        <v>122</v>
      </c>
      <c r="W419" t="s">
        <v>2070</v>
      </c>
      <c r="X419" t="s">
        <v>2071</v>
      </c>
      <c r="Y419" t="s">
        <v>89</v>
      </c>
      <c r="Z419" t="s">
        <v>90</v>
      </c>
      <c r="AA419" t="s">
        <v>2072</v>
      </c>
      <c r="AB419">
        <v>2</v>
      </c>
      <c r="AC419">
        <v>6</v>
      </c>
      <c r="AD419" t="b">
        <v>1</v>
      </c>
      <c r="AE419">
        <v>2024</v>
      </c>
      <c r="AF419" s="3">
        <v>367</v>
      </c>
      <c r="AG419" s="3">
        <v>45706</v>
      </c>
      <c r="AH419" s="3">
        <v>46811</v>
      </c>
      <c r="AJ419" s="4">
        <f>VLOOKUP(A419,'[1]1'!B:Q,16,0)</f>
        <v>1440</v>
      </c>
      <c r="AK419" s="7">
        <f t="shared" si="27"/>
        <v>5.76</v>
      </c>
      <c r="AL419" s="3">
        <v>367</v>
      </c>
      <c r="AM419" s="3">
        <v>367</v>
      </c>
      <c r="AN419">
        <v>-8.2903745000000004</v>
      </c>
      <c r="AO419">
        <v>115.1686981</v>
      </c>
      <c r="AP419" t="s">
        <v>2158</v>
      </c>
      <c r="AT419">
        <v>99.75</v>
      </c>
      <c r="AW419">
        <v>0</v>
      </c>
      <c r="AX419">
        <v>0</v>
      </c>
      <c r="BA419">
        <v>0</v>
      </c>
      <c r="BB419">
        <v>0</v>
      </c>
      <c r="BE419">
        <v>0</v>
      </c>
      <c r="BF419">
        <v>0</v>
      </c>
      <c r="BJ419">
        <v>0</v>
      </c>
      <c r="BL419">
        <v>0</v>
      </c>
      <c r="BN419">
        <v>0</v>
      </c>
      <c r="BO419" s="6">
        <v>0</v>
      </c>
      <c r="BP419">
        <v>0</v>
      </c>
      <c r="BQ419">
        <v>0</v>
      </c>
      <c r="BR419">
        <v>0</v>
      </c>
    </row>
    <row r="420" spans="1:70" ht="15" customHeight="1" x14ac:dyDescent="0.35">
      <c r="A420" s="1" t="str">
        <f t="shared" si="22"/>
        <v>01AT</v>
      </c>
      <c r="B420" t="s">
        <v>2159</v>
      </c>
      <c r="C420" t="s">
        <v>2160</v>
      </c>
      <c r="D420" t="s">
        <v>2161</v>
      </c>
      <c r="E420" t="s">
        <v>2162</v>
      </c>
      <c r="F420" t="s">
        <v>2163</v>
      </c>
      <c r="G420" t="s">
        <v>502</v>
      </c>
      <c r="H420" t="s">
        <v>502</v>
      </c>
      <c r="I420" t="s">
        <v>137</v>
      </c>
      <c r="J420" t="b">
        <v>0</v>
      </c>
      <c r="K420" t="s">
        <v>78</v>
      </c>
      <c r="L420" t="s">
        <v>79</v>
      </c>
      <c r="N420" t="s">
        <v>81</v>
      </c>
      <c r="O420" t="s">
        <v>82</v>
      </c>
      <c r="P420" t="s">
        <v>83</v>
      </c>
      <c r="Q420" t="s">
        <v>503</v>
      </c>
      <c r="R420">
        <v>24</v>
      </c>
      <c r="S420" t="s">
        <v>85</v>
      </c>
      <c r="T420" t="s">
        <v>965</v>
      </c>
      <c r="U420">
        <v>1111111</v>
      </c>
      <c r="V420" t="s">
        <v>86</v>
      </c>
      <c r="W420" t="s">
        <v>2164</v>
      </c>
      <c r="X420" t="s">
        <v>2165</v>
      </c>
      <c r="Y420" t="s">
        <v>89</v>
      </c>
      <c r="Z420" t="s">
        <v>90</v>
      </c>
      <c r="AA420" t="s">
        <v>2166</v>
      </c>
      <c r="AB420">
        <v>2</v>
      </c>
      <c r="AC420">
        <v>6</v>
      </c>
      <c r="AD420" t="b">
        <v>1</v>
      </c>
      <c r="AE420">
        <v>2021</v>
      </c>
      <c r="AF420" s="3">
        <v>367</v>
      </c>
      <c r="AG420" s="3">
        <v>44460</v>
      </c>
      <c r="AH420" s="3">
        <v>45565</v>
      </c>
      <c r="AJ420" s="4">
        <f>VLOOKUP(A420,'[1]1'!B:Q,16,0)</f>
        <v>1440</v>
      </c>
      <c r="AK420" s="7">
        <f t="shared" si="27"/>
        <v>5.76</v>
      </c>
      <c r="AL420" s="3">
        <v>44256</v>
      </c>
      <c r="AM420" s="3">
        <v>45443</v>
      </c>
      <c r="AN420">
        <v>-8.1726182999999999</v>
      </c>
      <c r="AO420">
        <v>114.4364489</v>
      </c>
      <c r="AP420" t="s">
        <v>2167</v>
      </c>
      <c r="AQ420" s="5" t="s">
        <v>93</v>
      </c>
      <c r="AR420" s="5" t="s">
        <v>94</v>
      </c>
      <c r="AS420" t="s">
        <v>80</v>
      </c>
      <c r="AT420">
        <v>99.75</v>
      </c>
      <c r="AU420" t="s">
        <v>95</v>
      </c>
      <c r="AV420" t="s">
        <v>96</v>
      </c>
      <c r="AW420">
        <v>-8.6991940000000003</v>
      </c>
      <c r="AX420">
        <v>115.216222</v>
      </c>
      <c r="AY420" t="s">
        <v>506</v>
      </c>
      <c r="AZ420" t="s">
        <v>532</v>
      </c>
      <c r="BA420">
        <v>-8.6221666999999993</v>
      </c>
      <c r="BB420">
        <v>115.17478029999999</v>
      </c>
      <c r="BC420" t="s">
        <v>508</v>
      </c>
      <c r="BD420" t="s">
        <v>509</v>
      </c>
      <c r="BE420">
        <v>-8.6992445000000007</v>
      </c>
      <c r="BF420">
        <v>115.2139979</v>
      </c>
      <c r="BG420" t="s">
        <v>285</v>
      </c>
      <c r="BH420" t="s">
        <v>101</v>
      </c>
      <c r="BI420" t="s">
        <v>102</v>
      </c>
      <c r="BJ420">
        <v>3</v>
      </c>
      <c r="BL420">
        <v>4</v>
      </c>
      <c r="BM420" t="s">
        <v>103</v>
      </c>
      <c r="BN420">
        <v>131</v>
      </c>
      <c r="BO420" s="6">
        <v>0.15763888888888888</v>
      </c>
      <c r="BP420">
        <v>104.01</v>
      </c>
      <c r="BQ420">
        <v>95.52</v>
      </c>
      <c r="BR420">
        <v>103.81</v>
      </c>
    </row>
    <row r="421" spans="1:70" ht="15" customHeight="1" x14ac:dyDescent="0.35">
      <c r="A421" s="1" t="str">
        <f t="shared" si="22"/>
        <v>253H</v>
      </c>
      <c r="B421" t="s">
        <v>2168</v>
      </c>
      <c r="C421" t="s">
        <v>2169</v>
      </c>
      <c r="D421" t="s">
        <v>2170</v>
      </c>
      <c r="E421" t="s">
        <v>2171</v>
      </c>
      <c r="F421" t="s">
        <v>2069</v>
      </c>
      <c r="G421" t="s">
        <v>502</v>
      </c>
      <c r="H421" t="s">
        <v>502</v>
      </c>
      <c r="I421" t="s">
        <v>113</v>
      </c>
      <c r="J421" t="b">
        <v>0</v>
      </c>
      <c r="K421" t="s">
        <v>78</v>
      </c>
      <c r="L421" t="s">
        <v>79</v>
      </c>
      <c r="N421" t="s">
        <v>81</v>
      </c>
      <c r="O421" t="s">
        <v>82</v>
      </c>
      <c r="P421" t="s">
        <v>83</v>
      </c>
      <c r="Q421" t="s">
        <v>503</v>
      </c>
      <c r="R421">
        <v>24</v>
      </c>
      <c r="S421" t="s">
        <v>85</v>
      </c>
      <c r="T421" t="s">
        <v>85</v>
      </c>
      <c r="U421">
        <v>1111111</v>
      </c>
      <c r="V421" t="s">
        <v>86</v>
      </c>
      <c r="W421" t="s">
        <v>2164</v>
      </c>
      <c r="X421" t="s">
        <v>2165</v>
      </c>
      <c r="Y421" t="s">
        <v>89</v>
      </c>
      <c r="Z421" t="s">
        <v>90</v>
      </c>
      <c r="AA421" t="s">
        <v>2166</v>
      </c>
      <c r="AB421">
        <v>2</v>
      </c>
      <c r="AC421">
        <v>6</v>
      </c>
      <c r="AD421" t="b">
        <v>1</v>
      </c>
      <c r="AE421">
        <v>2021</v>
      </c>
      <c r="AF421" s="3">
        <v>367</v>
      </c>
      <c r="AG421" s="3">
        <v>44465</v>
      </c>
      <c r="AH421" s="3">
        <v>45565</v>
      </c>
      <c r="AJ421" s="4">
        <f>VLOOKUP(A421,'[1]1'!B:Q,16,0)</f>
        <v>1440</v>
      </c>
      <c r="AK421" s="7">
        <f t="shared" si="27"/>
        <v>5.76</v>
      </c>
      <c r="AL421" s="3">
        <v>44256</v>
      </c>
      <c r="AM421" s="3">
        <v>45443</v>
      </c>
      <c r="AN421">
        <v>-8.1468576000000006</v>
      </c>
      <c r="AO421">
        <v>114.660279</v>
      </c>
      <c r="AP421" t="s">
        <v>2172</v>
      </c>
      <c r="AQ421" s="5" t="s">
        <v>93</v>
      </c>
      <c r="AR421" t="s">
        <v>80</v>
      </c>
      <c r="AS421" t="s">
        <v>80</v>
      </c>
      <c r="AT421">
        <v>99.75</v>
      </c>
      <c r="AU421" t="s">
        <v>95</v>
      </c>
      <c r="AV421" t="s">
        <v>96</v>
      </c>
      <c r="AW421">
        <v>-8.6991940000000003</v>
      </c>
      <c r="AX421">
        <v>115.216222</v>
      </c>
      <c r="AY421" t="s">
        <v>506</v>
      </c>
      <c r="AZ421" t="s">
        <v>532</v>
      </c>
      <c r="BA421">
        <v>-8.6221666999999993</v>
      </c>
      <c r="BB421">
        <v>115.17478029999999</v>
      </c>
      <c r="BC421" t="s">
        <v>508</v>
      </c>
      <c r="BD421" t="s">
        <v>509</v>
      </c>
      <c r="BE421">
        <v>-8.6992445000000007</v>
      </c>
      <c r="BF421">
        <v>115.2139979</v>
      </c>
      <c r="BG421" t="s">
        <v>285</v>
      </c>
      <c r="BH421" t="s">
        <v>101</v>
      </c>
      <c r="BI421" t="s">
        <v>102</v>
      </c>
      <c r="BJ421">
        <v>3</v>
      </c>
      <c r="BL421">
        <v>3</v>
      </c>
      <c r="BM421" t="s">
        <v>103</v>
      </c>
      <c r="BN421">
        <v>114</v>
      </c>
      <c r="BO421" s="6">
        <v>0.15763888888888888</v>
      </c>
      <c r="BP421">
        <v>12776.98</v>
      </c>
      <c r="BQ421">
        <v>12773.04</v>
      </c>
      <c r="BR421">
        <v>12776.73</v>
      </c>
    </row>
    <row r="422" spans="1:70" ht="15" customHeight="1" x14ac:dyDescent="0.35">
      <c r="A422" s="1" t="str">
        <f t="shared" si="22"/>
        <v>0173</v>
      </c>
      <c r="B422" t="s">
        <v>2173</v>
      </c>
      <c r="C422" t="s">
        <v>2174</v>
      </c>
      <c r="D422" t="s">
        <v>2175</v>
      </c>
      <c r="E422" t="s">
        <v>2176</v>
      </c>
      <c r="F422" t="s">
        <v>2163</v>
      </c>
      <c r="G422" t="s">
        <v>502</v>
      </c>
      <c r="H422" t="s">
        <v>502</v>
      </c>
      <c r="I422" t="s">
        <v>77</v>
      </c>
      <c r="J422" t="b">
        <v>0</v>
      </c>
      <c r="K422" t="s">
        <v>78</v>
      </c>
      <c r="L422" t="s">
        <v>79</v>
      </c>
      <c r="N422" t="s">
        <v>81</v>
      </c>
      <c r="O422" t="s">
        <v>82</v>
      </c>
      <c r="P422" t="s">
        <v>83</v>
      </c>
      <c r="Q422" t="s">
        <v>503</v>
      </c>
      <c r="R422">
        <v>24</v>
      </c>
      <c r="S422" t="s">
        <v>85</v>
      </c>
      <c r="T422" t="s">
        <v>121</v>
      </c>
      <c r="U422">
        <v>1111111</v>
      </c>
      <c r="V422" t="s">
        <v>122</v>
      </c>
      <c r="W422" t="s">
        <v>2164</v>
      </c>
      <c r="X422" t="s">
        <v>2165</v>
      </c>
      <c r="Y422" t="s">
        <v>89</v>
      </c>
      <c r="Z422" t="s">
        <v>90</v>
      </c>
      <c r="AA422" t="s">
        <v>2166</v>
      </c>
      <c r="AB422">
        <v>1</v>
      </c>
      <c r="AC422">
        <v>6</v>
      </c>
      <c r="AD422" t="b">
        <v>1</v>
      </c>
      <c r="AE422">
        <v>2022</v>
      </c>
      <c r="AF422" s="3">
        <v>367</v>
      </c>
      <c r="AG422" s="3">
        <v>44726</v>
      </c>
      <c r="AH422" s="3">
        <v>45818</v>
      </c>
      <c r="AJ422" s="4">
        <f>VLOOKUP(A422,'[1]1'!B:Q,16,0)</f>
        <v>1440</v>
      </c>
      <c r="AK422" s="7">
        <f t="shared" si="27"/>
        <v>5.76</v>
      </c>
      <c r="AL422" s="3">
        <v>367</v>
      </c>
      <c r="AM422" s="3">
        <v>367</v>
      </c>
      <c r="AN422">
        <v>-8.3573941000000005</v>
      </c>
      <c r="AO422">
        <v>114.63075019999999</v>
      </c>
      <c r="AP422" t="s">
        <v>2177</v>
      </c>
      <c r="AT422">
        <v>99.75</v>
      </c>
      <c r="AW422">
        <v>0</v>
      </c>
      <c r="AX422">
        <v>0</v>
      </c>
      <c r="BA422">
        <v>0</v>
      </c>
      <c r="BB422">
        <v>0</v>
      </c>
      <c r="BE422">
        <v>0</v>
      </c>
      <c r="BF422">
        <v>0</v>
      </c>
      <c r="BJ422">
        <v>0</v>
      </c>
      <c r="BL422">
        <v>0</v>
      </c>
      <c r="BN422">
        <v>0</v>
      </c>
      <c r="BO422" s="6">
        <v>0</v>
      </c>
      <c r="BP422">
        <v>0</v>
      </c>
      <c r="BQ422">
        <v>0</v>
      </c>
      <c r="BR422">
        <v>0</v>
      </c>
    </row>
    <row r="423" spans="1:70" ht="15" customHeight="1" x14ac:dyDescent="0.35">
      <c r="A423" s="1" t="str">
        <f t="shared" si="22"/>
        <v>418Q</v>
      </c>
      <c r="B423" t="s">
        <v>2178</v>
      </c>
      <c r="C423" t="s">
        <v>2179</v>
      </c>
      <c r="D423" t="s">
        <v>2180</v>
      </c>
      <c r="E423" t="s">
        <v>2181</v>
      </c>
      <c r="F423" t="s">
        <v>2163</v>
      </c>
      <c r="G423" t="s">
        <v>502</v>
      </c>
      <c r="H423" t="s">
        <v>502</v>
      </c>
      <c r="I423" t="s">
        <v>148</v>
      </c>
      <c r="J423" t="b">
        <v>1</v>
      </c>
      <c r="K423" t="s">
        <v>78</v>
      </c>
      <c r="L423" t="s">
        <v>79</v>
      </c>
      <c r="N423" t="s">
        <v>81</v>
      </c>
      <c r="O423" t="s">
        <v>82</v>
      </c>
      <c r="P423" t="s">
        <v>83</v>
      </c>
      <c r="Q423" t="s">
        <v>503</v>
      </c>
      <c r="R423">
        <v>24</v>
      </c>
      <c r="S423" t="s">
        <v>85</v>
      </c>
      <c r="T423" t="s">
        <v>121</v>
      </c>
      <c r="U423">
        <v>1111111</v>
      </c>
      <c r="V423" t="s">
        <v>122</v>
      </c>
      <c r="W423" t="s">
        <v>2164</v>
      </c>
      <c r="X423" t="s">
        <v>2165</v>
      </c>
      <c r="Y423" t="s">
        <v>89</v>
      </c>
      <c r="Z423" t="s">
        <v>90</v>
      </c>
      <c r="AA423" t="s">
        <v>2166</v>
      </c>
      <c r="AB423">
        <v>2</v>
      </c>
      <c r="AC423">
        <v>6</v>
      </c>
      <c r="AD423" t="b">
        <v>1</v>
      </c>
      <c r="AE423">
        <v>2023</v>
      </c>
      <c r="AF423" s="3">
        <v>367</v>
      </c>
      <c r="AG423" s="3">
        <v>45054</v>
      </c>
      <c r="AH423" s="3">
        <v>46150</v>
      </c>
      <c r="AJ423" s="4">
        <f>VLOOKUP(A423,'[1]1'!B:Q,16,0)</f>
        <v>1440</v>
      </c>
      <c r="AK423" s="7">
        <f t="shared" si="27"/>
        <v>5.76</v>
      </c>
      <c r="AL423" s="3">
        <v>367</v>
      </c>
      <c r="AM423" s="3">
        <v>367</v>
      </c>
      <c r="AN423">
        <v>-8.2741121999999994</v>
      </c>
      <c r="AO423">
        <v>114.4982196</v>
      </c>
      <c r="AP423" t="s">
        <v>2182</v>
      </c>
      <c r="AT423">
        <v>99.75</v>
      </c>
      <c r="AW423">
        <v>0</v>
      </c>
      <c r="AX423">
        <v>0</v>
      </c>
      <c r="BA423">
        <v>0</v>
      </c>
      <c r="BB423">
        <v>0</v>
      </c>
      <c r="BE423">
        <v>0</v>
      </c>
      <c r="BF423">
        <v>0</v>
      </c>
      <c r="BJ423">
        <v>0</v>
      </c>
      <c r="BL423">
        <v>0</v>
      </c>
      <c r="BN423">
        <v>0</v>
      </c>
      <c r="BO423" s="6">
        <v>0</v>
      </c>
      <c r="BP423">
        <v>0</v>
      </c>
      <c r="BQ423">
        <v>0</v>
      </c>
      <c r="BR423">
        <v>0</v>
      </c>
    </row>
    <row r="424" spans="1:70" ht="15" customHeight="1" x14ac:dyDescent="0.35">
      <c r="A424" s="1" t="str">
        <f t="shared" si="22"/>
        <v>ZRR5</v>
      </c>
      <c r="B424" t="s">
        <v>2183</v>
      </c>
      <c r="C424" t="s">
        <v>2184</v>
      </c>
      <c r="D424" t="s">
        <v>2185</v>
      </c>
      <c r="E424" t="s">
        <v>2186</v>
      </c>
      <c r="F424" t="s">
        <v>2163</v>
      </c>
      <c r="G424" t="s">
        <v>502</v>
      </c>
      <c r="H424" t="s">
        <v>502</v>
      </c>
      <c r="I424" t="s">
        <v>137</v>
      </c>
      <c r="J424" t="b">
        <v>0</v>
      </c>
      <c r="K424" t="s">
        <v>154</v>
      </c>
      <c r="L424" t="s">
        <v>155</v>
      </c>
      <c r="N424" t="s">
        <v>81</v>
      </c>
      <c r="O424" t="s">
        <v>82</v>
      </c>
      <c r="P424" t="s">
        <v>83</v>
      </c>
      <c r="Q424" t="s">
        <v>503</v>
      </c>
      <c r="R424">
        <v>24</v>
      </c>
      <c r="S424" t="s">
        <v>85</v>
      </c>
      <c r="T424" t="s">
        <v>121</v>
      </c>
      <c r="U424">
        <v>1111111</v>
      </c>
      <c r="V424" t="s">
        <v>122</v>
      </c>
      <c r="W424" t="s">
        <v>2164</v>
      </c>
      <c r="X424" t="s">
        <v>2165</v>
      </c>
      <c r="Y424" t="s">
        <v>89</v>
      </c>
      <c r="Z424" t="s">
        <v>90</v>
      </c>
      <c r="AA424" t="s">
        <v>2166</v>
      </c>
      <c r="AB424">
        <v>1</v>
      </c>
      <c r="AC424">
        <v>6</v>
      </c>
      <c r="AD424" t="b">
        <v>1</v>
      </c>
      <c r="AE424">
        <v>2023</v>
      </c>
      <c r="AF424" s="3">
        <v>367</v>
      </c>
      <c r="AG424" s="3">
        <v>45096</v>
      </c>
      <c r="AH424" s="3">
        <v>46174</v>
      </c>
      <c r="AJ424" s="4"/>
      <c r="AK424" s="4"/>
      <c r="AL424" s="3">
        <v>367</v>
      </c>
      <c r="AM424" s="3">
        <v>367</v>
      </c>
      <c r="AN424">
        <v>-8.3670805000000001</v>
      </c>
      <c r="AO424">
        <v>114.6190379</v>
      </c>
      <c r="AP424" t="s">
        <v>2187</v>
      </c>
      <c r="AT424">
        <v>99.2</v>
      </c>
      <c r="AW424">
        <v>0</v>
      </c>
      <c r="AX424">
        <v>0</v>
      </c>
      <c r="BA424">
        <v>0</v>
      </c>
      <c r="BB424">
        <v>0</v>
      </c>
      <c r="BE424">
        <v>0</v>
      </c>
      <c r="BF424">
        <v>0</v>
      </c>
      <c r="BJ424">
        <v>0</v>
      </c>
      <c r="BL424">
        <v>0</v>
      </c>
      <c r="BN424">
        <v>0</v>
      </c>
      <c r="BO424" s="6">
        <v>0</v>
      </c>
      <c r="BP424">
        <v>0</v>
      </c>
      <c r="BQ424">
        <v>0</v>
      </c>
      <c r="BR424">
        <v>0</v>
      </c>
    </row>
    <row r="425" spans="1:70" ht="15" customHeight="1" x14ac:dyDescent="0.35">
      <c r="A425" s="1" t="str">
        <f t="shared" si="22"/>
        <v>ZRT5</v>
      </c>
      <c r="B425" t="s">
        <v>2188</v>
      </c>
      <c r="C425" t="s">
        <v>2189</v>
      </c>
      <c r="D425" t="s">
        <v>2190</v>
      </c>
      <c r="E425" t="s">
        <v>2191</v>
      </c>
      <c r="F425" t="s">
        <v>2163</v>
      </c>
      <c r="G425" t="s">
        <v>502</v>
      </c>
      <c r="H425" t="s">
        <v>502</v>
      </c>
      <c r="I425" t="s">
        <v>137</v>
      </c>
      <c r="J425" t="b">
        <v>0</v>
      </c>
      <c r="K425" t="s">
        <v>154</v>
      </c>
      <c r="L425" t="s">
        <v>155</v>
      </c>
      <c r="N425" t="s">
        <v>81</v>
      </c>
      <c r="O425" t="s">
        <v>82</v>
      </c>
      <c r="P425" t="s">
        <v>83</v>
      </c>
      <c r="Q425" t="s">
        <v>503</v>
      </c>
      <c r="R425">
        <v>24</v>
      </c>
      <c r="S425" t="s">
        <v>85</v>
      </c>
      <c r="T425" t="s">
        <v>121</v>
      </c>
      <c r="U425">
        <v>1111111</v>
      </c>
      <c r="V425" t="s">
        <v>122</v>
      </c>
      <c r="W425" t="s">
        <v>2164</v>
      </c>
      <c r="X425" t="s">
        <v>2165</v>
      </c>
      <c r="Y425" t="s">
        <v>89</v>
      </c>
      <c r="Z425" t="s">
        <v>90</v>
      </c>
      <c r="AA425" t="s">
        <v>2166</v>
      </c>
      <c r="AB425">
        <v>1</v>
      </c>
      <c r="AC425">
        <v>6</v>
      </c>
      <c r="AD425" t="b">
        <v>1</v>
      </c>
      <c r="AE425">
        <v>2023</v>
      </c>
      <c r="AF425" s="3">
        <v>367</v>
      </c>
      <c r="AG425" s="3">
        <v>45096</v>
      </c>
      <c r="AH425" s="3">
        <v>46174</v>
      </c>
      <c r="AJ425" s="4"/>
      <c r="AK425" s="4"/>
      <c r="AL425" s="3">
        <v>367</v>
      </c>
      <c r="AM425" s="3">
        <v>367</v>
      </c>
      <c r="AN425">
        <v>-8.3548033000000004</v>
      </c>
      <c r="AO425">
        <v>114.6126287</v>
      </c>
      <c r="AP425" t="s">
        <v>2192</v>
      </c>
      <c r="AT425">
        <v>99.2</v>
      </c>
      <c r="AW425">
        <v>0</v>
      </c>
      <c r="AX425">
        <v>0</v>
      </c>
      <c r="BA425">
        <v>0</v>
      </c>
      <c r="BB425">
        <v>0</v>
      </c>
      <c r="BE425">
        <v>0</v>
      </c>
      <c r="BF425">
        <v>0</v>
      </c>
      <c r="BJ425">
        <v>0</v>
      </c>
      <c r="BL425">
        <v>0</v>
      </c>
      <c r="BN425">
        <v>0</v>
      </c>
      <c r="BO425" s="6">
        <v>0</v>
      </c>
      <c r="BP425">
        <v>0</v>
      </c>
      <c r="BQ425">
        <v>0</v>
      </c>
      <c r="BR425">
        <v>0</v>
      </c>
    </row>
    <row r="426" spans="1:70" ht="15" customHeight="1" x14ac:dyDescent="0.35">
      <c r="A426" s="1" t="str">
        <f t="shared" si="22"/>
        <v>00BH</v>
      </c>
      <c r="B426" t="s">
        <v>2193</v>
      </c>
      <c r="C426" t="s">
        <v>2194</v>
      </c>
      <c r="D426" t="s">
        <v>2195</v>
      </c>
      <c r="E426" t="s">
        <v>2196</v>
      </c>
      <c r="F426" t="s">
        <v>2163</v>
      </c>
      <c r="G426" t="s">
        <v>502</v>
      </c>
      <c r="H426" t="s">
        <v>502</v>
      </c>
      <c r="I426" t="s">
        <v>137</v>
      </c>
      <c r="J426" t="b">
        <v>0</v>
      </c>
      <c r="K426" t="s">
        <v>78</v>
      </c>
      <c r="L426" t="s">
        <v>79</v>
      </c>
      <c r="N426" t="s">
        <v>81</v>
      </c>
      <c r="O426" t="s">
        <v>82</v>
      </c>
      <c r="P426" t="s">
        <v>83</v>
      </c>
      <c r="Q426" t="s">
        <v>503</v>
      </c>
      <c r="R426">
        <v>24</v>
      </c>
      <c r="S426" t="s">
        <v>85</v>
      </c>
      <c r="T426" t="s">
        <v>179</v>
      </c>
      <c r="U426">
        <v>1111111</v>
      </c>
      <c r="V426" t="s">
        <v>122</v>
      </c>
      <c r="W426" t="s">
        <v>2164</v>
      </c>
      <c r="X426" t="s">
        <v>2165</v>
      </c>
      <c r="Y426" t="s">
        <v>89</v>
      </c>
      <c r="Z426" t="s">
        <v>90</v>
      </c>
      <c r="AA426" t="s">
        <v>2166</v>
      </c>
      <c r="AB426">
        <v>1</v>
      </c>
      <c r="AC426">
        <v>6</v>
      </c>
      <c r="AD426" t="b">
        <v>1</v>
      </c>
      <c r="AE426">
        <v>2023</v>
      </c>
      <c r="AF426" s="3">
        <v>367</v>
      </c>
      <c r="AG426" s="3">
        <v>45355</v>
      </c>
      <c r="AH426" s="3">
        <v>46476</v>
      </c>
      <c r="AJ426" s="4"/>
      <c r="AK426" s="4"/>
      <c r="AL426" s="3">
        <v>367</v>
      </c>
      <c r="AM426" s="3">
        <v>367</v>
      </c>
      <c r="AN426">
        <v>-8.3449723000000002</v>
      </c>
      <c r="AO426">
        <v>114.57190199999999</v>
      </c>
      <c r="AP426" t="s">
        <v>2197</v>
      </c>
      <c r="AT426">
        <v>99.75</v>
      </c>
      <c r="AW426">
        <v>0</v>
      </c>
      <c r="AX426">
        <v>0</v>
      </c>
      <c r="BA426">
        <v>0</v>
      </c>
      <c r="BB426">
        <v>0</v>
      </c>
      <c r="BE426">
        <v>0</v>
      </c>
      <c r="BF426">
        <v>0</v>
      </c>
      <c r="BJ426">
        <v>0</v>
      </c>
      <c r="BL426">
        <v>0</v>
      </c>
      <c r="BN426">
        <v>0</v>
      </c>
      <c r="BO426" s="6">
        <v>0</v>
      </c>
      <c r="BP426">
        <v>0</v>
      </c>
      <c r="BQ426">
        <v>0</v>
      </c>
      <c r="BR426">
        <v>0</v>
      </c>
    </row>
    <row r="427" spans="1:70" ht="15" customHeight="1" x14ac:dyDescent="0.35">
      <c r="A427" s="1" t="str">
        <f t="shared" si="22"/>
        <v>00BJ</v>
      </c>
      <c r="B427" t="s">
        <v>2198</v>
      </c>
      <c r="C427" t="s">
        <v>2199</v>
      </c>
      <c r="D427" t="s">
        <v>2200</v>
      </c>
      <c r="E427" t="s">
        <v>2201</v>
      </c>
      <c r="F427" t="s">
        <v>2163</v>
      </c>
      <c r="G427" t="s">
        <v>502</v>
      </c>
      <c r="H427" t="s">
        <v>502</v>
      </c>
      <c r="I427" t="s">
        <v>137</v>
      </c>
      <c r="J427" t="b">
        <v>0</v>
      </c>
      <c r="K427" t="s">
        <v>78</v>
      </c>
      <c r="L427" t="s">
        <v>79</v>
      </c>
      <c r="N427" t="s">
        <v>81</v>
      </c>
      <c r="O427" t="s">
        <v>82</v>
      </c>
      <c r="P427" t="s">
        <v>83</v>
      </c>
      <c r="Q427" t="s">
        <v>503</v>
      </c>
      <c r="R427">
        <v>17</v>
      </c>
      <c r="S427" t="s">
        <v>162</v>
      </c>
      <c r="T427" t="s">
        <v>121</v>
      </c>
      <c r="U427">
        <v>1111111</v>
      </c>
      <c r="V427" t="s">
        <v>122</v>
      </c>
      <c r="W427" t="s">
        <v>2164</v>
      </c>
      <c r="X427" t="s">
        <v>2165</v>
      </c>
      <c r="Y427" t="s">
        <v>89</v>
      </c>
      <c r="Z427" t="s">
        <v>90</v>
      </c>
      <c r="AA427" t="s">
        <v>2166</v>
      </c>
      <c r="AB427">
        <v>2</v>
      </c>
      <c r="AC427">
        <v>6</v>
      </c>
      <c r="AD427" t="b">
        <v>1</v>
      </c>
      <c r="AE427">
        <v>2024</v>
      </c>
      <c r="AF427" s="3">
        <v>367</v>
      </c>
      <c r="AG427" s="3">
        <v>45359</v>
      </c>
      <c r="AH427" s="3">
        <v>46454</v>
      </c>
      <c r="AJ427" s="4"/>
      <c r="AK427" s="4"/>
      <c r="AL427" s="3">
        <v>367</v>
      </c>
      <c r="AM427" s="3">
        <v>367</v>
      </c>
      <c r="AN427">
        <v>-8.3912320000000005</v>
      </c>
      <c r="AO427">
        <v>114.7521553</v>
      </c>
      <c r="AP427" t="s">
        <v>2202</v>
      </c>
      <c r="AT427">
        <v>99.75</v>
      </c>
      <c r="AW427">
        <v>0</v>
      </c>
      <c r="AX427">
        <v>0</v>
      </c>
      <c r="BA427">
        <v>0</v>
      </c>
      <c r="BB427">
        <v>0</v>
      </c>
      <c r="BE427">
        <v>0</v>
      </c>
      <c r="BF427">
        <v>0</v>
      </c>
      <c r="BJ427">
        <v>0</v>
      </c>
      <c r="BL427">
        <v>0</v>
      </c>
      <c r="BN427">
        <v>0</v>
      </c>
      <c r="BO427" s="6">
        <v>0</v>
      </c>
      <c r="BP427">
        <v>0</v>
      </c>
      <c r="BQ427">
        <v>0</v>
      </c>
      <c r="BR427">
        <v>0</v>
      </c>
    </row>
    <row r="428" spans="1:70" ht="15" customHeight="1" x14ac:dyDescent="0.35">
      <c r="A428" s="1" t="str">
        <f t="shared" si="22"/>
        <v>Z7TR</v>
      </c>
      <c r="B428" t="s">
        <v>2203</v>
      </c>
      <c r="C428" t="s">
        <v>2204</v>
      </c>
      <c r="D428" t="s">
        <v>2205</v>
      </c>
      <c r="E428" s="5" t="s">
        <v>2206</v>
      </c>
      <c r="F428" t="s">
        <v>2163</v>
      </c>
      <c r="G428" t="s">
        <v>502</v>
      </c>
      <c r="H428" t="s">
        <v>502</v>
      </c>
      <c r="I428" t="s">
        <v>148</v>
      </c>
      <c r="J428" t="b">
        <v>0</v>
      </c>
      <c r="K428" t="s">
        <v>154</v>
      </c>
      <c r="L428" t="s">
        <v>214</v>
      </c>
      <c r="N428" t="s">
        <v>81</v>
      </c>
      <c r="O428" t="s">
        <v>82</v>
      </c>
      <c r="P428" t="s">
        <v>83</v>
      </c>
      <c r="Q428" t="s">
        <v>503</v>
      </c>
      <c r="R428">
        <v>24</v>
      </c>
      <c r="S428" t="s">
        <v>85</v>
      </c>
      <c r="T428" t="s">
        <v>179</v>
      </c>
      <c r="U428">
        <v>1111111</v>
      </c>
      <c r="V428" t="s">
        <v>122</v>
      </c>
      <c r="W428" t="s">
        <v>2164</v>
      </c>
      <c r="X428" t="s">
        <v>2165</v>
      </c>
      <c r="Y428" t="s">
        <v>89</v>
      </c>
      <c r="Z428" t="s">
        <v>90</v>
      </c>
      <c r="AA428" t="s">
        <v>2166</v>
      </c>
      <c r="AB428">
        <v>1</v>
      </c>
      <c r="AC428">
        <v>6</v>
      </c>
      <c r="AD428" t="b">
        <v>1</v>
      </c>
      <c r="AE428">
        <v>2024</v>
      </c>
      <c r="AF428" s="3">
        <v>367</v>
      </c>
      <c r="AG428" s="3">
        <v>45447</v>
      </c>
      <c r="AH428" s="3">
        <v>46542</v>
      </c>
      <c r="AJ428" s="4"/>
      <c r="AK428" s="4"/>
      <c r="AL428" s="3">
        <v>367</v>
      </c>
      <c r="AM428" s="3">
        <v>367</v>
      </c>
      <c r="AN428">
        <v>-8.3606423999999997</v>
      </c>
      <c r="AO428">
        <v>114.6287446</v>
      </c>
      <c r="AP428" t="s">
        <v>2207</v>
      </c>
      <c r="AT428">
        <v>99.2</v>
      </c>
      <c r="AW428">
        <v>0</v>
      </c>
      <c r="AX428">
        <v>0</v>
      </c>
      <c r="BA428">
        <v>0</v>
      </c>
      <c r="BB428">
        <v>0</v>
      </c>
      <c r="BE428">
        <v>0</v>
      </c>
      <c r="BF428">
        <v>0</v>
      </c>
      <c r="BJ428">
        <v>0</v>
      </c>
      <c r="BL428">
        <v>0</v>
      </c>
      <c r="BN428">
        <v>0</v>
      </c>
      <c r="BO428" s="6">
        <v>0</v>
      </c>
      <c r="BP428">
        <v>0</v>
      </c>
      <c r="BQ428">
        <v>0</v>
      </c>
      <c r="BR428">
        <v>0</v>
      </c>
    </row>
    <row r="429" spans="1:70" ht="15" customHeight="1" x14ac:dyDescent="0.35">
      <c r="A429" s="1" t="str">
        <f t="shared" si="22"/>
        <v>Z7Z6</v>
      </c>
      <c r="B429" t="s">
        <v>2208</v>
      </c>
      <c r="C429" t="s">
        <v>2209</v>
      </c>
      <c r="D429" t="s">
        <v>2210</v>
      </c>
      <c r="E429" t="s">
        <v>2211</v>
      </c>
      <c r="F429" t="s">
        <v>2163</v>
      </c>
      <c r="G429" t="s">
        <v>502</v>
      </c>
      <c r="H429" t="s">
        <v>502</v>
      </c>
      <c r="I429" t="s">
        <v>2212</v>
      </c>
      <c r="J429" t="b">
        <v>0</v>
      </c>
      <c r="K429" t="s">
        <v>154</v>
      </c>
      <c r="L429" t="s">
        <v>214</v>
      </c>
      <c r="N429" t="s">
        <v>81</v>
      </c>
      <c r="O429" t="s">
        <v>82</v>
      </c>
      <c r="P429" t="s">
        <v>83</v>
      </c>
      <c r="Q429" t="s">
        <v>503</v>
      </c>
      <c r="R429">
        <v>24</v>
      </c>
      <c r="S429" t="s">
        <v>85</v>
      </c>
      <c r="T429" t="s">
        <v>179</v>
      </c>
      <c r="U429">
        <v>1111111</v>
      </c>
      <c r="V429" t="s">
        <v>122</v>
      </c>
      <c r="W429" t="s">
        <v>2164</v>
      </c>
      <c r="X429" t="s">
        <v>2165</v>
      </c>
      <c r="Y429" t="s">
        <v>89</v>
      </c>
      <c r="Z429" t="s">
        <v>90</v>
      </c>
      <c r="AA429" t="s">
        <v>2166</v>
      </c>
      <c r="AB429">
        <v>1</v>
      </c>
      <c r="AC429">
        <v>6</v>
      </c>
      <c r="AD429" t="b">
        <v>1</v>
      </c>
      <c r="AE429">
        <v>2024</v>
      </c>
      <c r="AF429" s="3">
        <v>367</v>
      </c>
      <c r="AG429" s="3">
        <v>45447</v>
      </c>
      <c r="AH429" s="3">
        <v>46542</v>
      </c>
      <c r="AJ429" s="4"/>
      <c r="AK429" s="4"/>
      <c r="AL429" s="3">
        <v>367</v>
      </c>
      <c r="AM429" s="3">
        <v>367</v>
      </c>
      <c r="AN429">
        <v>-8.3852483000000007</v>
      </c>
      <c r="AO429">
        <v>114.706265</v>
      </c>
      <c r="AP429" t="s">
        <v>2211</v>
      </c>
      <c r="AT429">
        <v>99.2</v>
      </c>
      <c r="AW429">
        <v>0</v>
      </c>
      <c r="AX429">
        <v>0</v>
      </c>
      <c r="BA429">
        <v>0</v>
      </c>
      <c r="BB429">
        <v>0</v>
      </c>
      <c r="BE429">
        <v>0</v>
      </c>
      <c r="BF429">
        <v>0</v>
      </c>
      <c r="BJ429">
        <v>0</v>
      </c>
      <c r="BL429">
        <v>0</v>
      </c>
      <c r="BN429">
        <v>0</v>
      </c>
      <c r="BO429" s="6">
        <v>0</v>
      </c>
      <c r="BP429">
        <v>0</v>
      </c>
      <c r="BQ429">
        <v>0</v>
      </c>
      <c r="BR429">
        <v>0</v>
      </c>
    </row>
    <row r="430" spans="1:70" ht="15" customHeight="1" x14ac:dyDescent="0.35">
      <c r="A430" s="1" t="str">
        <f t="shared" si="22"/>
        <v>00LT</v>
      </c>
      <c r="B430" t="s">
        <v>2213</v>
      </c>
      <c r="C430" t="s">
        <v>2214</v>
      </c>
      <c r="D430" t="s">
        <v>2215</v>
      </c>
      <c r="E430" t="s">
        <v>2216</v>
      </c>
      <c r="F430" t="s">
        <v>2069</v>
      </c>
      <c r="G430" t="s">
        <v>502</v>
      </c>
      <c r="H430" t="s">
        <v>502</v>
      </c>
      <c r="I430" t="s">
        <v>137</v>
      </c>
      <c r="J430" t="b">
        <v>0</v>
      </c>
      <c r="K430" t="s">
        <v>78</v>
      </c>
      <c r="L430" t="s">
        <v>79</v>
      </c>
      <c r="N430" t="s">
        <v>81</v>
      </c>
      <c r="O430" t="s">
        <v>82</v>
      </c>
      <c r="P430" t="s">
        <v>83</v>
      </c>
      <c r="Q430" t="s">
        <v>503</v>
      </c>
      <c r="R430">
        <v>24</v>
      </c>
      <c r="S430" t="s">
        <v>85</v>
      </c>
      <c r="T430" t="s">
        <v>179</v>
      </c>
      <c r="U430">
        <v>1111111</v>
      </c>
      <c r="V430" t="s">
        <v>122</v>
      </c>
      <c r="W430" t="s">
        <v>2164</v>
      </c>
      <c r="X430" t="s">
        <v>2165</v>
      </c>
      <c r="Y430" t="s">
        <v>89</v>
      </c>
      <c r="Z430" t="s">
        <v>90</v>
      </c>
      <c r="AA430" t="s">
        <v>2166</v>
      </c>
      <c r="AB430">
        <v>2</v>
      </c>
      <c r="AC430">
        <v>6</v>
      </c>
      <c r="AD430" t="b">
        <v>1</v>
      </c>
      <c r="AE430">
        <v>2023</v>
      </c>
      <c r="AF430" s="3">
        <v>367</v>
      </c>
      <c r="AG430" s="3">
        <v>45509</v>
      </c>
      <c r="AH430" s="3">
        <v>46629</v>
      </c>
      <c r="AJ430" s="4"/>
      <c r="AK430" s="4"/>
      <c r="AL430" s="3">
        <v>367</v>
      </c>
      <c r="AM430" s="3">
        <v>367</v>
      </c>
      <c r="AN430">
        <v>-8.1439184000000004</v>
      </c>
      <c r="AO430">
        <v>114.6199951</v>
      </c>
      <c r="AP430" t="s">
        <v>2216</v>
      </c>
      <c r="AT430">
        <v>99.75</v>
      </c>
      <c r="AW430">
        <v>0</v>
      </c>
      <c r="AX430">
        <v>0</v>
      </c>
      <c r="BA430">
        <v>0</v>
      </c>
      <c r="BB430">
        <v>0</v>
      </c>
      <c r="BE430">
        <v>0</v>
      </c>
      <c r="BF430">
        <v>0</v>
      </c>
      <c r="BJ430">
        <v>0</v>
      </c>
      <c r="BL430">
        <v>0</v>
      </c>
      <c r="BN430">
        <v>0</v>
      </c>
      <c r="BO430" s="6">
        <v>0</v>
      </c>
      <c r="BP430">
        <v>0</v>
      </c>
      <c r="BQ430">
        <v>0</v>
      </c>
      <c r="BR430">
        <v>0</v>
      </c>
    </row>
    <row r="431" spans="1:70" ht="15" customHeight="1" x14ac:dyDescent="0.35">
      <c r="A431" s="1" t="str">
        <f t="shared" si="22"/>
        <v>Z24M</v>
      </c>
      <c r="B431" t="s">
        <v>2217</v>
      </c>
      <c r="C431" t="s">
        <v>2218</v>
      </c>
      <c r="D431" t="s">
        <v>2219</v>
      </c>
      <c r="E431" t="s">
        <v>2220</v>
      </c>
      <c r="F431" t="s">
        <v>501</v>
      </c>
      <c r="G431" t="s">
        <v>502</v>
      </c>
      <c r="H431" t="s">
        <v>502</v>
      </c>
      <c r="I431" t="s">
        <v>137</v>
      </c>
      <c r="J431" t="b">
        <v>0</v>
      </c>
      <c r="K431" t="s">
        <v>154</v>
      </c>
      <c r="L431" t="s">
        <v>214</v>
      </c>
      <c r="N431" t="s">
        <v>81</v>
      </c>
      <c r="O431" t="s">
        <v>82</v>
      </c>
      <c r="P431" t="s">
        <v>83</v>
      </c>
      <c r="Q431" t="s">
        <v>503</v>
      </c>
      <c r="R431">
        <v>15</v>
      </c>
      <c r="S431" t="s">
        <v>121</v>
      </c>
      <c r="T431" t="s">
        <v>179</v>
      </c>
      <c r="U431">
        <v>1111111</v>
      </c>
      <c r="V431" t="s">
        <v>122</v>
      </c>
      <c r="W431" t="s">
        <v>2164</v>
      </c>
      <c r="X431" t="s">
        <v>2165</v>
      </c>
      <c r="Y431" t="s">
        <v>89</v>
      </c>
      <c r="Z431" t="s">
        <v>90</v>
      </c>
      <c r="AA431" t="s">
        <v>2166</v>
      </c>
      <c r="AB431">
        <v>2</v>
      </c>
      <c r="AC431">
        <v>6</v>
      </c>
      <c r="AD431" t="b">
        <v>1</v>
      </c>
      <c r="AE431">
        <v>2023</v>
      </c>
      <c r="AF431" s="3">
        <v>367</v>
      </c>
      <c r="AG431" s="3">
        <v>45527</v>
      </c>
      <c r="AH431" s="3">
        <v>46630</v>
      </c>
      <c r="AJ431" s="4"/>
      <c r="AK431" s="4"/>
      <c r="AL431" s="3">
        <v>367</v>
      </c>
      <c r="AM431" s="3">
        <v>367</v>
      </c>
      <c r="AN431">
        <v>-8.2775470999999996</v>
      </c>
      <c r="AO431">
        <v>114.5005292</v>
      </c>
      <c r="AP431" t="s">
        <v>2220</v>
      </c>
      <c r="AT431">
        <v>99.2</v>
      </c>
      <c r="AW431">
        <v>0</v>
      </c>
      <c r="AX431">
        <v>0</v>
      </c>
      <c r="BA431">
        <v>0</v>
      </c>
      <c r="BB431">
        <v>0</v>
      </c>
      <c r="BE431">
        <v>0</v>
      </c>
      <c r="BF431">
        <v>0</v>
      </c>
      <c r="BJ431">
        <v>0</v>
      </c>
      <c r="BL431">
        <v>0</v>
      </c>
      <c r="BN431">
        <v>0</v>
      </c>
      <c r="BO431" s="6">
        <v>0</v>
      </c>
      <c r="BP431">
        <v>0</v>
      </c>
      <c r="BQ431">
        <v>0</v>
      </c>
      <c r="BR431">
        <v>0</v>
      </c>
    </row>
    <row r="432" spans="1:70" ht="15" customHeight="1" x14ac:dyDescent="0.35">
      <c r="A432" s="1" t="str">
        <f t="shared" si="22"/>
        <v>00UP</v>
      </c>
      <c r="B432" t="s">
        <v>2221</v>
      </c>
      <c r="C432" t="s">
        <v>2222</v>
      </c>
      <c r="D432" t="s">
        <v>2223</v>
      </c>
      <c r="E432" t="s">
        <v>2224</v>
      </c>
      <c r="F432" t="s">
        <v>2163</v>
      </c>
      <c r="G432" t="s">
        <v>502</v>
      </c>
      <c r="H432" t="s">
        <v>502</v>
      </c>
      <c r="I432" t="s">
        <v>77</v>
      </c>
      <c r="J432" t="b">
        <v>0</v>
      </c>
      <c r="K432" t="s">
        <v>78</v>
      </c>
      <c r="L432" t="s">
        <v>79</v>
      </c>
      <c r="N432" t="s">
        <v>81</v>
      </c>
      <c r="O432" t="s">
        <v>82</v>
      </c>
      <c r="P432" t="s">
        <v>83</v>
      </c>
      <c r="Q432" t="s">
        <v>503</v>
      </c>
      <c r="R432">
        <v>24</v>
      </c>
      <c r="S432" t="s">
        <v>85</v>
      </c>
      <c r="T432" t="s">
        <v>85</v>
      </c>
      <c r="U432">
        <v>1111111</v>
      </c>
      <c r="V432" t="s">
        <v>122</v>
      </c>
      <c r="W432" t="s">
        <v>2164</v>
      </c>
      <c r="X432" t="s">
        <v>2165</v>
      </c>
      <c r="Y432" t="s">
        <v>89</v>
      </c>
      <c r="Z432" t="s">
        <v>90</v>
      </c>
      <c r="AA432" t="s">
        <v>2166</v>
      </c>
      <c r="AB432">
        <v>1</v>
      </c>
      <c r="AC432">
        <v>6</v>
      </c>
      <c r="AD432" t="b">
        <v>1</v>
      </c>
      <c r="AE432">
        <v>2025</v>
      </c>
      <c r="AF432" s="3">
        <v>367</v>
      </c>
      <c r="AG432" s="3">
        <v>45707</v>
      </c>
      <c r="AH432" s="3">
        <v>46802</v>
      </c>
      <c r="AJ432" s="4"/>
      <c r="AK432" s="4"/>
      <c r="AL432" s="3">
        <v>367</v>
      </c>
      <c r="AM432" s="3">
        <v>367</v>
      </c>
      <c r="AN432">
        <v>-8.3667399000000007</v>
      </c>
      <c r="AO432">
        <v>114.66170030000001</v>
      </c>
      <c r="AP432" t="s">
        <v>2225</v>
      </c>
      <c r="AT432">
        <v>99.75</v>
      </c>
      <c r="AW432">
        <v>0</v>
      </c>
      <c r="AX432">
        <v>0</v>
      </c>
      <c r="BA432">
        <v>0</v>
      </c>
      <c r="BB432">
        <v>0</v>
      </c>
      <c r="BE432">
        <v>0</v>
      </c>
      <c r="BF432">
        <v>0</v>
      </c>
      <c r="BJ432">
        <v>0</v>
      </c>
      <c r="BL432">
        <v>0</v>
      </c>
      <c r="BN432">
        <v>0</v>
      </c>
      <c r="BO432" s="6">
        <v>0</v>
      </c>
      <c r="BP432">
        <v>0</v>
      </c>
      <c r="BQ432">
        <v>0</v>
      </c>
      <c r="BR432">
        <v>0</v>
      </c>
    </row>
    <row r="433" spans="1:70" ht="15" customHeight="1" x14ac:dyDescent="0.35">
      <c r="A433" s="1" t="str">
        <f t="shared" si="22"/>
        <v>454Q</v>
      </c>
      <c r="B433" t="s">
        <v>2226</v>
      </c>
      <c r="C433" t="s">
        <v>2227</v>
      </c>
      <c r="D433" t="s">
        <v>2228</v>
      </c>
      <c r="E433" t="s">
        <v>2229</v>
      </c>
      <c r="F433" t="s">
        <v>2230</v>
      </c>
      <c r="G433" t="s">
        <v>240</v>
      </c>
      <c r="H433" t="s">
        <v>241</v>
      </c>
      <c r="I433" t="s">
        <v>137</v>
      </c>
      <c r="J433" t="b">
        <v>0</v>
      </c>
      <c r="K433" t="s">
        <v>78</v>
      </c>
      <c r="L433" t="s">
        <v>79</v>
      </c>
      <c r="M433" t="s">
        <v>80</v>
      </c>
      <c r="N433" t="s">
        <v>81</v>
      </c>
      <c r="O433" t="s">
        <v>82</v>
      </c>
      <c r="P433" t="s">
        <v>83</v>
      </c>
      <c r="Q433" t="s">
        <v>242</v>
      </c>
      <c r="R433">
        <v>24</v>
      </c>
      <c r="S433" t="s">
        <v>85</v>
      </c>
      <c r="T433" t="s">
        <v>85</v>
      </c>
      <c r="U433">
        <v>1111111</v>
      </c>
      <c r="V433" t="s">
        <v>86</v>
      </c>
      <c r="W433" t="s">
        <v>2231</v>
      </c>
      <c r="X433" t="s">
        <v>2232</v>
      </c>
      <c r="Y433" t="s">
        <v>89</v>
      </c>
      <c r="Z433" t="s">
        <v>90</v>
      </c>
      <c r="AA433" t="s">
        <v>2233</v>
      </c>
      <c r="AB433">
        <v>1</v>
      </c>
      <c r="AC433">
        <v>6</v>
      </c>
      <c r="AD433" t="b">
        <v>1</v>
      </c>
      <c r="AE433">
        <v>2014</v>
      </c>
      <c r="AF433" s="3">
        <v>44463</v>
      </c>
      <c r="AG433" s="3">
        <v>44463</v>
      </c>
      <c r="AH433" s="3">
        <v>45653</v>
      </c>
      <c r="AJ433" s="4">
        <f>VLOOKUP(A433,'[1]1'!B:Q,16,0)</f>
        <v>1440</v>
      </c>
      <c r="AK433" s="7">
        <f t="shared" ref="AK433:AK435" si="28">AJ433/250</f>
        <v>5.76</v>
      </c>
      <c r="AL433" s="3">
        <v>44256</v>
      </c>
      <c r="AM433" s="3">
        <v>45443</v>
      </c>
      <c r="AN433">
        <v>-8.6288856000000003</v>
      </c>
      <c r="AO433">
        <v>116.45601910000001</v>
      </c>
      <c r="AP433" t="s">
        <v>2234</v>
      </c>
      <c r="AQ433" s="5" t="s">
        <v>93</v>
      </c>
      <c r="AR433" s="5" t="s">
        <v>94</v>
      </c>
      <c r="AS433" t="s">
        <v>80</v>
      </c>
      <c r="AT433">
        <v>99.75</v>
      </c>
      <c r="AU433" t="s">
        <v>95</v>
      </c>
      <c r="AV433" t="s">
        <v>96</v>
      </c>
      <c r="AW433">
        <v>-8.6991940000000003</v>
      </c>
      <c r="AX433">
        <v>115.216222</v>
      </c>
      <c r="AY433" t="s">
        <v>245</v>
      </c>
      <c r="AZ433" t="s">
        <v>247</v>
      </c>
      <c r="BA433">
        <v>-8.5530475999999993</v>
      </c>
      <c r="BB433">
        <v>116.11346399999999</v>
      </c>
      <c r="BC433" t="e">
        <v>#N/A</v>
      </c>
      <c r="BD433" t="e">
        <v>#N/A</v>
      </c>
      <c r="BE433">
        <v>0</v>
      </c>
      <c r="BF433">
        <v>0</v>
      </c>
      <c r="BG433" t="s">
        <v>2235</v>
      </c>
      <c r="BH433" t="s">
        <v>101</v>
      </c>
      <c r="BI433" t="s">
        <v>102</v>
      </c>
      <c r="BJ433">
        <v>3</v>
      </c>
      <c r="BL433">
        <v>1</v>
      </c>
      <c r="BM433" t="s">
        <v>103</v>
      </c>
      <c r="BN433">
        <v>2</v>
      </c>
      <c r="BO433" s="6">
        <v>3.472222222222222E-3</v>
      </c>
      <c r="BP433">
        <v>99.47</v>
      </c>
      <c r="BQ433">
        <v>1.26</v>
      </c>
      <c r="BR433">
        <v>0</v>
      </c>
    </row>
    <row r="434" spans="1:70" ht="15" customHeight="1" x14ac:dyDescent="0.35">
      <c r="A434" s="1" t="str">
        <f t="shared" si="22"/>
        <v>Z11Q</v>
      </c>
      <c r="B434" t="s">
        <v>2236</v>
      </c>
      <c r="C434" t="s">
        <v>2237</v>
      </c>
      <c r="D434" t="s">
        <v>2238</v>
      </c>
      <c r="E434" t="s">
        <v>2239</v>
      </c>
      <c r="F434" t="s">
        <v>2230</v>
      </c>
      <c r="G434" t="s">
        <v>240</v>
      </c>
      <c r="H434" t="s">
        <v>241</v>
      </c>
      <c r="I434" t="s">
        <v>148</v>
      </c>
      <c r="J434" t="b">
        <v>0</v>
      </c>
      <c r="K434" t="s">
        <v>154</v>
      </c>
      <c r="L434" t="s">
        <v>155</v>
      </c>
      <c r="N434" t="s">
        <v>81</v>
      </c>
      <c r="O434" t="s">
        <v>82</v>
      </c>
      <c r="P434" t="s">
        <v>83</v>
      </c>
      <c r="Q434" t="s">
        <v>242</v>
      </c>
      <c r="R434">
        <v>24</v>
      </c>
      <c r="S434" t="s">
        <v>85</v>
      </c>
      <c r="T434" t="s">
        <v>85</v>
      </c>
      <c r="U434">
        <v>1111111</v>
      </c>
      <c r="V434" t="s">
        <v>122</v>
      </c>
      <c r="W434" t="s">
        <v>2231</v>
      </c>
      <c r="X434" t="s">
        <v>2232</v>
      </c>
      <c r="Y434" t="s">
        <v>89</v>
      </c>
      <c r="Z434" t="s">
        <v>90</v>
      </c>
      <c r="AA434" t="s">
        <v>2233</v>
      </c>
      <c r="AB434">
        <v>1</v>
      </c>
      <c r="AC434">
        <v>6</v>
      </c>
      <c r="AD434" t="b">
        <v>1</v>
      </c>
      <c r="AE434">
        <v>2020</v>
      </c>
      <c r="AF434" s="3">
        <v>367</v>
      </c>
      <c r="AG434" s="3">
        <v>44176</v>
      </c>
      <c r="AH434" s="3">
        <v>45291</v>
      </c>
      <c r="AJ434" s="4">
        <f>VLOOKUP(A434,'[1]1'!B:Q,16,0)</f>
        <v>1440</v>
      </c>
      <c r="AK434" s="7">
        <f t="shared" si="28"/>
        <v>5.76</v>
      </c>
      <c r="AL434" s="3">
        <v>44256</v>
      </c>
      <c r="AM434" s="3">
        <v>45443</v>
      </c>
      <c r="AN434">
        <v>-8.6458969000000003</v>
      </c>
      <c r="AO434">
        <v>116.5191323</v>
      </c>
      <c r="AP434" t="s">
        <v>2240</v>
      </c>
      <c r="AQ434" s="5" t="s">
        <v>93</v>
      </c>
      <c r="AR434" s="5" t="s">
        <v>94</v>
      </c>
      <c r="AS434" t="s">
        <v>80</v>
      </c>
      <c r="AT434">
        <v>99.2</v>
      </c>
      <c r="AU434" t="s">
        <v>95</v>
      </c>
      <c r="AV434" t="s">
        <v>96</v>
      </c>
      <c r="AW434">
        <v>-8.6991940000000003</v>
      </c>
      <c r="AX434">
        <v>115.216222</v>
      </c>
      <c r="AY434" t="s">
        <v>245</v>
      </c>
      <c r="AZ434" t="s">
        <v>247</v>
      </c>
      <c r="BA434">
        <v>-8.5530475999999993</v>
      </c>
      <c r="BB434">
        <v>116.11346399999999</v>
      </c>
      <c r="BC434" t="e">
        <v>#N/A</v>
      </c>
      <c r="BD434" t="e">
        <v>#N/A</v>
      </c>
      <c r="BE434">
        <v>0</v>
      </c>
      <c r="BF434">
        <v>0</v>
      </c>
      <c r="BG434" t="s">
        <v>255</v>
      </c>
      <c r="BH434" t="s">
        <v>101</v>
      </c>
      <c r="BI434" t="s">
        <v>102</v>
      </c>
      <c r="BJ434">
        <v>3</v>
      </c>
      <c r="BL434">
        <v>2</v>
      </c>
      <c r="BM434" t="s">
        <v>103</v>
      </c>
      <c r="BN434">
        <v>53.6</v>
      </c>
      <c r="BO434" s="6">
        <v>6.25E-2</v>
      </c>
      <c r="BP434">
        <v>143.34</v>
      </c>
      <c r="BQ434">
        <v>45.78</v>
      </c>
      <c r="BR434">
        <v>0</v>
      </c>
    </row>
    <row r="435" spans="1:70" ht="15" customHeight="1" x14ac:dyDescent="0.35">
      <c r="A435" s="1" t="str">
        <f t="shared" si="22"/>
        <v>Z11R</v>
      </c>
      <c r="B435" t="s">
        <v>2241</v>
      </c>
      <c r="C435" t="s">
        <v>2242</v>
      </c>
      <c r="D435" t="s">
        <v>2243</v>
      </c>
      <c r="E435" t="s">
        <v>2239</v>
      </c>
      <c r="F435" t="s">
        <v>2230</v>
      </c>
      <c r="G435" t="s">
        <v>240</v>
      </c>
      <c r="H435" t="s">
        <v>241</v>
      </c>
      <c r="I435" t="s">
        <v>148</v>
      </c>
      <c r="J435" t="b">
        <v>0</v>
      </c>
      <c r="K435" t="s">
        <v>154</v>
      </c>
      <c r="L435" t="s">
        <v>155</v>
      </c>
      <c r="N435" t="s">
        <v>81</v>
      </c>
      <c r="O435" t="s">
        <v>82</v>
      </c>
      <c r="P435" t="s">
        <v>83</v>
      </c>
      <c r="Q435" t="s">
        <v>242</v>
      </c>
      <c r="R435">
        <v>24</v>
      </c>
      <c r="S435" t="s">
        <v>85</v>
      </c>
      <c r="T435" t="s">
        <v>85</v>
      </c>
      <c r="U435">
        <v>1111111</v>
      </c>
      <c r="V435" t="s">
        <v>122</v>
      </c>
      <c r="W435" t="s">
        <v>2231</v>
      </c>
      <c r="X435" t="s">
        <v>2232</v>
      </c>
      <c r="Y435" t="s">
        <v>89</v>
      </c>
      <c r="Z435" t="s">
        <v>90</v>
      </c>
      <c r="AA435" t="s">
        <v>2233</v>
      </c>
      <c r="AB435">
        <v>1</v>
      </c>
      <c r="AC435">
        <v>6</v>
      </c>
      <c r="AD435" t="b">
        <v>1</v>
      </c>
      <c r="AE435">
        <v>2020</v>
      </c>
      <c r="AF435" s="3">
        <v>367</v>
      </c>
      <c r="AG435" s="3">
        <v>44176</v>
      </c>
      <c r="AH435" s="3">
        <v>45291</v>
      </c>
      <c r="AJ435" s="4">
        <f>VLOOKUP(A435,'[1]1'!B:Q,16,0)</f>
        <v>1440</v>
      </c>
      <c r="AK435" s="7">
        <f t="shared" si="28"/>
        <v>5.76</v>
      </c>
      <c r="AL435" s="3">
        <v>44256</v>
      </c>
      <c r="AM435" s="3">
        <v>45443</v>
      </c>
      <c r="AN435">
        <v>-8.6459288000000001</v>
      </c>
      <c r="AO435">
        <v>116.5196559</v>
      </c>
      <c r="AP435" t="s">
        <v>2244</v>
      </c>
      <c r="AQ435" s="5" t="s">
        <v>93</v>
      </c>
      <c r="AR435" s="5" t="s">
        <v>94</v>
      </c>
      <c r="AS435" t="s">
        <v>80</v>
      </c>
      <c r="AT435">
        <v>99.2</v>
      </c>
      <c r="AU435" t="s">
        <v>95</v>
      </c>
      <c r="AV435" t="s">
        <v>96</v>
      </c>
      <c r="AW435">
        <v>-8.6991940000000003</v>
      </c>
      <c r="AX435">
        <v>115.216222</v>
      </c>
      <c r="AY435" t="s">
        <v>245</v>
      </c>
      <c r="AZ435" t="s">
        <v>247</v>
      </c>
      <c r="BA435">
        <v>-8.5530475999999993</v>
      </c>
      <c r="BB435">
        <v>116.11346399999999</v>
      </c>
      <c r="BC435" t="e">
        <v>#N/A</v>
      </c>
      <c r="BD435" t="e">
        <v>#N/A</v>
      </c>
      <c r="BE435">
        <v>0</v>
      </c>
      <c r="BF435">
        <v>0</v>
      </c>
      <c r="BG435" t="s">
        <v>255</v>
      </c>
      <c r="BH435" t="s">
        <v>101</v>
      </c>
      <c r="BI435" t="s">
        <v>102</v>
      </c>
      <c r="BJ435">
        <v>3</v>
      </c>
      <c r="BL435">
        <v>2</v>
      </c>
      <c r="BM435" t="s">
        <v>103</v>
      </c>
      <c r="BN435">
        <v>53.6</v>
      </c>
      <c r="BO435" s="6">
        <v>6.25E-2</v>
      </c>
      <c r="BP435">
        <v>143.4</v>
      </c>
      <c r="BQ435">
        <v>45.84</v>
      </c>
      <c r="BR435">
        <v>0</v>
      </c>
    </row>
    <row r="436" spans="1:70" ht="15" customHeight="1" x14ac:dyDescent="0.35">
      <c r="A436" s="1" t="str">
        <f t="shared" si="22"/>
        <v>Z4XT</v>
      </c>
      <c r="B436" t="s">
        <v>2245</v>
      </c>
      <c r="C436" t="s">
        <v>2246</v>
      </c>
      <c r="D436" t="s">
        <v>2247</v>
      </c>
      <c r="E436" t="s">
        <v>2239</v>
      </c>
      <c r="F436" t="s">
        <v>2230</v>
      </c>
      <c r="G436" t="s">
        <v>240</v>
      </c>
      <c r="H436" t="s">
        <v>241</v>
      </c>
      <c r="I436" t="s">
        <v>148</v>
      </c>
      <c r="J436" t="b">
        <v>0</v>
      </c>
      <c r="K436" t="s">
        <v>154</v>
      </c>
      <c r="L436" t="s">
        <v>155</v>
      </c>
      <c r="N436" t="s">
        <v>81</v>
      </c>
      <c r="O436" t="s">
        <v>82</v>
      </c>
      <c r="P436" t="s">
        <v>83</v>
      </c>
      <c r="Q436" t="s">
        <v>242</v>
      </c>
      <c r="R436">
        <v>24</v>
      </c>
      <c r="S436" t="s">
        <v>85</v>
      </c>
      <c r="T436" t="s">
        <v>85</v>
      </c>
      <c r="U436">
        <v>1111111</v>
      </c>
      <c r="V436" t="s">
        <v>122</v>
      </c>
      <c r="W436" t="s">
        <v>2231</v>
      </c>
      <c r="X436" t="s">
        <v>2232</v>
      </c>
      <c r="Y436" t="s">
        <v>89</v>
      </c>
      <c r="Z436" t="s">
        <v>90</v>
      </c>
      <c r="AA436" t="s">
        <v>2233</v>
      </c>
      <c r="AB436">
        <v>1</v>
      </c>
      <c r="AC436">
        <v>6</v>
      </c>
      <c r="AD436" t="b">
        <v>1</v>
      </c>
      <c r="AE436">
        <v>2020</v>
      </c>
      <c r="AF436" s="3">
        <v>367</v>
      </c>
      <c r="AG436" s="3">
        <v>44176</v>
      </c>
      <c r="AH436" s="3">
        <v>45291</v>
      </c>
      <c r="AJ436" s="4"/>
      <c r="AK436" s="4"/>
      <c r="AL436" s="3">
        <v>44256</v>
      </c>
      <c r="AM436" s="3">
        <v>45443</v>
      </c>
      <c r="AN436">
        <v>-8.6458594000000009</v>
      </c>
      <c r="AO436">
        <v>116.5195605</v>
      </c>
      <c r="AP436" t="s">
        <v>2240</v>
      </c>
      <c r="AQ436" s="5" t="s">
        <v>93</v>
      </c>
      <c r="AR436" s="5" t="s">
        <v>94</v>
      </c>
      <c r="AS436" t="s">
        <v>80</v>
      </c>
      <c r="AT436">
        <v>99.2</v>
      </c>
      <c r="AU436" t="s">
        <v>95</v>
      </c>
      <c r="AV436" t="s">
        <v>96</v>
      </c>
      <c r="AW436">
        <v>-8.6991940000000003</v>
      </c>
      <c r="AX436">
        <v>115.216222</v>
      </c>
      <c r="AY436" t="s">
        <v>245</v>
      </c>
      <c r="AZ436" t="s">
        <v>247</v>
      </c>
      <c r="BA436">
        <v>-8.5530475999999993</v>
      </c>
      <c r="BB436">
        <v>116.11346399999999</v>
      </c>
      <c r="BC436" t="e">
        <v>#N/A</v>
      </c>
      <c r="BD436" t="e">
        <v>#N/A</v>
      </c>
      <c r="BE436">
        <v>0</v>
      </c>
      <c r="BF436">
        <v>0</v>
      </c>
      <c r="BG436" t="s">
        <v>255</v>
      </c>
      <c r="BH436" t="s">
        <v>101</v>
      </c>
      <c r="BI436" t="s">
        <v>102</v>
      </c>
      <c r="BJ436">
        <v>3</v>
      </c>
      <c r="BL436">
        <v>2</v>
      </c>
      <c r="BM436" t="s">
        <v>103</v>
      </c>
      <c r="BN436">
        <v>53.6</v>
      </c>
      <c r="BO436" s="6">
        <v>6.25E-2</v>
      </c>
      <c r="BP436">
        <v>143.38999999999999</v>
      </c>
      <c r="BQ436">
        <v>45.83</v>
      </c>
      <c r="BR436">
        <v>0</v>
      </c>
    </row>
    <row r="437" spans="1:70" ht="15" customHeight="1" x14ac:dyDescent="0.35">
      <c r="A437" s="1" t="str">
        <f t="shared" si="22"/>
        <v>653M</v>
      </c>
      <c r="B437" t="s">
        <v>2248</v>
      </c>
      <c r="C437" t="s">
        <v>2249</v>
      </c>
      <c r="D437" t="s">
        <v>2250</v>
      </c>
      <c r="E437" t="s">
        <v>2251</v>
      </c>
      <c r="F437" t="s">
        <v>2230</v>
      </c>
      <c r="G437" t="s">
        <v>240</v>
      </c>
      <c r="H437" t="s">
        <v>241</v>
      </c>
      <c r="I437" t="s">
        <v>1276</v>
      </c>
      <c r="J437" t="b">
        <v>0</v>
      </c>
      <c r="K437" t="s">
        <v>78</v>
      </c>
      <c r="L437" t="s">
        <v>79</v>
      </c>
      <c r="N437" t="s">
        <v>81</v>
      </c>
      <c r="O437" t="s">
        <v>82</v>
      </c>
      <c r="P437" t="s">
        <v>83</v>
      </c>
      <c r="Q437" t="s">
        <v>242</v>
      </c>
      <c r="R437">
        <v>24</v>
      </c>
      <c r="S437" t="s">
        <v>85</v>
      </c>
      <c r="T437" t="s">
        <v>121</v>
      </c>
      <c r="U437">
        <v>1111111</v>
      </c>
      <c r="V437" t="s">
        <v>122</v>
      </c>
      <c r="W437" t="s">
        <v>2231</v>
      </c>
      <c r="X437" t="s">
        <v>2232</v>
      </c>
      <c r="Y437" t="s">
        <v>89</v>
      </c>
      <c r="Z437" t="s">
        <v>90</v>
      </c>
      <c r="AA437" t="s">
        <v>2233</v>
      </c>
      <c r="AB437">
        <v>1</v>
      </c>
      <c r="AC437">
        <v>6</v>
      </c>
      <c r="AD437" t="b">
        <v>1</v>
      </c>
      <c r="AE437">
        <v>2023</v>
      </c>
      <c r="AF437" s="3">
        <v>367</v>
      </c>
      <c r="AG437" s="3">
        <v>45058</v>
      </c>
      <c r="AH437" s="3">
        <v>46143</v>
      </c>
      <c r="AJ437" s="4"/>
      <c r="AK437" s="4"/>
      <c r="AL437" s="3">
        <v>367</v>
      </c>
      <c r="AM437" s="3">
        <v>367</v>
      </c>
      <c r="AN437">
        <v>-8.6345165000000001</v>
      </c>
      <c r="AO437">
        <v>116.4367333</v>
      </c>
      <c r="AP437" t="s">
        <v>2252</v>
      </c>
      <c r="AT437">
        <v>99.75</v>
      </c>
      <c r="AW437">
        <v>0</v>
      </c>
      <c r="AX437">
        <v>0</v>
      </c>
      <c r="BA437">
        <v>0</v>
      </c>
      <c r="BB437">
        <v>0</v>
      </c>
      <c r="BE437">
        <v>0</v>
      </c>
      <c r="BF437">
        <v>0</v>
      </c>
      <c r="BJ437">
        <v>0</v>
      </c>
      <c r="BL437">
        <v>0</v>
      </c>
      <c r="BN437">
        <v>0</v>
      </c>
      <c r="BO437" s="6">
        <v>0</v>
      </c>
      <c r="BP437">
        <v>0</v>
      </c>
      <c r="BQ437">
        <v>0</v>
      </c>
      <c r="BR437">
        <v>0</v>
      </c>
    </row>
    <row r="438" spans="1:70" ht="15" customHeight="1" x14ac:dyDescent="0.35">
      <c r="A438" s="1" t="str">
        <f t="shared" si="22"/>
        <v>494N</v>
      </c>
      <c r="B438" t="s">
        <v>2253</v>
      </c>
      <c r="C438" t="s">
        <v>2254</v>
      </c>
      <c r="D438" t="s">
        <v>2255</v>
      </c>
      <c r="E438" t="s">
        <v>2256</v>
      </c>
      <c r="F438" t="s">
        <v>2230</v>
      </c>
      <c r="G438" t="s">
        <v>240</v>
      </c>
      <c r="H438" t="s">
        <v>241</v>
      </c>
      <c r="I438" t="s">
        <v>137</v>
      </c>
      <c r="J438" t="b">
        <v>0</v>
      </c>
      <c r="K438" t="s">
        <v>78</v>
      </c>
      <c r="L438" t="s">
        <v>79</v>
      </c>
      <c r="N438" t="s">
        <v>81</v>
      </c>
      <c r="O438" t="s">
        <v>82</v>
      </c>
      <c r="P438" t="s">
        <v>83</v>
      </c>
      <c r="Q438" t="s">
        <v>242</v>
      </c>
      <c r="R438">
        <v>15</v>
      </c>
      <c r="S438" t="s">
        <v>121</v>
      </c>
      <c r="T438" t="s">
        <v>121</v>
      </c>
      <c r="U438">
        <v>1111111</v>
      </c>
      <c r="V438" t="s">
        <v>122</v>
      </c>
      <c r="W438" t="s">
        <v>2231</v>
      </c>
      <c r="X438" t="s">
        <v>2232</v>
      </c>
      <c r="Y438" t="s">
        <v>89</v>
      </c>
      <c r="Z438" t="s">
        <v>90</v>
      </c>
      <c r="AA438" t="s">
        <v>2233</v>
      </c>
      <c r="AB438">
        <v>1</v>
      </c>
      <c r="AC438">
        <v>6</v>
      </c>
      <c r="AD438" t="b">
        <v>1</v>
      </c>
      <c r="AE438">
        <v>2023</v>
      </c>
      <c r="AF438" s="3">
        <v>367</v>
      </c>
      <c r="AG438" s="3">
        <v>45086</v>
      </c>
      <c r="AH438" s="3">
        <v>46174</v>
      </c>
      <c r="AJ438" s="4"/>
      <c r="AK438" s="4"/>
      <c r="AL438" s="3">
        <v>367</v>
      </c>
      <c r="AM438" s="3">
        <v>367</v>
      </c>
      <c r="AN438">
        <v>-8.6570271000000005</v>
      </c>
      <c r="AO438">
        <v>116.5512726</v>
      </c>
      <c r="AP438" t="s">
        <v>2257</v>
      </c>
      <c r="AT438">
        <v>99.75</v>
      </c>
      <c r="AW438">
        <v>0</v>
      </c>
      <c r="AX438">
        <v>0</v>
      </c>
      <c r="BA438">
        <v>0</v>
      </c>
      <c r="BB438">
        <v>0</v>
      </c>
      <c r="BE438">
        <v>0</v>
      </c>
      <c r="BF438">
        <v>0</v>
      </c>
      <c r="BJ438">
        <v>0</v>
      </c>
      <c r="BL438">
        <v>0</v>
      </c>
      <c r="BN438">
        <v>0</v>
      </c>
      <c r="BO438" s="6">
        <v>0</v>
      </c>
      <c r="BP438">
        <v>0</v>
      </c>
      <c r="BQ438">
        <v>0</v>
      </c>
      <c r="BR438">
        <v>0</v>
      </c>
    </row>
    <row r="439" spans="1:70" ht="15" customHeight="1" x14ac:dyDescent="0.35">
      <c r="A439" s="1" t="str">
        <f t="shared" si="22"/>
        <v>345R</v>
      </c>
      <c r="B439" t="s">
        <v>2258</v>
      </c>
      <c r="C439" t="s">
        <v>2259</v>
      </c>
      <c r="D439" t="s">
        <v>2260</v>
      </c>
      <c r="E439" t="s">
        <v>2261</v>
      </c>
      <c r="F439" t="s">
        <v>2230</v>
      </c>
      <c r="G439" t="s">
        <v>240</v>
      </c>
      <c r="H439" t="s">
        <v>241</v>
      </c>
      <c r="I439" t="s">
        <v>137</v>
      </c>
      <c r="J439" t="b">
        <v>0</v>
      </c>
      <c r="K439" t="s">
        <v>78</v>
      </c>
      <c r="L439" t="s">
        <v>79</v>
      </c>
      <c r="N439" t="s">
        <v>81</v>
      </c>
      <c r="O439" t="s">
        <v>82</v>
      </c>
      <c r="P439" t="s">
        <v>83</v>
      </c>
      <c r="Q439" t="s">
        <v>242</v>
      </c>
      <c r="R439">
        <v>15</v>
      </c>
      <c r="S439" t="s">
        <v>121</v>
      </c>
      <c r="T439" t="s">
        <v>121</v>
      </c>
      <c r="U439">
        <v>1111111</v>
      </c>
      <c r="V439" t="s">
        <v>122</v>
      </c>
      <c r="W439" t="s">
        <v>2231</v>
      </c>
      <c r="X439" t="s">
        <v>2232</v>
      </c>
      <c r="Y439" t="s">
        <v>89</v>
      </c>
      <c r="Z439" t="s">
        <v>90</v>
      </c>
      <c r="AA439" t="s">
        <v>2233</v>
      </c>
      <c r="AB439">
        <v>1</v>
      </c>
      <c r="AC439">
        <v>6</v>
      </c>
      <c r="AD439" t="b">
        <v>1</v>
      </c>
      <c r="AE439">
        <v>2023</v>
      </c>
      <c r="AF439" s="3">
        <v>367</v>
      </c>
      <c r="AG439" s="3">
        <v>45086</v>
      </c>
      <c r="AH439" s="3">
        <v>46174</v>
      </c>
      <c r="AJ439" s="4">
        <f>VLOOKUP(A439,'[1]1'!B:Q,16,0)</f>
        <v>900</v>
      </c>
      <c r="AK439" s="7">
        <f>AJ439/250</f>
        <v>3.6</v>
      </c>
      <c r="AL439" s="3">
        <v>367</v>
      </c>
      <c r="AM439" s="3">
        <v>367</v>
      </c>
      <c r="AN439">
        <v>-8.6523947999999997</v>
      </c>
      <c r="AO439">
        <v>116.5346206</v>
      </c>
      <c r="AP439" t="s">
        <v>2262</v>
      </c>
      <c r="AT439">
        <v>99.75</v>
      </c>
      <c r="AW439">
        <v>0</v>
      </c>
      <c r="AX439">
        <v>0</v>
      </c>
      <c r="BA439">
        <v>0</v>
      </c>
      <c r="BB439">
        <v>0</v>
      </c>
      <c r="BE439">
        <v>0</v>
      </c>
      <c r="BF439">
        <v>0</v>
      </c>
      <c r="BJ439">
        <v>0</v>
      </c>
      <c r="BL439">
        <v>0</v>
      </c>
      <c r="BN439">
        <v>0</v>
      </c>
      <c r="BO439" s="6">
        <v>0</v>
      </c>
      <c r="BP439">
        <v>0</v>
      </c>
      <c r="BQ439">
        <v>0</v>
      </c>
      <c r="BR439">
        <v>0</v>
      </c>
    </row>
    <row r="440" spans="1:70" ht="15" customHeight="1" x14ac:dyDescent="0.35">
      <c r="A440" s="1" t="str">
        <f t="shared" si="22"/>
        <v>ZRH5</v>
      </c>
      <c r="B440" t="s">
        <v>2263</v>
      </c>
      <c r="C440" t="s">
        <v>2264</v>
      </c>
      <c r="D440" t="s">
        <v>2265</v>
      </c>
      <c r="E440" t="s">
        <v>2266</v>
      </c>
      <c r="F440" t="s">
        <v>2230</v>
      </c>
      <c r="G440" t="s">
        <v>240</v>
      </c>
      <c r="H440" t="s">
        <v>241</v>
      </c>
      <c r="I440" t="s">
        <v>137</v>
      </c>
      <c r="J440" t="b">
        <v>0</v>
      </c>
      <c r="K440" t="s">
        <v>154</v>
      </c>
      <c r="L440" t="s">
        <v>155</v>
      </c>
      <c r="N440" t="s">
        <v>81</v>
      </c>
      <c r="O440" t="s">
        <v>82</v>
      </c>
      <c r="P440" t="s">
        <v>83</v>
      </c>
      <c r="Q440" t="s">
        <v>242</v>
      </c>
      <c r="R440">
        <v>24</v>
      </c>
      <c r="S440" t="s">
        <v>85</v>
      </c>
      <c r="T440" t="s">
        <v>121</v>
      </c>
      <c r="U440">
        <v>1111111</v>
      </c>
      <c r="V440" t="s">
        <v>122</v>
      </c>
      <c r="W440" t="s">
        <v>2231</v>
      </c>
      <c r="X440" t="s">
        <v>2232</v>
      </c>
      <c r="Y440" t="s">
        <v>89</v>
      </c>
      <c r="Z440" t="s">
        <v>90</v>
      </c>
      <c r="AA440" t="s">
        <v>2233</v>
      </c>
      <c r="AB440">
        <v>1</v>
      </c>
      <c r="AC440">
        <v>6</v>
      </c>
      <c r="AD440" t="b">
        <v>1</v>
      </c>
      <c r="AE440">
        <v>2023</v>
      </c>
      <c r="AF440" s="3">
        <v>367</v>
      </c>
      <c r="AG440" s="3">
        <v>45090</v>
      </c>
      <c r="AH440" s="3">
        <v>46174</v>
      </c>
      <c r="AJ440" s="4"/>
      <c r="AK440" s="4"/>
      <c r="AL440" s="3">
        <v>367</v>
      </c>
      <c r="AM440" s="3">
        <v>367</v>
      </c>
      <c r="AN440">
        <v>-8.6222191000000006</v>
      </c>
      <c r="AO440">
        <v>116.47530020000001</v>
      </c>
      <c r="AP440" t="s">
        <v>2267</v>
      </c>
      <c r="AT440">
        <v>99.2</v>
      </c>
      <c r="AW440">
        <v>0</v>
      </c>
      <c r="AX440">
        <v>0</v>
      </c>
      <c r="BA440">
        <v>0</v>
      </c>
      <c r="BB440">
        <v>0</v>
      </c>
      <c r="BE440">
        <v>0</v>
      </c>
      <c r="BF440">
        <v>0</v>
      </c>
      <c r="BJ440">
        <v>0</v>
      </c>
      <c r="BL440">
        <v>0</v>
      </c>
      <c r="BN440">
        <v>0</v>
      </c>
      <c r="BO440" s="6">
        <v>0</v>
      </c>
      <c r="BP440">
        <v>0</v>
      </c>
      <c r="BQ440">
        <v>0</v>
      </c>
      <c r="BR440">
        <v>0</v>
      </c>
    </row>
    <row r="441" spans="1:70" ht="15" customHeight="1" x14ac:dyDescent="0.35">
      <c r="A441" s="1" t="str">
        <f t="shared" si="22"/>
        <v>00C9</v>
      </c>
      <c r="B441" t="s">
        <v>2268</v>
      </c>
      <c r="C441" t="s">
        <v>2269</v>
      </c>
      <c r="D441" t="s">
        <v>2270</v>
      </c>
      <c r="E441" t="s">
        <v>2271</v>
      </c>
      <c r="F441" t="s">
        <v>2230</v>
      </c>
      <c r="G441" t="s">
        <v>240</v>
      </c>
      <c r="H441" t="s">
        <v>241</v>
      </c>
      <c r="I441" t="s">
        <v>137</v>
      </c>
      <c r="J441" t="b">
        <v>0</v>
      </c>
      <c r="K441" t="s">
        <v>78</v>
      </c>
      <c r="L441" t="s">
        <v>79</v>
      </c>
      <c r="N441" t="s">
        <v>81</v>
      </c>
      <c r="O441" t="s">
        <v>82</v>
      </c>
      <c r="P441" t="s">
        <v>83</v>
      </c>
      <c r="Q441" t="s">
        <v>242</v>
      </c>
      <c r="R441">
        <v>24</v>
      </c>
      <c r="S441" t="s">
        <v>85</v>
      </c>
      <c r="T441" t="s">
        <v>179</v>
      </c>
      <c r="U441">
        <v>1111111</v>
      </c>
      <c r="V441" t="s">
        <v>122</v>
      </c>
      <c r="W441" t="s">
        <v>2231</v>
      </c>
      <c r="X441" t="s">
        <v>2232</v>
      </c>
      <c r="Y441" t="s">
        <v>89</v>
      </c>
      <c r="Z441" t="s">
        <v>90</v>
      </c>
      <c r="AA441" t="s">
        <v>2233</v>
      </c>
      <c r="AB441">
        <v>2</v>
      </c>
      <c r="AC441">
        <v>6</v>
      </c>
      <c r="AD441" t="b">
        <v>1</v>
      </c>
      <c r="AE441">
        <v>2023</v>
      </c>
      <c r="AF441" s="3">
        <v>367</v>
      </c>
      <c r="AG441" s="3">
        <v>45467</v>
      </c>
      <c r="AH441" s="3">
        <v>46568</v>
      </c>
      <c r="AJ441" s="4">
        <f>VLOOKUP(A441,'[1]1'!B:Q,16,0)</f>
        <v>1440</v>
      </c>
      <c r="AK441" s="7">
        <f t="shared" ref="AK441:AK445" si="29">AJ441/250</f>
        <v>5.76</v>
      </c>
      <c r="AL441" s="3">
        <v>367</v>
      </c>
      <c r="AM441" s="3">
        <v>367</v>
      </c>
      <c r="AN441">
        <v>-8.5050933000000004</v>
      </c>
      <c r="AO441">
        <v>116.6584359</v>
      </c>
      <c r="AP441" t="s">
        <v>2272</v>
      </c>
      <c r="AT441">
        <v>99.75</v>
      </c>
      <c r="AW441">
        <v>0</v>
      </c>
      <c r="AX441">
        <v>0</v>
      </c>
      <c r="BA441">
        <v>0</v>
      </c>
      <c r="BB441">
        <v>0</v>
      </c>
      <c r="BE441">
        <v>0</v>
      </c>
      <c r="BF441">
        <v>0</v>
      </c>
      <c r="BJ441">
        <v>0</v>
      </c>
      <c r="BL441">
        <v>0</v>
      </c>
      <c r="BN441">
        <v>0</v>
      </c>
      <c r="BO441" s="6">
        <v>0</v>
      </c>
      <c r="BP441">
        <v>0</v>
      </c>
      <c r="BQ441">
        <v>0</v>
      </c>
      <c r="BR441">
        <v>0</v>
      </c>
    </row>
    <row r="442" spans="1:70" ht="15" customHeight="1" x14ac:dyDescent="0.35">
      <c r="A442" s="1" t="str">
        <f t="shared" si="22"/>
        <v>00R9</v>
      </c>
      <c r="B442" t="s">
        <v>2273</v>
      </c>
      <c r="C442" t="s">
        <v>2274</v>
      </c>
      <c r="D442" t="s">
        <v>2275</v>
      </c>
      <c r="E442" t="s">
        <v>2276</v>
      </c>
      <c r="F442" t="s">
        <v>2230</v>
      </c>
      <c r="G442" t="s">
        <v>240</v>
      </c>
      <c r="H442" t="s">
        <v>241</v>
      </c>
      <c r="I442" t="s">
        <v>77</v>
      </c>
      <c r="J442" t="b">
        <v>0</v>
      </c>
      <c r="K442" t="s">
        <v>78</v>
      </c>
      <c r="L442" t="s">
        <v>79</v>
      </c>
      <c r="N442" t="s">
        <v>81</v>
      </c>
      <c r="O442" t="s">
        <v>82</v>
      </c>
      <c r="P442" t="s">
        <v>83</v>
      </c>
      <c r="Q442" t="s">
        <v>242</v>
      </c>
      <c r="R442">
        <v>24</v>
      </c>
      <c r="S442" t="s">
        <v>85</v>
      </c>
      <c r="T442" t="s">
        <v>179</v>
      </c>
      <c r="U442">
        <v>1111111</v>
      </c>
      <c r="V442" t="s">
        <v>122</v>
      </c>
      <c r="W442" t="s">
        <v>2231</v>
      </c>
      <c r="X442" t="s">
        <v>2232</v>
      </c>
      <c r="Y442" t="s">
        <v>89</v>
      </c>
      <c r="Z442" t="s">
        <v>90</v>
      </c>
      <c r="AA442" t="s">
        <v>2233</v>
      </c>
      <c r="AB442">
        <v>1</v>
      </c>
      <c r="AC442">
        <v>6</v>
      </c>
      <c r="AD442" t="b">
        <v>1</v>
      </c>
      <c r="AE442">
        <v>2024</v>
      </c>
      <c r="AF442" s="3">
        <v>367</v>
      </c>
      <c r="AG442" s="3">
        <v>45593</v>
      </c>
      <c r="AH442" s="3">
        <v>46690</v>
      </c>
      <c r="AJ442" s="4">
        <f>VLOOKUP(A442,'[1]1'!B:Q,16,0)</f>
        <v>1440</v>
      </c>
      <c r="AK442" s="7">
        <f t="shared" si="29"/>
        <v>5.76</v>
      </c>
      <c r="AL442" s="3">
        <v>367</v>
      </c>
      <c r="AM442" s="3">
        <v>367</v>
      </c>
      <c r="AN442">
        <v>-8.6765798000000007</v>
      </c>
      <c r="AO442">
        <v>116.4780737</v>
      </c>
      <c r="AP442" t="s">
        <v>2277</v>
      </c>
      <c r="AT442">
        <v>99.75</v>
      </c>
      <c r="AW442">
        <v>0</v>
      </c>
      <c r="AX442">
        <v>0</v>
      </c>
      <c r="BA442">
        <v>0</v>
      </c>
      <c r="BB442">
        <v>0</v>
      </c>
      <c r="BE442">
        <v>0</v>
      </c>
      <c r="BF442">
        <v>0</v>
      </c>
      <c r="BJ442">
        <v>0</v>
      </c>
      <c r="BL442">
        <v>0</v>
      </c>
      <c r="BN442">
        <v>0</v>
      </c>
      <c r="BO442" s="6">
        <v>0</v>
      </c>
      <c r="BP442">
        <v>0</v>
      </c>
      <c r="BQ442">
        <v>0</v>
      </c>
      <c r="BR442">
        <v>0</v>
      </c>
    </row>
    <row r="443" spans="1:70" ht="15" customHeight="1" x14ac:dyDescent="0.35">
      <c r="A443" s="1" t="str">
        <f t="shared" si="22"/>
        <v>00DN</v>
      </c>
      <c r="B443" t="s">
        <v>2278</v>
      </c>
      <c r="C443" t="s">
        <v>2279</v>
      </c>
      <c r="D443" t="s">
        <v>2280</v>
      </c>
      <c r="E443" t="s">
        <v>2281</v>
      </c>
      <c r="F443" t="s">
        <v>2282</v>
      </c>
      <c r="G443" t="s">
        <v>240</v>
      </c>
      <c r="H443" t="s">
        <v>241</v>
      </c>
      <c r="I443" t="s">
        <v>178</v>
      </c>
      <c r="J443" t="b">
        <v>0</v>
      </c>
      <c r="K443" t="s">
        <v>78</v>
      </c>
      <c r="L443" t="s">
        <v>79</v>
      </c>
      <c r="N443" t="s">
        <v>81</v>
      </c>
      <c r="O443" t="s">
        <v>82</v>
      </c>
      <c r="P443" t="s">
        <v>83</v>
      </c>
      <c r="Q443" t="s">
        <v>2283</v>
      </c>
      <c r="R443">
        <v>24</v>
      </c>
      <c r="S443" t="s">
        <v>85</v>
      </c>
      <c r="T443" t="s">
        <v>179</v>
      </c>
      <c r="U443">
        <v>1111111</v>
      </c>
      <c r="V443" t="s">
        <v>122</v>
      </c>
      <c r="W443" t="s">
        <v>2284</v>
      </c>
      <c r="X443" t="s">
        <v>2285</v>
      </c>
      <c r="Y443" t="s">
        <v>89</v>
      </c>
      <c r="Z443" t="s">
        <v>90</v>
      </c>
      <c r="AA443" t="s">
        <v>2286</v>
      </c>
      <c r="AB443">
        <v>1</v>
      </c>
      <c r="AC443">
        <v>6</v>
      </c>
      <c r="AD443" t="b">
        <v>1</v>
      </c>
      <c r="AE443">
        <v>2023</v>
      </c>
      <c r="AF443" s="3">
        <v>367</v>
      </c>
      <c r="AG443" s="3">
        <v>45496</v>
      </c>
      <c r="AH443" s="3">
        <v>46598</v>
      </c>
      <c r="AJ443" s="4">
        <f>VLOOKUP(A443,'[1]1'!B:Q,16,0)</f>
        <v>1440</v>
      </c>
      <c r="AK443" s="7">
        <f t="shared" si="29"/>
        <v>5.76</v>
      </c>
      <c r="AL443" s="3">
        <v>367</v>
      </c>
      <c r="AM443" s="3">
        <v>367</v>
      </c>
      <c r="AN443">
        <v>-8.4817037000000006</v>
      </c>
      <c r="AO443">
        <v>117.409924</v>
      </c>
      <c r="AP443" t="s">
        <v>2287</v>
      </c>
      <c r="AT443">
        <v>99.75</v>
      </c>
      <c r="AW443">
        <v>0</v>
      </c>
      <c r="AX443">
        <v>0</v>
      </c>
      <c r="BA443">
        <v>0</v>
      </c>
      <c r="BB443">
        <v>0</v>
      </c>
      <c r="BE443">
        <v>0</v>
      </c>
      <c r="BF443">
        <v>0</v>
      </c>
      <c r="BJ443">
        <v>0</v>
      </c>
      <c r="BL443">
        <v>0</v>
      </c>
      <c r="BN443">
        <v>0</v>
      </c>
      <c r="BO443" s="6">
        <v>0</v>
      </c>
      <c r="BP443">
        <v>0</v>
      </c>
      <c r="BQ443">
        <v>0</v>
      </c>
      <c r="BR443">
        <v>0</v>
      </c>
    </row>
    <row r="444" spans="1:70" ht="15" customHeight="1" x14ac:dyDescent="0.35">
      <c r="A444" s="1" t="str">
        <f t="shared" si="22"/>
        <v>Z23F</v>
      </c>
      <c r="B444" t="s">
        <v>2288</v>
      </c>
      <c r="C444" t="s">
        <v>2289</v>
      </c>
      <c r="D444" t="s">
        <v>2290</v>
      </c>
      <c r="E444" t="s">
        <v>2291</v>
      </c>
      <c r="F444" t="s">
        <v>2282</v>
      </c>
      <c r="G444" t="s">
        <v>240</v>
      </c>
      <c r="H444" t="s">
        <v>241</v>
      </c>
      <c r="I444" t="s">
        <v>148</v>
      </c>
      <c r="J444" t="b">
        <v>0</v>
      </c>
      <c r="K444" t="s">
        <v>154</v>
      </c>
      <c r="L444" t="s">
        <v>214</v>
      </c>
      <c r="N444" t="s">
        <v>81</v>
      </c>
      <c r="O444" t="s">
        <v>82</v>
      </c>
      <c r="P444" t="s">
        <v>83</v>
      </c>
      <c r="Q444" t="s">
        <v>2283</v>
      </c>
      <c r="R444">
        <v>24</v>
      </c>
      <c r="S444" t="s">
        <v>85</v>
      </c>
      <c r="T444" t="s">
        <v>179</v>
      </c>
      <c r="U444">
        <v>1111111</v>
      </c>
      <c r="V444" t="s">
        <v>122</v>
      </c>
      <c r="W444" t="s">
        <v>2284</v>
      </c>
      <c r="X444" t="s">
        <v>2285</v>
      </c>
      <c r="Y444" t="s">
        <v>89</v>
      </c>
      <c r="Z444" t="s">
        <v>90</v>
      </c>
      <c r="AA444" t="s">
        <v>2286</v>
      </c>
      <c r="AB444">
        <v>1</v>
      </c>
      <c r="AC444">
        <v>6</v>
      </c>
      <c r="AD444" t="b">
        <v>1</v>
      </c>
      <c r="AE444">
        <v>2023</v>
      </c>
      <c r="AF444" s="3">
        <v>367</v>
      </c>
      <c r="AG444" s="3">
        <v>45504</v>
      </c>
      <c r="AH444" s="3">
        <v>46599</v>
      </c>
      <c r="AJ444" s="4">
        <f>VLOOKUP(A444,'[2]1'!B:Q,16,0)</f>
        <v>1440</v>
      </c>
      <c r="AK444" s="7">
        <f t="shared" si="29"/>
        <v>5.76</v>
      </c>
      <c r="AL444" s="3">
        <v>367</v>
      </c>
      <c r="AM444" s="3">
        <v>367</v>
      </c>
      <c r="AN444">
        <v>-8.5031081000000004</v>
      </c>
      <c r="AO444">
        <v>117.42439829999999</v>
      </c>
      <c r="AP444" t="s">
        <v>2292</v>
      </c>
      <c r="AT444">
        <v>99.2</v>
      </c>
      <c r="AW444">
        <v>0</v>
      </c>
      <c r="AX444">
        <v>0</v>
      </c>
      <c r="BA444">
        <v>0</v>
      </c>
      <c r="BB444">
        <v>0</v>
      </c>
      <c r="BE444">
        <v>0</v>
      </c>
      <c r="BF444">
        <v>0</v>
      </c>
      <c r="BJ444">
        <v>0</v>
      </c>
      <c r="BL444">
        <v>0</v>
      </c>
      <c r="BN444">
        <v>0</v>
      </c>
      <c r="BO444" s="6">
        <v>0</v>
      </c>
      <c r="BP444">
        <v>0</v>
      </c>
      <c r="BQ444">
        <v>0</v>
      </c>
      <c r="BR444">
        <v>0</v>
      </c>
    </row>
    <row r="445" spans="1:70" ht="15" customHeight="1" x14ac:dyDescent="0.35">
      <c r="A445" s="1" t="str">
        <f t="shared" si="22"/>
        <v>Z23E</v>
      </c>
      <c r="B445" t="s">
        <v>2293</v>
      </c>
      <c r="C445" t="s">
        <v>2289</v>
      </c>
      <c r="D445" t="s">
        <v>2294</v>
      </c>
      <c r="E445" t="s">
        <v>2295</v>
      </c>
      <c r="F445" t="s">
        <v>2282</v>
      </c>
      <c r="G445" t="s">
        <v>240</v>
      </c>
      <c r="H445" t="s">
        <v>241</v>
      </c>
      <c r="I445" t="s">
        <v>148</v>
      </c>
      <c r="J445" t="b">
        <v>0</v>
      </c>
      <c r="K445" t="s">
        <v>154</v>
      </c>
      <c r="L445" t="s">
        <v>214</v>
      </c>
      <c r="N445" t="s">
        <v>81</v>
      </c>
      <c r="O445" t="s">
        <v>82</v>
      </c>
      <c r="P445" t="s">
        <v>83</v>
      </c>
      <c r="Q445" t="s">
        <v>2283</v>
      </c>
      <c r="R445">
        <v>24</v>
      </c>
      <c r="S445" t="s">
        <v>85</v>
      </c>
      <c r="T445" t="s">
        <v>179</v>
      </c>
      <c r="U445">
        <v>1111111</v>
      </c>
      <c r="V445" t="s">
        <v>122</v>
      </c>
      <c r="W445" t="s">
        <v>2284</v>
      </c>
      <c r="X445" t="s">
        <v>2285</v>
      </c>
      <c r="Y445" t="s">
        <v>89</v>
      </c>
      <c r="Z445" t="s">
        <v>90</v>
      </c>
      <c r="AA445" t="s">
        <v>2286</v>
      </c>
      <c r="AB445">
        <v>1</v>
      </c>
      <c r="AC445">
        <v>6</v>
      </c>
      <c r="AD445" t="b">
        <v>1</v>
      </c>
      <c r="AE445">
        <v>2023</v>
      </c>
      <c r="AF445" s="3">
        <v>367</v>
      </c>
      <c r="AG445" s="3">
        <v>45504</v>
      </c>
      <c r="AH445" s="3">
        <v>46599</v>
      </c>
      <c r="AJ445" s="4">
        <f>VLOOKUP(A445,'[1]1'!B:Q,16,0)</f>
        <v>1440</v>
      </c>
      <c r="AK445" s="7">
        <f t="shared" si="29"/>
        <v>5.76</v>
      </c>
      <c r="AL445" s="3">
        <v>367</v>
      </c>
      <c r="AM445" s="3">
        <v>367</v>
      </c>
      <c r="AN445">
        <v>-8.5033609999999999</v>
      </c>
      <c r="AO445">
        <v>117.4247742</v>
      </c>
      <c r="AP445" t="s">
        <v>2296</v>
      </c>
      <c r="AT445">
        <v>99.2</v>
      </c>
      <c r="AW445">
        <v>0</v>
      </c>
      <c r="AX445">
        <v>0</v>
      </c>
      <c r="BA445">
        <v>0</v>
      </c>
      <c r="BB445">
        <v>0</v>
      </c>
      <c r="BE445">
        <v>0</v>
      </c>
      <c r="BF445">
        <v>0</v>
      </c>
      <c r="BJ445">
        <v>0</v>
      </c>
      <c r="BL445">
        <v>0</v>
      </c>
      <c r="BN445">
        <v>0</v>
      </c>
      <c r="BO445" s="6">
        <v>0</v>
      </c>
      <c r="BP445">
        <v>0</v>
      </c>
      <c r="BQ445">
        <v>0</v>
      </c>
      <c r="BR445">
        <v>0</v>
      </c>
    </row>
    <row r="446" spans="1:70" ht="15" customHeight="1" x14ac:dyDescent="0.35">
      <c r="A446" s="1" t="str">
        <f t="shared" si="22"/>
        <v>Z9F8</v>
      </c>
      <c r="B446" t="s">
        <v>2297</v>
      </c>
      <c r="C446" t="s">
        <v>2298</v>
      </c>
      <c r="D446" t="s">
        <v>2299</v>
      </c>
      <c r="E446" t="s">
        <v>2300</v>
      </c>
      <c r="F446" t="s">
        <v>74</v>
      </c>
      <c r="G446" t="s">
        <v>75</v>
      </c>
      <c r="H446" t="s">
        <v>76</v>
      </c>
      <c r="I446" t="s">
        <v>137</v>
      </c>
      <c r="J446" t="b">
        <v>0</v>
      </c>
      <c r="K446" t="s">
        <v>154</v>
      </c>
      <c r="L446" t="s">
        <v>155</v>
      </c>
      <c r="N446" t="s">
        <v>81</v>
      </c>
      <c r="O446" t="s">
        <v>82</v>
      </c>
      <c r="P446" t="s">
        <v>83</v>
      </c>
      <c r="Q446" t="s">
        <v>84</v>
      </c>
      <c r="R446">
        <v>16</v>
      </c>
      <c r="S446" t="s">
        <v>195</v>
      </c>
      <c r="T446" t="s">
        <v>179</v>
      </c>
      <c r="U446">
        <v>1111111</v>
      </c>
      <c r="V446" t="s">
        <v>122</v>
      </c>
      <c r="W446" t="s">
        <v>87</v>
      </c>
      <c r="X446" t="s">
        <v>88</v>
      </c>
      <c r="Y446" t="s">
        <v>89</v>
      </c>
      <c r="Z446" t="s">
        <v>90</v>
      </c>
      <c r="AA446" t="s">
        <v>91</v>
      </c>
      <c r="AB446">
        <v>1</v>
      </c>
      <c r="AC446">
        <v>6</v>
      </c>
      <c r="AD446" t="b">
        <v>1</v>
      </c>
      <c r="AE446">
        <v>2023</v>
      </c>
      <c r="AF446" s="3">
        <v>367</v>
      </c>
      <c r="AG446" s="3" t="s">
        <v>2301</v>
      </c>
      <c r="AH446" s="3" t="s">
        <v>2302</v>
      </c>
      <c r="AJ446" s="4"/>
      <c r="AK446" s="4"/>
      <c r="AL446" s="3">
        <v>367</v>
      </c>
      <c r="AM446" s="3">
        <v>367</v>
      </c>
      <c r="AP446" t="s">
        <v>2300</v>
      </c>
      <c r="AT446">
        <v>99.2</v>
      </c>
      <c r="AW446">
        <v>0</v>
      </c>
      <c r="AX446">
        <v>0</v>
      </c>
      <c r="BA446">
        <v>0</v>
      </c>
      <c r="BB446">
        <v>0</v>
      </c>
      <c r="BE446">
        <v>0</v>
      </c>
      <c r="BF446">
        <v>0</v>
      </c>
      <c r="BJ446">
        <v>0</v>
      </c>
      <c r="BL446">
        <v>0</v>
      </c>
      <c r="BN446">
        <v>0</v>
      </c>
      <c r="BO446" s="6">
        <v>0</v>
      </c>
      <c r="BP446">
        <v>0</v>
      </c>
      <c r="BQ446">
        <v>0</v>
      </c>
      <c r="BR446">
        <v>0</v>
      </c>
    </row>
    <row r="447" spans="1:70" ht="15" customHeight="1" x14ac:dyDescent="0.35">
      <c r="A447" s="1" t="str">
        <f t="shared" si="22"/>
        <v>Z9A9</v>
      </c>
      <c r="B447" t="s">
        <v>2303</v>
      </c>
      <c r="C447" t="s">
        <v>2304</v>
      </c>
      <c r="D447" t="s">
        <v>2305</v>
      </c>
      <c r="E447" t="s">
        <v>2306</v>
      </c>
      <c r="F447" t="s">
        <v>724</v>
      </c>
      <c r="G447" t="s">
        <v>502</v>
      </c>
      <c r="H447" t="s">
        <v>502</v>
      </c>
      <c r="I447" t="s">
        <v>137</v>
      </c>
      <c r="J447" t="b">
        <v>0</v>
      </c>
      <c r="K447" t="s">
        <v>154</v>
      </c>
      <c r="L447" t="s">
        <v>155</v>
      </c>
      <c r="N447" t="s">
        <v>81</v>
      </c>
      <c r="O447" t="s">
        <v>82</v>
      </c>
      <c r="P447" t="s">
        <v>83</v>
      </c>
      <c r="Q447" t="s">
        <v>503</v>
      </c>
      <c r="R447">
        <v>24</v>
      </c>
      <c r="S447" t="s">
        <v>85</v>
      </c>
      <c r="T447" t="s">
        <v>121</v>
      </c>
      <c r="U447">
        <v>1111111</v>
      </c>
      <c r="V447" t="s">
        <v>122</v>
      </c>
      <c r="W447" t="s">
        <v>2070</v>
      </c>
      <c r="X447" t="s">
        <v>2071</v>
      </c>
      <c r="Y447" t="s">
        <v>89</v>
      </c>
      <c r="Z447" t="s">
        <v>90</v>
      </c>
      <c r="AA447" t="s">
        <v>2072</v>
      </c>
      <c r="AB447">
        <v>1</v>
      </c>
      <c r="AC447">
        <v>6</v>
      </c>
      <c r="AD447" t="b">
        <v>1</v>
      </c>
      <c r="AE447">
        <v>2024</v>
      </c>
      <c r="AF447" s="3">
        <v>367</v>
      </c>
      <c r="AG447" s="3">
        <v>45100</v>
      </c>
      <c r="AH447" s="3" t="s">
        <v>2307</v>
      </c>
      <c r="AJ447" s="4" t="e">
        <f>VLOOKUP(A447,'[1]1'!B:Q,16,0)</f>
        <v>#N/A</v>
      </c>
      <c r="AK447" s="7" t="e">
        <f t="shared" ref="AK447" si="30">AJ447/250</f>
        <v>#N/A</v>
      </c>
      <c r="AL447" s="3">
        <v>367</v>
      </c>
      <c r="AM447" s="3" t="s">
        <v>2308</v>
      </c>
      <c r="AP447" t="s">
        <v>2306</v>
      </c>
      <c r="AT447">
        <v>99.2</v>
      </c>
      <c r="AW447">
        <v>0</v>
      </c>
      <c r="AX447">
        <v>0</v>
      </c>
      <c r="BA447">
        <v>0</v>
      </c>
      <c r="BB447">
        <v>0</v>
      </c>
      <c r="BE447">
        <v>0</v>
      </c>
      <c r="BF447">
        <v>0</v>
      </c>
      <c r="BJ447">
        <v>0</v>
      </c>
      <c r="BL447">
        <v>0</v>
      </c>
      <c r="BN447">
        <v>0</v>
      </c>
      <c r="BO447" s="6">
        <v>0</v>
      </c>
      <c r="BP447">
        <v>0</v>
      </c>
      <c r="BQ447">
        <v>0</v>
      </c>
      <c r="BR4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miftahul bali</dc:creator>
  <cp:lastModifiedBy>ms miftahul bali</cp:lastModifiedBy>
  <dcterms:created xsi:type="dcterms:W3CDTF">2026-10-19T09:54:38Z</dcterms:created>
  <dcterms:modified xsi:type="dcterms:W3CDTF">2026-10-19T11:43:44Z</dcterms:modified>
</cp:coreProperties>
</file>